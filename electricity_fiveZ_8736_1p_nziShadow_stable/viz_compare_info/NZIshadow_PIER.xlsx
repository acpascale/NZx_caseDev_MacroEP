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ascale\OneDrive - Princeton University\Documents\GitHub\MacroEnergy.jl\nzi_dev\electricity_fiveZ_8736_1p_nziShadow\viz_compare_info\"/>
    </mc:Choice>
  </mc:AlternateContent>
  <xr:revisionPtr revIDLastSave="0" documentId="13_ncr:1_{436C5DC5-7DFE-4193-8F96-EEDEC96BFBD5}" xr6:coauthVersionLast="47" xr6:coauthVersionMax="47" xr10:uidLastSave="{00000000-0000-0000-0000-000000000000}"/>
  <bookViews>
    <workbookView xWindow="-110" yWindow="-110" windowWidth="38620" windowHeight="21100" xr2:uid="{0C04E4D0-5751-44E6-BC3B-AD203EDB8BF9}"/>
  </bookViews>
  <sheets>
    <sheet name="ECT_EfficiencyCostMaxAnnualUF" sheetId="1" r:id="rId1"/>
    <sheet name="Sheet1" sheetId="3" r:id="rId2"/>
    <sheet name="ECT_MaxAdd2024" sheetId="2" r:id="rId3"/>
  </sheets>
  <definedNames>
    <definedName name="_xlnm._FilterDatabase" localSheetId="0" hidden="1">ECT_EfficiencyCostMaxAnnualUF!#REF!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1" l="1"/>
  <c r="U2" i="1" s="1"/>
  <c r="T9" i="1"/>
  <c r="U9" i="1" s="1"/>
  <c r="U6" i="1"/>
  <c r="U8" i="1"/>
  <c r="U11" i="1"/>
  <c r="U12" i="1"/>
  <c r="U13" i="1"/>
  <c r="T3" i="1"/>
  <c r="U3" i="1" s="1"/>
  <c r="T4" i="1"/>
  <c r="U4" i="1" s="1"/>
  <c r="K3" i="1"/>
  <c r="K4" i="1"/>
  <c r="K5" i="1"/>
  <c r="U5" i="1" s="1"/>
  <c r="K6" i="1"/>
  <c r="K7" i="1"/>
  <c r="U7" i="1" s="1"/>
  <c r="K8" i="1"/>
  <c r="K9" i="1"/>
  <c r="K10" i="1"/>
  <c r="U10" i="1" s="1"/>
  <c r="K11" i="1"/>
  <c r="K12" i="1"/>
  <c r="K13" i="1"/>
  <c r="K2" i="1"/>
  <c r="E17" i="1"/>
  <c r="E18" i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16" i="1"/>
  <c r="F16" i="1" s="1"/>
  <c r="F18" i="1"/>
  <c r="F17" i="1"/>
</calcChain>
</file>

<file path=xl/sharedStrings.xml><?xml version="1.0" encoding="utf-8"?>
<sst xmlns="http://schemas.openxmlformats.org/spreadsheetml/2006/main" count="493" uniqueCount="101">
  <si>
    <t>EnergyConvTech</t>
  </si>
  <si>
    <t>ModelGeography</t>
  </si>
  <si>
    <t>SubGeography1</t>
  </si>
  <si>
    <t>InstYear</t>
  </si>
  <si>
    <t>Year</t>
  </si>
  <si>
    <t>ConvEff</t>
  </si>
  <si>
    <t>FixedCost</t>
  </si>
  <si>
    <t>VarCost</t>
  </si>
  <si>
    <t>MaxAnnualUF</t>
  </si>
  <si>
    <t>RF_ATF</t>
  </si>
  <si>
    <t>INDIA</t>
  </si>
  <si>
    <t>RF_HSD</t>
  </si>
  <si>
    <t>RF_LPG</t>
  </si>
  <si>
    <t>RF_MS</t>
  </si>
  <si>
    <t>RF_OTHERPP</t>
  </si>
  <si>
    <t>RF_PETCOKE</t>
  </si>
  <si>
    <t>EG_BIOMASS</t>
  </si>
  <si>
    <t>SR</t>
  </si>
  <si>
    <t>NER</t>
  </si>
  <si>
    <t>ER</t>
  </si>
  <si>
    <t>WR</t>
  </si>
  <si>
    <t>NR</t>
  </si>
  <si>
    <t>EG_COAL</t>
  </si>
  <si>
    <t>EG_CCGT</t>
  </si>
  <si>
    <t>EG_LH</t>
  </si>
  <si>
    <t>EG_OCGT</t>
  </si>
  <si>
    <t>EG_PHWR</t>
  </si>
  <si>
    <t>EG_SH</t>
  </si>
  <si>
    <t>EG_SOLARGM</t>
  </si>
  <si>
    <t>EG_SOLARRF</t>
  </si>
  <si>
    <t>EG_WINDON</t>
  </si>
  <si>
    <t>EG_SMR</t>
  </si>
  <si>
    <t>EG_WINDOFF</t>
  </si>
  <si>
    <t>GH_ELECTROLYSIS</t>
  </si>
  <si>
    <t>Lifetime</t>
  </si>
  <si>
    <t>Total Investment for GW</t>
  </si>
  <si>
    <t>per MW</t>
  </si>
  <si>
    <t>CapacityDerating</t>
  </si>
  <si>
    <t>SelfCons</t>
  </si>
  <si>
    <t>MaxRampUpRate</t>
  </si>
  <si>
    <t>MaxRampDownRate</t>
  </si>
  <si>
    <t>CapacityUnit</t>
  </si>
  <si>
    <t>InputEC</t>
  </si>
  <si>
    <t>OutputDEC</t>
  </si>
  <si>
    <t>AnnualOutputPerUnitCapacity</t>
  </si>
  <si>
    <t>GW</t>
  </si>
  <si>
    <t>THERMAL_COAL</t>
  </si>
  <si>
    <t>ELECTRICITY</t>
  </si>
  <si>
    <t>NATGAS</t>
  </si>
  <si>
    <t>ATOMIC</t>
  </si>
  <si>
    <t>HYDEL</t>
  </si>
  <si>
    <t>BIOMASS_WASTE</t>
  </si>
  <si>
    <t>SUNLIGHT</t>
  </si>
  <si>
    <t>WIND</t>
  </si>
  <si>
    <t>MTPA</t>
  </si>
  <si>
    <t>CRUDE</t>
  </si>
  <si>
    <t>MS</t>
  </si>
  <si>
    <t>HSD</t>
  </si>
  <si>
    <t>ATF</t>
  </si>
  <si>
    <t>LPG</t>
  </si>
  <si>
    <t>PP_OTHER</t>
  </si>
  <si>
    <t>PETCOKE</t>
  </si>
  <si>
    <t>GREEN_H2</t>
  </si>
  <si>
    <t>EmissionType</t>
  </si>
  <si>
    <t>DomEmissionFactor</t>
  </si>
  <si>
    <t>ImpEmissionFactor</t>
  </si>
  <si>
    <t>GHG</t>
  </si>
  <si>
    <t>Fuel Use</t>
  </si>
  <si>
    <t>EnergyCarrier</t>
  </si>
  <si>
    <t>Remarks</t>
  </si>
  <si>
    <t>COKING_COAL</t>
  </si>
  <si>
    <t>20% reduction due to ethanol blending, assuming E20 is fully deployed beginning FY25</t>
  </si>
  <si>
    <t xml:space="preserve"> 5% reduction by FY41 from FY24-34 levels</t>
  </si>
  <si>
    <t>BIOGAS</t>
  </si>
  <si>
    <t>Density of biogas is assumed to be same as natural gas</t>
  </si>
  <si>
    <t>BIOMASS</t>
  </si>
  <si>
    <t>As only fugitive emissions are applicable to crude, emissions for imported crude is assumed as 0 for the ModelGeography</t>
  </si>
  <si>
    <t>BalancingArea</t>
  </si>
  <si>
    <t>BalancingTime</t>
  </si>
  <si>
    <t>PhysicalUnit</t>
  </si>
  <si>
    <t>EnergyUnit</t>
  </si>
  <si>
    <t>DomEnergyDensity</t>
  </si>
  <si>
    <t>ImpEnergyDensity</t>
  </si>
  <si>
    <t>SUBGEOGRAPHY1</t>
  </si>
  <si>
    <t>YEAR</t>
  </si>
  <si>
    <t>MT</t>
  </si>
  <si>
    <t>PJ</t>
  </si>
  <si>
    <t>MODELGEOGRAPHY</t>
  </si>
  <si>
    <t>BCM</t>
  </si>
  <si>
    <t>emission_rate</t>
  </si>
  <si>
    <t>Row Labels</t>
  </si>
  <si>
    <t>Sum of MaxCapacity</t>
  </si>
  <si>
    <t>(blank)</t>
  </si>
  <si>
    <t>Grand Total</t>
  </si>
  <si>
    <t>ModelGeographySrc</t>
  </si>
  <si>
    <t>SubGeography1Src</t>
  </si>
  <si>
    <t>ModelGeographyDest</t>
  </si>
  <si>
    <t>SubGeography1Dest</t>
  </si>
  <si>
    <t>TransitCost</t>
  </si>
  <si>
    <t>TransitLoss</t>
  </si>
  <si>
    <t>MaxTransit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</si>
</sst>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C0A1C-B760-4EAD-B5A2-8E53EC693E04}">
  <dimension ref="A1:AB55"/>
  <sheetViews>
    <sheetView tabSelected="1" workbookViewId="0">
      <selection activeCell="I5" sqref="I5"/>
    </sheetView>
  </sheetViews>
  <sheetFormatPr defaultRowHeight="14.5" x14ac:dyDescent="0.35"/>
  <cols>
    <col min="1" max="1" width="16.54296875" bestFit="1" customWidth="1"/>
    <col min="5" max="5" width="20.1796875" bestFit="1" customWidth="1"/>
    <col min="20" max="20" width="11.81640625" bestFit="1" customWidth="1"/>
    <col min="23" max="23" width="14.8164062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67</v>
      </c>
      <c r="T1" t="s">
        <v>89</v>
      </c>
    </row>
    <row r="2" spans="1:27" x14ac:dyDescent="0.35">
      <c r="A2" t="s">
        <v>22</v>
      </c>
      <c r="B2" t="s">
        <v>10</v>
      </c>
      <c r="C2" t="s">
        <v>21</v>
      </c>
      <c r="D2">
        <v>2024</v>
      </c>
      <c r="E2">
        <v>2024</v>
      </c>
      <c r="F2">
        <v>0.38096819999999998</v>
      </c>
      <c r="G2">
        <v>13721.031290000001</v>
      </c>
      <c r="H2">
        <v>133.5230182</v>
      </c>
      <c r="I2">
        <v>0.85</v>
      </c>
      <c r="K2">
        <f>1/F2</f>
        <v>2.624891001401167</v>
      </c>
      <c r="T2">
        <f>Y17/AA40/277.8</f>
        <v>0.39159253243251324</v>
      </c>
      <c r="U2">
        <f>T2*K2</f>
        <v>1.0278877145979988</v>
      </c>
    </row>
    <row r="3" spans="1:27" x14ac:dyDescent="0.35">
      <c r="A3" t="s">
        <v>25</v>
      </c>
      <c r="B3" t="s">
        <v>10</v>
      </c>
      <c r="C3" t="s">
        <v>21</v>
      </c>
      <c r="D3">
        <v>2024</v>
      </c>
      <c r="E3">
        <v>2024</v>
      </c>
      <c r="F3">
        <v>0.28070162799999998</v>
      </c>
      <c r="G3">
        <v>6679.7506489999996</v>
      </c>
      <c r="H3">
        <v>0</v>
      </c>
      <c r="I3">
        <v>0.85</v>
      </c>
      <c r="K3">
        <f t="shared" ref="K3:K13" si="0">1/F3</f>
        <v>3.5625016040163473</v>
      </c>
      <c r="M3" t="s">
        <v>0</v>
      </c>
      <c r="N3" t="s">
        <v>3</v>
      </c>
      <c r="O3" t="s">
        <v>63</v>
      </c>
      <c r="P3" t="s">
        <v>64</v>
      </c>
      <c r="Q3" t="s">
        <v>65</v>
      </c>
      <c r="T3">
        <f>Y31/AA41/277.8</f>
        <v>0.2889827616695031</v>
      </c>
      <c r="U3">
        <f t="shared" ref="U3:U13" si="1">T3*K3</f>
        <v>1.0295015519806785</v>
      </c>
    </row>
    <row r="4" spans="1:27" x14ac:dyDescent="0.35">
      <c r="A4" t="s">
        <v>23</v>
      </c>
      <c r="B4" t="s">
        <v>10</v>
      </c>
      <c r="C4" t="s">
        <v>21</v>
      </c>
      <c r="D4">
        <v>2024</v>
      </c>
      <c r="E4">
        <v>2024</v>
      </c>
      <c r="F4">
        <v>0.40444272199999998</v>
      </c>
      <c r="G4">
        <v>8512.2278029999998</v>
      </c>
      <c r="H4">
        <v>0</v>
      </c>
      <c r="I4">
        <v>0.85</v>
      </c>
      <c r="K4">
        <f t="shared" si="0"/>
        <v>2.4725380025505812</v>
      </c>
      <c r="M4" t="s">
        <v>22</v>
      </c>
      <c r="N4">
        <v>2023</v>
      </c>
      <c r="O4" t="s">
        <v>66</v>
      </c>
      <c r="P4">
        <v>1942.0976230000001</v>
      </c>
      <c r="Q4">
        <v>2057.8978219999999</v>
      </c>
      <c r="T4">
        <f>Y31/AA41/277.8</f>
        <v>0.2889827616695031</v>
      </c>
      <c r="U4">
        <f t="shared" si="1"/>
        <v>0.71452086030986384</v>
      </c>
    </row>
    <row r="5" spans="1:27" x14ac:dyDescent="0.35">
      <c r="A5" t="s">
        <v>26</v>
      </c>
      <c r="B5" t="s">
        <v>10</v>
      </c>
      <c r="C5" t="s">
        <v>21</v>
      </c>
      <c r="D5">
        <v>2024</v>
      </c>
      <c r="E5">
        <v>2024</v>
      </c>
      <c r="F5">
        <v>1</v>
      </c>
      <c r="G5">
        <v>20833.210350000001</v>
      </c>
      <c r="H5">
        <v>0</v>
      </c>
      <c r="I5">
        <v>0.70916666699999997</v>
      </c>
      <c r="K5">
        <f t="shared" si="0"/>
        <v>1</v>
      </c>
      <c r="U5">
        <f t="shared" si="1"/>
        <v>0</v>
      </c>
    </row>
    <row r="6" spans="1:27" x14ac:dyDescent="0.35">
      <c r="A6" t="s">
        <v>31</v>
      </c>
      <c r="B6" t="s">
        <v>10</v>
      </c>
      <c r="C6" t="s">
        <v>21</v>
      </c>
      <c r="D6">
        <v>2024</v>
      </c>
      <c r="E6">
        <v>2024</v>
      </c>
      <c r="F6">
        <v>1</v>
      </c>
      <c r="G6">
        <v>35289.429389999998</v>
      </c>
      <c r="H6">
        <v>0</v>
      </c>
      <c r="I6">
        <v>0.70916666699999997</v>
      </c>
      <c r="K6">
        <f t="shared" si="0"/>
        <v>1</v>
      </c>
      <c r="U6">
        <f t="shared" si="1"/>
        <v>0</v>
      </c>
    </row>
    <row r="7" spans="1:27" x14ac:dyDescent="0.35">
      <c r="A7" t="s">
        <v>24</v>
      </c>
      <c r="B7" t="s">
        <v>10</v>
      </c>
      <c r="C7" t="s">
        <v>21</v>
      </c>
      <c r="D7">
        <v>2024</v>
      </c>
      <c r="E7">
        <v>2024</v>
      </c>
      <c r="F7">
        <v>1</v>
      </c>
      <c r="G7">
        <v>19631.81452</v>
      </c>
      <c r="H7">
        <v>0</v>
      </c>
      <c r="I7">
        <v>1</v>
      </c>
      <c r="K7">
        <f t="shared" si="0"/>
        <v>1</v>
      </c>
      <c r="U7">
        <f t="shared" si="1"/>
        <v>0</v>
      </c>
    </row>
    <row r="8" spans="1:27" x14ac:dyDescent="0.35">
      <c r="A8" t="s">
        <v>27</v>
      </c>
      <c r="B8" t="s">
        <v>10</v>
      </c>
      <c r="C8" t="s">
        <v>21</v>
      </c>
      <c r="D8">
        <v>2024</v>
      </c>
      <c r="E8">
        <v>2024</v>
      </c>
      <c r="F8">
        <v>1</v>
      </c>
      <c r="G8">
        <v>11825.348760000001</v>
      </c>
      <c r="H8">
        <v>0</v>
      </c>
      <c r="I8">
        <v>1</v>
      </c>
      <c r="K8">
        <f t="shared" si="0"/>
        <v>1</v>
      </c>
      <c r="U8">
        <f t="shared" si="1"/>
        <v>0</v>
      </c>
    </row>
    <row r="9" spans="1:27" x14ac:dyDescent="0.35">
      <c r="A9" t="s">
        <v>16</v>
      </c>
      <c r="B9" t="s">
        <v>10</v>
      </c>
      <c r="C9" t="s">
        <v>21</v>
      </c>
      <c r="D9">
        <v>2024</v>
      </c>
      <c r="E9">
        <v>2024</v>
      </c>
      <c r="F9">
        <v>0.238845897</v>
      </c>
      <c r="G9">
        <v>7713.4572399999997</v>
      </c>
      <c r="H9">
        <v>0</v>
      </c>
      <c r="I9">
        <v>1</v>
      </c>
      <c r="K9">
        <f t="shared" si="0"/>
        <v>4.1867999934702667</v>
      </c>
      <c r="T9">
        <f>Y33/AA45/277.8</f>
        <v>0.43686050558511852</v>
      </c>
      <c r="U9">
        <f t="shared" si="1"/>
        <v>1.8290475619311917</v>
      </c>
    </row>
    <row r="10" spans="1:27" x14ac:dyDescent="0.35">
      <c r="A10" t="s">
        <v>28</v>
      </c>
      <c r="B10" t="s">
        <v>10</v>
      </c>
      <c r="C10" t="s">
        <v>21</v>
      </c>
      <c r="D10">
        <v>2024</v>
      </c>
      <c r="E10">
        <v>2024</v>
      </c>
      <c r="F10">
        <v>1</v>
      </c>
      <c r="G10">
        <v>5439.7058559999996</v>
      </c>
      <c r="H10">
        <v>0</v>
      </c>
      <c r="I10">
        <v>1</v>
      </c>
      <c r="K10">
        <f t="shared" si="0"/>
        <v>1</v>
      </c>
      <c r="U10">
        <f t="shared" si="1"/>
        <v>0</v>
      </c>
    </row>
    <row r="11" spans="1:27" x14ac:dyDescent="0.35">
      <c r="A11" t="s">
        <v>29</v>
      </c>
      <c r="B11" t="s">
        <v>10</v>
      </c>
      <c r="C11" t="s">
        <v>21</v>
      </c>
      <c r="D11">
        <v>2024</v>
      </c>
      <c r="E11">
        <v>2024</v>
      </c>
      <c r="F11">
        <v>1</v>
      </c>
      <c r="G11">
        <v>5362.1338370000003</v>
      </c>
      <c r="H11">
        <v>0</v>
      </c>
      <c r="I11">
        <v>1</v>
      </c>
      <c r="K11">
        <f t="shared" si="0"/>
        <v>1</v>
      </c>
      <c r="U11">
        <f t="shared" si="1"/>
        <v>0</v>
      </c>
    </row>
    <row r="12" spans="1:27" x14ac:dyDescent="0.35">
      <c r="A12" t="s">
        <v>30</v>
      </c>
      <c r="B12" t="s">
        <v>10</v>
      </c>
      <c r="C12" t="s">
        <v>21</v>
      </c>
      <c r="D12">
        <v>2024</v>
      </c>
      <c r="E12">
        <v>2024</v>
      </c>
      <c r="F12">
        <v>1</v>
      </c>
      <c r="G12">
        <v>10586.964459999999</v>
      </c>
      <c r="H12">
        <v>0</v>
      </c>
      <c r="I12">
        <v>1</v>
      </c>
      <c r="K12">
        <f t="shared" si="0"/>
        <v>1</v>
      </c>
      <c r="U12">
        <f t="shared" si="1"/>
        <v>0</v>
      </c>
    </row>
    <row r="13" spans="1:27" x14ac:dyDescent="0.35">
      <c r="A13" t="s">
        <v>32</v>
      </c>
      <c r="B13" t="s">
        <v>10</v>
      </c>
      <c r="C13" t="s">
        <v>21</v>
      </c>
      <c r="D13">
        <v>2024</v>
      </c>
      <c r="E13">
        <v>2024</v>
      </c>
      <c r="F13">
        <v>1</v>
      </c>
      <c r="G13">
        <v>34540.361669999998</v>
      </c>
      <c r="H13">
        <v>0</v>
      </c>
      <c r="I13">
        <v>1</v>
      </c>
      <c r="K13">
        <f t="shared" si="0"/>
        <v>1</v>
      </c>
      <c r="U13">
        <f t="shared" si="1"/>
        <v>0</v>
      </c>
    </row>
    <row r="15" spans="1:27" x14ac:dyDescent="0.35">
      <c r="A15" t="s">
        <v>0</v>
      </c>
      <c r="B15" t="s">
        <v>4</v>
      </c>
      <c r="C15" t="s">
        <v>34</v>
      </c>
      <c r="E15" t="s">
        <v>35</v>
      </c>
      <c r="F15" t="s">
        <v>36</v>
      </c>
      <c r="M15" t="s">
        <v>0</v>
      </c>
      <c r="N15" t="s">
        <v>41</v>
      </c>
      <c r="O15" t="s">
        <v>42</v>
      </c>
      <c r="P15" t="s">
        <v>43</v>
      </c>
      <c r="Q15" t="s">
        <v>44</v>
      </c>
      <c r="V15" t="s">
        <v>4</v>
      </c>
      <c r="W15" t="s">
        <v>68</v>
      </c>
      <c r="X15" t="s">
        <v>63</v>
      </c>
      <c r="Y15" t="s">
        <v>64</v>
      </c>
      <c r="Z15" t="s">
        <v>65</v>
      </c>
      <c r="AA15" t="s">
        <v>69</v>
      </c>
    </row>
    <row r="16" spans="1:27" x14ac:dyDescent="0.35">
      <c r="A16" t="s">
        <v>22</v>
      </c>
      <c r="B16">
        <v>2024</v>
      </c>
      <c r="C16">
        <v>40</v>
      </c>
      <c r="E16">
        <f>C16*G2</f>
        <v>548841.25160000008</v>
      </c>
      <c r="F16">
        <f>E16/1000</f>
        <v>548.84125160000008</v>
      </c>
      <c r="M16" t="s">
        <v>22</v>
      </c>
      <c r="N16" t="s">
        <v>45</v>
      </c>
      <c r="O16" t="s">
        <v>46</v>
      </c>
      <c r="P16" t="s">
        <v>47</v>
      </c>
      <c r="Q16">
        <v>8760</v>
      </c>
      <c r="V16">
        <v>2024</v>
      </c>
      <c r="W16" t="s">
        <v>70</v>
      </c>
      <c r="X16" t="s">
        <v>66</v>
      </c>
      <c r="Y16">
        <v>2257.6805100000001</v>
      </c>
      <c r="Z16">
        <v>2760.9</v>
      </c>
    </row>
    <row r="17" spans="1:27" x14ac:dyDescent="0.35">
      <c r="A17" t="s">
        <v>25</v>
      </c>
      <c r="B17">
        <v>2024</v>
      </c>
      <c r="C17">
        <v>25</v>
      </c>
      <c r="E17">
        <f t="shared" ref="E17:E27" si="2">C17*G3</f>
        <v>166993.766225</v>
      </c>
      <c r="F17">
        <f t="shared" ref="F17:F27" si="3">E17/1000</f>
        <v>166.993766225</v>
      </c>
      <c r="M17" t="s">
        <v>23</v>
      </c>
      <c r="N17" t="s">
        <v>45</v>
      </c>
      <c r="O17" t="s">
        <v>48</v>
      </c>
      <c r="P17" t="s">
        <v>47</v>
      </c>
      <c r="Q17">
        <v>8760</v>
      </c>
      <c r="V17">
        <v>2024</v>
      </c>
      <c r="W17" t="s">
        <v>46</v>
      </c>
      <c r="X17" t="s">
        <v>66</v>
      </c>
      <c r="Y17">
        <v>1871.873679</v>
      </c>
      <c r="Z17">
        <v>1982.1860300000001</v>
      </c>
    </row>
    <row r="18" spans="1:27" x14ac:dyDescent="0.35">
      <c r="A18" t="s">
        <v>23</v>
      </c>
      <c r="B18">
        <v>2024</v>
      </c>
      <c r="C18">
        <v>25</v>
      </c>
      <c r="E18">
        <f t="shared" si="2"/>
        <v>212805.695075</v>
      </c>
      <c r="F18">
        <f t="shared" si="3"/>
        <v>212.80569507499999</v>
      </c>
      <c r="M18" t="s">
        <v>25</v>
      </c>
      <c r="N18" t="s">
        <v>45</v>
      </c>
      <c r="O18" t="s">
        <v>48</v>
      </c>
      <c r="P18" t="s">
        <v>47</v>
      </c>
      <c r="Q18">
        <v>8760</v>
      </c>
      <c r="V18">
        <v>2024</v>
      </c>
      <c r="W18" t="s">
        <v>56</v>
      </c>
      <c r="X18" t="s">
        <v>66</v>
      </c>
      <c r="Y18">
        <v>3080.7548999999999</v>
      </c>
      <c r="Z18">
        <v>3080.7548999999999</v>
      </c>
    </row>
    <row r="19" spans="1:27" x14ac:dyDescent="0.35">
      <c r="A19" t="s">
        <v>26</v>
      </c>
      <c r="B19">
        <v>2024</v>
      </c>
      <c r="C19">
        <v>40</v>
      </c>
      <c r="E19">
        <f t="shared" si="2"/>
        <v>833328.41400000011</v>
      </c>
      <c r="F19">
        <f t="shared" si="3"/>
        <v>833.32841400000007</v>
      </c>
      <c r="M19" t="s">
        <v>26</v>
      </c>
      <c r="N19" t="s">
        <v>45</v>
      </c>
      <c r="O19" t="s">
        <v>49</v>
      </c>
      <c r="P19" t="s">
        <v>47</v>
      </c>
      <c r="Q19">
        <v>8760</v>
      </c>
      <c r="V19">
        <v>2025</v>
      </c>
      <c r="W19" t="s">
        <v>56</v>
      </c>
      <c r="X19" t="s">
        <v>66</v>
      </c>
      <c r="Y19">
        <v>2464.60392</v>
      </c>
      <c r="Z19">
        <v>2464.60392</v>
      </c>
      <c r="AA19" t="s">
        <v>71</v>
      </c>
    </row>
    <row r="20" spans="1:27" x14ac:dyDescent="0.35">
      <c r="A20" t="s">
        <v>31</v>
      </c>
      <c r="B20">
        <v>2024</v>
      </c>
      <c r="C20">
        <v>30</v>
      </c>
      <c r="E20">
        <f t="shared" si="2"/>
        <v>1058682.8817</v>
      </c>
      <c r="F20">
        <f t="shared" si="3"/>
        <v>1058.6828817000001</v>
      </c>
      <c r="M20" t="s">
        <v>31</v>
      </c>
      <c r="N20" t="s">
        <v>45</v>
      </c>
      <c r="O20" t="s">
        <v>49</v>
      </c>
      <c r="P20" t="s">
        <v>47</v>
      </c>
      <c r="Q20">
        <v>8760</v>
      </c>
      <c r="V20">
        <v>2024</v>
      </c>
      <c r="W20" t="s">
        <v>57</v>
      </c>
      <c r="X20" t="s">
        <v>66</v>
      </c>
      <c r="Y20">
        <v>3196.7489999999998</v>
      </c>
      <c r="Z20">
        <v>3196.7489999999998</v>
      </c>
    </row>
    <row r="21" spans="1:27" x14ac:dyDescent="0.35">
      <c r="A21" t="s">
        <v>24</v>
      </c>
      <c r="B21">
        <v>2024</v>
      </c>
      <c r="C21">
        <v>40</v>
      </c>
      <c r="E21">
        <f t="shared" si="2"/>
        <v>785272.5808</v>
      </c>
      <c r="F21">
        <f t="shared" si="3"/>
        <v>785.27258080000001</v>
      </c>
      <c r="M21" t="s">
        <v>24</v>
      </c>
      <c r="N21" t="s">
        <v>45</v>
      </c>
      <c r="O21" t="s">
        <v>50</v>
      </c>
      <c r="P21" t="s">
        <v>47</v>
      </c>
      <c r="Q21">
        <v>8760</v>
      </c>
      <c r="V21">
        <v>2024</v>
      </c>
      <c r="W21" t="s">
        <v>58</v>
      </c>
      <c r="X21" t="s">
        <v>66</v>
      </c>
      <c r="Y21">
        <v>3080.7548999999999</v>
      </c>
      <c r="Z21">
        <v>3080.7548999999999</v>
      </c>
    </row>
    <row r="22" spans="1:27" x14ac:dyDescent="0.35">
      <c r="A22" t="s">
        <v>27</v>
      </c>
      <c r="B22">
        <v>2024</v>
      </c>
      <c r="C22">
        <v>35</v>
      </c>
      <c r="E22">
        <f t="shared" si="2"/>
        <v>413887.20660000003</v>
      </c>
      <c r="F22">
        <f t="shared" si="3"/>
        <v>413.88720660000001</v>
      </c>
      <c r="M22" t="s">
        <v>27</v>
      </c>
      <c r="N22" t="s">
        <v>45</v>
      </c>
      <c r="O22" t="s">
        <v>50</v>
      </c>
      <c r="P22" t="s">
        <v>47</v>
      </c>
      <c r="Q22">
        <v>8760</v>
      </c>
      <c r="V22">
        <v>2035</v>
      </c>
      <c r="W22" t="s">
        <v>58</v>
      </c>
      <c r="X22" t="s">
        <v>66</v>
      </c>
      <c r="Y22">
        <v>3058.2628260000001</v>
      </c>
      <c r="Z22">
        <v>3058.2628260000001</v>
      </c>
    </row>
    <row r="23" spans="1:27" x14ac:dyDescent="0.35">
      <c r="A23" t="s">
        <v>16</v>
      </c>
      <c r="B23">
        <v>2024</v>
      </c>
      <c r="C23">
        <v>20</v>
      </c>
      <c r="E23">
        <f t="shared" si="2"/>
        <v>154269.14480000001</v>
      </c>
      <c r="F23">
        <f t="shared" si="3"/>
        <v>154.26914480000002</v>
      </c>
      <c r="M23" t="s">
        <v>16</v>
      </c>
      <c r="N23" t="s">
        <v>45</v>
      </c>
      <c r="O23" t="s">
        <v>51</v>
      </c>
      <c r="P23" t="s">
        <v>47</v>
      </c>
      <c r="Q23">
        <v>8760</v>
      </c>
      <c r="V23">
        <v>2036</v>
      </c>
      <c r="W23" t="s">
        <v>58</v>
      </c>
      <c r="X23" t="s">
        <v>66</v>
      </c>
      <c r="Y23">
        <v>3035.9349630000002</v>
      </c>
      <c r="Z23">
        <v>3035.9349630000002</v>
      </c>
    </row>
    <row r="24" spans="1:27" x14ac:dyDescent="0.35">
      <c r="A24" t="s">
        <v>28</v>
      </c>
      <c r="B24">
        <v>2024</v>
      </c>
      <c r="C24">
        <v>25</v>
      </c>
      <c r="E24">
        <f t="shared" si="2"/>
        <v>135992.6464</v>
      </c>
      <c r="F24">
        <f t="shared" si="3"/>
        <v>135.99264639999998</v>
      </c>
      <c r="M24" t="s">
        <v>28</v>
      </c>
      <c r="N24" t="s">
        <v>45</v>
      </c>
      <c r="O24" t="s">
        <v>52</v>
      </c>
      <c r="P24" t="s">
        <v>47</v>
      </c>
      <c r="Q24">
        <v>8760</v>
      </c>
      <c r="V24">
        <v>2037</v>
      </c>
      <c r="W24" t="s">
        <v>58</v>
      </c>
      <c r="X24" t="s">
        <v>66</v>
      </c>
      <c r="Y24">
        <v>3013.7701120000002</v>
      </c>
      <c r="Z24">
        <v>3013.7701120000002</v>
      </c>
    </row>
    <row r="25" spans="1:27" x14ac:dyDescent="0.35">
      <c r="A25" t="s">
        <v>29</v>
      </c>
      <c r="B25">
        <v>2024</v>
      </c>
      <c r="C25">
        <v>25</v>
      </c>
      <c r="E25">
        <f t="shared" si="2"/>
        <v>134053.345925</v>
      </c>
      <c r="F25">
        <f t="shared" si="3"/>
        <v>134.053345925</v>
      </c>
      <c r="M25" t="s">
        <v>29</v>
      </c>
      <c r="N25" t="s">
        <v>45</v>
      </c>
      <c r="O25" t="s">
        <v>52</v>
      </c>
      <c r="P25" t="s">
        <v>47</v>
      </c>
      <c r="Q25">
        <v>8760</v>
      </c>
      <c r="V25">
        <v>2038</v>
      </c>
      <c r="W25" t="s">
        <v>58</v>
      </c>
      <c r="X25" t="s">
        <v>66</v>
      </c>
      <c r="Y25">
        <v>2991.7670830000002</v>
      </c>
      <c r="Z25">
        <v>2991.7670830000002</v>
      </c>
    </row>
    <row r="26" spans="1:27" x14ac:dyDescent="0.35">
      <c r="A26" t="s">
        <v>30</v>
      </c>
      <c r="B26">
        <v>2024</v>
      </c>
      <c r="C26">
        <v>25</v>
      </c>
      <c r="E26">
        <f t="shared" si="2"/>
        <v>264674.1115</v>
      </c>
      <c r="F26">
        <f t="shared" si="3"/>
        <v>264.67411149999998</v>
      </c>
      <c r="M26" t="s">
        <v>30</v>
      </c>
      <c r="N26" t="s">
        <v>45</v>
      </c>
      <c r="O26" t="s">
        <v>53</v>
      </c>
      <c r="P26" t="s">
        <v>47</v>
      </c>
      <c r="Q26">
        <v>8760</v>
      </c>
      <c r="V26">
        <v>2039</v>
      </c>
      <c r="W26" t="s">
        <v>58</v>
      </c>
      <c r="X26" t="s">
        <v>66</v>
      </c>
      <c r="Y26">
        <v>2969.9246939999998</v>
      </c>
      <c r="Z26">
        <v>2969.9246939999998</v>
      </c>
    </row>
    <row r="27" spans="1:27" x14ac:dyDescent="0.35">
      <c r="A27" t="s">
        <v>32</v>
      </c>
      <c r="B27">
        <v>2024</v>
      </c>
      <c r="C27">
        <v>25</v>
      </c>
      <c r="E27">
        <f t="shared" si="2"/>
        <v>863509.04174999997</v>
      </c>
      <c r="F27">
        <f t="shared" si="3"/>
        <v>863.50904174999994</v>
      </c>
      <c r="M27" t="s">
        <v>32</v>
      </c>
      <c r="N27" t="s">
        <v>45</v>
      </c>
      <c r="O27" t="s">
        <v>53</v>
      </c>
      <c r="P27" t="s">
        <v>47</v>
      </c>
      <c r="Q27">
        <v>8760</v>
      </c>
      <c r="V27">
        <v>2040</v>
      </c>
      <c r="W27" t="s">
        <v>58</v>
      </c>
      <c r="X27" t="s">
        <v>66</v>
      </c>
      <c r="Y27">
        <v>2948.2417730000002</v>
      </c>
      <c r="Z27">
        <v>2948.2417730000002</v>
      </c>
    </row>
    <row r="28" spans="1:27" x14ac:dyDescent="0.35">
      <c r="A28" t="s">
        <v>13</v>
      </c>
      <c r="B28">
        <v>2024</v>
      </c>
      <c r="C28">
        <v>40</v>
      </c>
      <c r="M28" t="s">
        <v>13</v>
      </c>
      <c r="N28" t="s">
        <v>54</v>
      </c>
      <c r="O28" t="s">
        <v>55</v>
      </c>
      <c r="P28" t="s">
        <v>56</v>
      </c>
      <c r="Q28">
        <v>0.96280183399999997</v>
      </c>
      <c r="V28">
        <v>2041</v>
      </c>
      <c r="W28" t="s">
        <v>58</v>
      </c>
      <c r="X28" t="s">
        <v>66</v>
      </c>
      <c r="Y28">
        <v>2926.7171549999998</v>
      </c>
      <c r="Z28">
        <v>2926.7171549999998</v>
      </c>
      <c r="AA28" t="s">
        <v>72</v>
      </c>
    </row>
    <row r="29" spans="1:27" x14ac:dyDescent="0.35">
      <c r="A29" t="s">
        <v>11</v>
      </c>
      <c r="B29">
        <v>2024</v>
      </c>
      <c r="C29">
        <v>40</v>
      </c>
      <c r="M29" t="s">
        <v>11</v>
      </c>
      <c r="N29" t="s">
        <v>54</v>
      </c>
      <c r="O29" t="s">
        <v>55</v>
      </c>
      <c r="P29" t="s">
        <v>57</v>
      </c>
      <c r="Q29">
        <v>0.99536035099999998</v>
      </c>
      <c r="V29">
        <v>2024</v>
      </c>
      <c r="W29" t="s">
        <v>59</v>
      </c>
      <c r="X29" t="s">
        <v>66</v>
      </c>
      <c r="Y29">
        <v>2987.2078499999998</v>
      </c>
      <c r="Z29">
        <v>2987.2078499999998</v>
      </c>
    </row>
    <row r="30" spans="1:27" x14ac:dyDescent="0.35">
      <c r="A30" t="s">
        <v>9</v>
      </c>
      <c r="B30">
        <v>2024</v>
      </c>
      <c r="C30">
        <v>40</v>
      </c>
      <c r="M30" t="s">
        <v>9</v>
      </c>
      <c r="N30" t="s">
        <v>54</v>
      </c>
      <c r="O30" t="s">
        <v>55</v>
      </c>
      <c r="P30" t="s">
        <v>58</v>
      </c>
      <c r="Q30">
        <v>0.96732203100000003</v>
      </c>
      <c r="V30">
        <v>2024</v>
      </c>
      <c r="W30" t="s">
        <v>60</v>
      </c>
      <c r="X30" t="s">
        <v>66</v>
      </c>
      <c r="Y30">
        <v>3141.2837930000001</v>
      </c>
      <c r="Z30">
        <v>3141.2837930000001</v>
      </c>
    </row>
    <row r="31" spans="1:27" x14ac:dyDescent="0.35">
      <c r="A31" t="s">
        <v>12</v>
      </c>
      <c r="B31">
        <v>2024</v>
      </c>
      <c r="C31">
        <v>40</v>
      </c>
      <c r="M31" t="s">
        <v>12</v>
      </c>
      <c r="N31" t="s">
        <v>54</v>
      </c>
      <c r="O31" t="s">
        <v>55</v>
      </c>
      <c r="P31" t="s">
        <v>59</v>
      </c>
      <c r="Q31">
        <v>0.911679613</v>
      </c>
      <c r="V31">
        <v>2024</v>
      </c>
      <c r="W31" t="s">
        <v>48</v>
      </c>
      <c r="X31" t="s">
        <v>66</v>
      </c>
      <c r="Y31">
        <v>3025.0245490000002</v>
      </c>
      <c r="Z31">
        <v>2048.5161600000001</v>
      </c>
    </row>
    <row r="32" spans="1:27" x14ac:dyDescent="0.35">
      <c r="A32" t="s">
        <v>14</v>
      </c>
      <c r="B32">
        <v>2024</v>
      </c>
      <c r="C32">
        <v>40</v>
      </c>
      <c r="M32" t="s">
        <v>14</v>
      </c>
      <c r="N32" t="s">
        <v>54</v>
      </c>
      <c r="O32" t="s">
        <v>55</v>
      </c>
      <c r="P32" t="s">
        <v>60</v>
      </c>
      <c r="Q32">
        <v>1.0731228779999999</v>
      </c>
      <c r="V32">
        <v>2024</v>
      </c>
      <c r="W32" t="s">
        <v>73</v>
      </c>
      <c r="X32" t="s">
        <v>66</v>
      </c>
      <c r="Y32">
        <v>2001.5626</v>
      </c>
      <c r="Z32">
        <v>1246.1225999999999</v>
      </c>
      <c r="AA32" t="s">
        <v>74</v>
      </c>
    </row>
    <row r="33" spans="1:28" x14ac:dyDescent="0.35">
      <c r="A33" t="s">
        <v>15</v>
      </c>
      <c r="B33">
        <v>2024</v>
      </c>
      <c r="C33">
        <v>40</v>
      </c>
      <c r="M33" t="s">
        <v>15</v>
      </c>
      <c r="N33" t="s">
        <v>54</v>
      </c>
      <c r="O33" t="s">
        <v>55</v>
      </c>
      <c r="P33" t="s">
        <v>61</v>
      </c>
      <c r="Q33">
        <v>1.287747454</v>
      </c>
      <c r="V33">
        <v>2024</v>
      </c>
      <c r="W33" t="s">
        <v>75</v>
      </c>
      <c r="X33" t="s">
        <v>66</v>
      </c>
      <c r="Y33">
        <v>1656.436688</v>
      </c>
      <c r="Z33">
        <v>1656.436688</v>
      </c>
    </row>
    <row r="34" spans="1:28" x14ac:dyDescent="0.35">
      <c r="A34" t="s">
        <v>33</v>
      </c>
      <c r="B34">
        <v>2024</v>
      </c>
      <c r="C34">
        <v>20</v>
      </c>
      <c r="M34" t="s">
        <v>33</v>
      </c>
      <c r="N34" t="s">
        <v>45</v>
      </c>
      <c r="O34" t="s">
        <v>47</v>
      </c>
      <c r="P34" t="s">
        <v>62</v>
      </c>
      <c r="Q34">
        <v>0.26233732799999998</v>
      </c>
      <c r="V34">
        <v>2024</v>
      </c>
      <c r="W34" t="s">
        <v>55</v>
      </c>
      <c r="X34" t="s">
        <v>66</v>
      </c>
      <c r="Y34">
        <v>54.232192410000003</v>
      </c>
      <c r="Z34">
        <v>0</v>
      </c>
      <c r="AA34" t="s">
        <v>76</v>
      </c>
    </row>
    <row r="35" spans="1:28" x14ac:dyDescent="0.35">
      <c r="V35">
        <v>2024</v>
      </c>
      <c r="W35" t="s">
        <v>61</v>
      </c>
      <c r="X35" t="s">
        <v>66</v>
      </c>
      <c r="Y35">
        <v>3176.6475</v>
      </c>
      <c r="Z35">
        <v>3176.6475</v>
      </c>
    </row>
    <row r="36" spans="1:28" x14ac:dyDescent="0.35">
      <c r="A36" t="s">
        <v>0</v>
      </c>
      <c r="B36" t="s">
        <v>3</v>
      </c>
      <c r="C36" t="s">
        <v>37</v>
      </c>
      <c r="D36" t="s">
        <v>38</v>
      </c>
      <c r="E36" t="s">
        <v>39</v>
      </c>
      <c r="F36" t="s">
        <v>40</v>
      </c>
      <c r="V36">
        <v>2024</v>
      </c>
      <c r="W36" t="s">
        <v>51</v>
      </c>
      <c r="X36" t="s">
        <v>66</v>
      </c>
      <c r="Y36">
        <v>1292.306701</v>
      </c>
      <c r="Z36">
        <v>1292.306701</v>
      </c>
    </row>
    <row r="37" spans="1:28" x14ac:dyDescent="0.35">
      <c r="A37" t="s">
        <v>22</v>
      </c>
      <c r="B37">
        <v>2024</v>
      </c>
      <c r="C37">
        <v>0</v>
      </c>
      <c r="D37" s="1">
        <v>6.6000000000000003E-2</v>
      </c>
      <c r="E37">
        <v>0.3</v>
      </c>
      <c r="F37">
        <v>0.3</v>
      </c>
    </row>
    <row r="38" spans="1:28" x14ac:dyDescent="0.35">
      <c r="A38" t="s">
        <v>23</v>
      </c>
      <c r="B38">
        <v>2024</v>
      </c>
      <c r="C38">
        <v>0</v>
      </c>
      <c r="D38" s="1">
        <v>0.02</v>
      </c>
      <c r="E38">
        <v>0.9</v>
      </c>
      <c r="F38">
        <v>0.9</v>
      </c>
      <c r="V38" t="s">
        <v>68</v>
      </c>
      <c r="W38" t="s">
        <v>77</v>
      </c>
      <c r="X38" t="s">
        <v>78</v>
      </c>
      <c r="Y38" t="s">
        <v>79</v>
      </c>
      <c r="Z38" t="s">
        <v>80</v>
      </c>
      <c r="AA38" t="s">
        <v>81</v>
      </c>
      <c r="AB38" t="s">
        <v>82</v>
      </c>
    </row>
    <row r="39" spans="1:28" x14ac:dyDescent="0.35">
      <c r="A39" t="s">
        <v>25</v>
      </c>
      <c r="B39">
        <v>2024</v>
      </c>
      <c r="C39">
        <v>0</v>
      </c>
      <c r="D39" s="1">
        <v>0.01</v>
      </c>
      <c r="E39">
        <v>1</v>
      </c>
      <c r="F39">
        <v>1</v>
      </c>
      <c r="V39" t="s">
        <v>70</v>
      </c>
      <c r="W39" t="s">
        <v>83</v>
      </c>
      <c r="X39" t="s">
        <v>84</v>
      </c>
      <c r="Y39" t="s">
        <v>85</v>
      </c>
      <c r="Z39" t="s">
        <v>86</v>
      </c>
      <c r="AA39">
        <v>20.555669309999999</v>
      </c>
      <c r="AB39">
        <v>24.17925129</v>
      </c>
    </row>
    <row r="40" spans="1:28" x14ac:dyDescent="0.35">
      <c r="A40" t="s">
        <v>26</v>
      </c>
      <c r="B40">
        <v>2024</v>
      </c>
      <c r="C40">
        <v>0</v>
      </c>
      <c r="D40" s="1">
        <v>0.10780000000000001</v>
      </c>
      <c r="E40">
        <v>0.01</v>
      </c>
      <c r="F40">
        <v>0.01</v>
      </c>
      <c r="V40" t="s">
        <v>46</v>
      </c>
      <c r="W40" t="s">
        <v>83</v>
      </c>
      <c r="X40" t="s">
        <v>84</v>
      </c>
      <c r="Y40" t="s">
        <v>85</v>
      </c>
      <c r="Z40" t="s">
        <v>86</v>
      </c>
      <c r="AA40">
        <v>17.207187650000002</v>
      </c>
      <c r="AB40">
        <v>22.608720000000002</v>
      </c>
    </row>
    <row r="41" spans="1:28" x14ac:dyDescent="0.35">
      <c r="A41" t="s">
        <v>31</v>
      </c>
      <c r="B41">
        <v>2024</v>
      </c>
      <c r="C41">
        <v>0</v>
      </c>
      <c r="D41" s="1">
        <v>0.05</v>
      </c>
      <c r="E41">
        <v>0.01</v>
      </c>
      <c r="F41">
        <v>0.01</v>
      </c>
      <c r="V41" t="s">
        <v>48</v>
      </c>
      <c r="W41" t="s">
        <v>87</v>
      </c>
      <c r="X41" t="s">
        <v>84</v>
      </c>
      <c r="Y41" t="s">
        <v>88</v>
      </c>
      <c r="Z41" t="s">
        <v>86</v>
      </c>
      <c r="AA41">
        <v>37.681199999999997</v>
      </c>
      <c r="AB41">
        <v>37.681199999999997</v>
      </c>
    </row>
    <row r="42" spans="1:28" x14ac:dyDescent="0.35">
      <c r="A42" t="s">
        <v>24</v>
      </c>
      <c r="B42">
        <v>2024</v>
      </c>
      <c r="C42">
        <v>0</v>
      </c>
      <c r="D42" s="1">
        <v>6.0000000000000001E-3</v>
      </c>
      <c r="E42">
        <v>1</v>
      </c>
      <c r="F42">
        <v>1</v>
      </c>
      <c r="V42" t="s">
        <v>73</v>
      </c>
      <c r="W42" t="s">
        <v>87</v>
      </c>
      <c r="X42" t="s">
        <v>84</v>
      </c>
      <c r="Y42" t="s">
        <v>88</v>
      </c>
      <c r="Z42" t="s">
        <v>86</v>
      </c>
      <c r="AA42">
        <v>22.8</v>
      </c>
      <c r="AB42">
        <v>22.8</v>
      </c>
    </row>
    <row r="43" spans="1:28" x14ac:dyDescent="0.35">
      <c r="A43" t="s">
        <v>27</v>
      </c>
      <c r="B43">
        <v>2024</v>
      </c>
      <c r="C43">
        <v>0</v>
      </c>
      <c r="D43" s="1">
        <v>0.01</v>
      </c>
      <c r="E43">
        <v>1</v>
      </c>
      <c r="F43">
        <v>1</v>
      </c>
      <c r="V43" t="s">
        <v>75</v>
      </c>
      <c r="W43" t="s">
        <v>87</v>
      </c>
      <c r="X43" t="s">
        <v>84</v>
      </c>
      <c r="Y43" t="s">
        <v>85</v>
      </c>
      <c r="Z43" t="s">
        <v>86</v>
      </c>
      <c r="AA43">
        <v>15.56</v>
      </c>
      <c r="AB43">
        <v>15.56</v>
      </c>
    </row>
    <row r="44" spans="1:28" x14ac:dyDescent="0.35">
      <c r="A44" t="s">
        <v>16</v>
      </c>
      <c r="B44">
        <v>2024</v>
      </c>
      <c r="C44">
        <v>0</v>
      </c>
      <c r="D44" s="1">
        <v>0.1</v>
      </c>
      <c r="E44">
        <v>0.06</v>
      </c>
      <c r="F44">
        <v>0.06</v>
      </c>
      <c r="V44" t="s">
        <v>55</v>
      </c>
      <c r="W44" t="s">
        <v>87</v>
      </c>
      <c r="X44" t="s">
        <v>84</v>
      </c>
      <c r="Y44" t="s">
        <v>85</v>
      </c>
      <c r="Z44" t="s">
        <v>86</v>
      </c>
      <c r="AA44">
        <v>43.124040000000001</v>
      </c>
      <c r="AB44">
        <v>43.124040000000001</v>
      </c>
    </row>
    <row r="45" spans="1:28" x14ac:dyDescent="0.35">
      <c r="A45" t="s">
        <v>28</v>
      </c>
      <c r="B45">
        <v>2024</v>
      </c>
      <c r="C45">
        <v>0</v>
      </c>
      <c r="D45" s="1">
        <v>0.01</v>
      </c>
      <c r="E45">
        <v>1</v>
      </c>
      <c r="F45">
        <v>1</v>
      </c>
      <c r="V45" t="s">
        <v>51</v>
      </c>
      <c r="W45" t="s">
        <v>87</v>
      </c>
      <c r="X45" t="s">
        <v>84</v>
      </c>
      <c r="Y45" t="s">
        <v>85</v>
      </c>
      <c r="Z45" t="s">
        <v>86</v>
      </c>
      <c r="AA45">
        <v>13.648968</v>
      </c>
      <c r="AB45">
        <v>13.648968</v>
      </c>
    </row>
    <row r="46" spans="1:28" x14ac:dyDescent="0.35">
      <c r="A46" t="s">
        <v>29</v>
      </c>
      <c r="B46">
        <v>2024</v>
      </c>
      <c r="C46">
        <v>0</v>
      </c>
      <c r="D46" s="1">
        <v>6.0000000000000001E-3</v>
      </c>
      <c r="E46">
        <v>1</v>
      </c>
      <c r="F46">
        <v>1</v>
      </c>
    </row>
    <row r="47" spans="1:28" x14ac:dyDescent="0.35">
      <c r="A47" t="s">
        <v>30</v>
      </c>
      <c r="B47">
        <v>2024</v>
      </c>
      <c r="C47">
        <v>0</v>
      </c>
      <c r="D47" s="1">
        <v>5.0000000000000001E-3</v>
      </c>
      <c r="E47">
        <v>1</v>
      </c>
      <c r="F47">
        <v>1</v>
      </c>
    </row>
    <row r="48" spans="1:28" x14ac:dyDescent="0.35">
      <c r="A48" t="s">
        <v>32</v>
      </c>
      <c r="B48">
        <v>2024</v>
      </c>
      <c r="C48">
        <v>0</v>
      </c>
      <c r="D48" s="1">
        <v>5.0000000000000001E-3</v>
      </c>
      <c r="E48">
        <v>1</v>
      </c>
      <c r="F48">
        <v>1</v>
      </c>
    </row>
    <row r="49" spans="1:6" x14ac:dyDescent="0.35">
      <c r="A49" t="s">
        <v>13</v>
      </c>
      <c r="B49">
        <v>2024</v>
      </c>
      <c r="C49">
        <v>0</v>
      </c>
      <c r="D49" s="1">
        <v>8.8999999999999996E-2</v>
      </c>
      <c r="E49">
        <v>1</v>
      </c>
      <c r="F49">
        <v>1</v>
      </c>
    </row>
    <row r="50" spans="1:6" x14ac:dyDescent="0.35">
      <c r="A50" t="s">
        <v>11</v>
      </c>
      <c r="B50">
        <v>2024</v>
      </c>
      <c r="C50">
        <v>0</v>
      </c>
      <c r="D50" s="1">
        <v>8.8999999999999996E-2</v>
      </c>
      <c r="E50">
        <v>1</v>
      </c>
      <c r="F50">
        <v>1</v>
      </c>
    </row>
    <row r="51" spans="1:6" x14ac:dyDescent="0.35">
      <c r="A51" t="s">
        <v>9</v>
      </c>
      <c r="B51">
        <v>2024</v>
      </c>
      <c r="C51">
        <v>0</v>
      </c>
      <c r="D51" s="1">
        <v>8.8999999999999996E-2</v>
      </c>
      <c r="E51">
        <v>1</v>
      </c>
      <c r="F51">
        <v>1</v>
      </c>
    </row>
    <row r="52" spans="1:6" x14ac:dyDescent="0.35">
      <c r="A52" t="s">
        <v>12</v>
      </c>
      <c r="B52">
        <v>2024</v>
      </c>
      <c r="C52">
        <v>0</v>
      </c>
      <c r="D52" s="1">
        <v>8.8999999999999996E-2</v>
      </c>
      <c r="E52">
        <v>1</v>
      </c>
      <c r="F52">
        <v>1</v>
      </c>
    </row>
    <row r="53" spans="1:6" x14ac:dyDescent="0.35">
      <c r="A53" t="s">
        <v>14</v>
      </c>
      <c r="B53">
        <v>2024</v>
      </c>
      <c r="C53">
        <v>0</v>
      </c>
      <c r="D53" s="1">
        <v>8.8999999999999996E-2</v>
      </c>
      <c r="E53">
        <v>1</v>
      </c>
      <c r="F53">
        <v>1</v>
      </c>
    </row>
    <row r="54" spans="1:6" x14ac:dyDescent="0.35">
      <c r="A54" t="s">
        <v>15</v>
      </c>
      <c r="B54">
        <v>2024</v>
      </c>
      <c r="C54">
        <v>0</v>
      </c>
      <c r="D54" s="1">
        <v>8.8999999999999996E-2</v>
      </c>
      <c r="E54">
        <v>1</v>
      </c>
      <c r="F54">
        <v>1</v>
      </c>
    </row>
    <row r="55" spans="1:6" x14ac:dyDescent="0.35">
      <c r="A55" t="s">
        <v>33</v>
      </c>
      <c r="B55">
        <v>2024</v>
      </c>
      <c r="C55">
        <v>0</v>
      </c>
      <c r="D55" s="1">
        <v>9.2868983000000002E-2</v>
      </c>
      <c r="E55">
        <v>1</v>
      </c>
      <c r="F55">
        <v>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B7979-01CA-4530-A3AC-4E09B913C2CA}">
  <dimension ref="A1:I26"/>
  <sheetViews>
    <sheetView workbookViewId="0">
      <selection activeCell="O37" sqref="O37"/>
    </sheetView>
  </sheetViews>
  <sheetFormatPr defaultRowHeight="14.5" x14ac:dyDescent="0.35"/>
  <sheetData>
    <row r="1" spans="1:9" x14ac:dyDescent="0.35">
      <c r="A1" t="s">
        <v>68</v>
      </c>
      <c r="B1" t="s">
        <v>94</v>
      </c>
      <c r="C1" t="s">
        <v>95</v>
      </c>
      <c r="D1" t="s">
        <v>96</v>
      </c>
      <c r="E1" t="s">
        <v>97</v>
      </c>
      <c r="F1" t="s">
        <v>4</v>
      </c>
      <c r="G1" t="s">
        <v>98</v>
      </c>
      <c r="H1" t="s">
        <v>99</v>
      </c>
      <c r="I1" t="s">
        <v>100</v>
      </c>
    </row>
    <row r="2" spans="1:9" x14ac:dyDescent="0.35">
      <c r="A2" t="s">
        <v>47</v>
      </c>
      <c r="B2" t="s">
        <v>10</v>
      </c>
      <c r="C2" t="s">
        <v>21</v>
      </c>
      <c r="D2" t="s">
        <v>10</v>
      </c>
      <c r="E2" t="s">
        <v>21</v>
      </c>
      <c r="F2">
        <v>2024</v>
      </c>
      <c r="G2">
        <v>2.6248298320000001</v>
      </c>
      <c r="H2">
        <v>0.14930632299999999</v>
      </c>
      <c r="I2">
        <v>-1</v>
      </c>
    </row>
    <row r="3" spans="1:9" x14ac:dyDescent="0.35">
      <c r="A3" t="s">
        <v>47</v>
      </c>
      <c r="B3" t="s">
        <v>10</v>
      </c>
      <c r="C3" t="s">
        <v>20</v>
      </c>
      <c r="D3" t="s">
        <v>10</v>
      </c>
      <c r="E3" t="s">
        <v>20</v>
      </c>
      <c r="F3">
        <v>2024</v>
      </c>
      <c r="G3">
        <v>1.8783627890000001</v>
      </c>
      <c r="H3">
        <v>0.12258155699999999</v>
      </c>
      <c r="I3">
        <v>-1</v>
      </c>
    </row>
    <row r="4" spans="1:9" x14ac:dyDescent="0.35">
      <c r="A4" t="s">
        <v>47</v>
      </c>
      <c r="B4" t="s">
        <v>10</v>
      </c>
      <c r="C4" t="s">
        <v>17</v>
      </c>
      <c r="D4" t="s">
        <v>10</v>
      </c>
      <c r="E4" t="s">
        <v>17</v>
      </c>
      <c r="F4">
        <v>2024</v>
      </c>
      <c r="G4">
        <v>2.8361182519999999</v>
      </c>
      <c r="H4">
        <v>0.106457711</v>
      </c>
      <c r="I4">
        <v>-1</v>
      </c>
    </row>
    <row r="5" spans="1:9" x14ac:dyDescent="0.35">
      <c r="A5" t="s">
        <v>47</v>
      </c>
      <c r="B5" t="s">
        <v>10</v>
      </c>
      <c r="C5" t="s">
        <v>19</v>
      </c>
      <c r="D5" t="s">
        <v>10</v>
      </c>
      <c r="E5" t="s">
        <v>19</v>
      </c>
      <c r="F5">
        <v>2024</v>
      </c>
      <c r="G5">
        <v>1.827294889</v>
      </c>
      <c r="H5">
        <v>0.17367141</v>
      </c>
      <c r="I5">
        <v>-1</v>
      </c>
    </row>
    <row r="6" spans="1:9" x14ac:dyDescent="0.35">
      <c r="A6" t="s">
        <v>47</v>
      </c>
      <c r="B6" t="s">
        <v>10</v>
      </c>
      <c r="C6" t="s">
        <v>18</v>
      </c>
      <c r="D6" t="s">
        <v>10</v>
      </c>
      <c r="E6" t="s">
        <v>18</v>
      </c>
      <c r="F6">
        <v>2024</v>
      </c>
      <c r="G6">
        <v>4.6461250850000004</v>
      </c>
      <c r="H6">
        <v>0.15154467499999999</v>
      </c>
      <c r="I6">
        <v>-1</v>
      </c>
    </row>
    <row r="7" spans="1:9" x14ac:dyDescent="0.35">
      <c r="A7" t="s">
        <v>47</v>
      </c>
      <c r="B7" t="s">
        <v>10</v>
      </c>
      <c r="C7" t="s">
        <v>21</v>
      </c>
      <c r="D7" t="s">
        <v>10</v>
      </c>
      <c r="E7" t="s">
        <v>20</v>
      </c>
      <c r="F7">
        <v>2024</v>
      </c>
      <c r="G7">
        <v>0.50994571399999999</v>
      </c>
      <c r="H7">
        <v>3.5000000000000003E-2</v>
      </c>
      <c r="I7">
        <v>36.72</v>
      </c>
    </row>
    <row r="8" spans="1:9" x14ac:dyDescent="0.35">
      <c r="A8" t="s">
        <v>47</v>
      </c>
      <c r="B8" t="s">
        <v>10</v>
      </c>
      <c r="C8" t="s">
        <v>20</v>
      </c>
      <c r="D8" t="s">
        <v>10</v>
      </c>
      <c r="E8" t="s">
        <v>17</v>
      </c>
      <c r="F8">
        <v>2024</v>
      </c>
      <c r="G8">
        <v>0.50994571399999999</v>
      </c>
      <c r="H8">
        <v>3.5000000000000003E-2</v>
      </c>
      <c r="I8">
        <v>22.32</v>
      </c>
    </row>
    <row r="9" spans="1:9" x14ac:dyDescent="0.35">
      <c r="A9" t="s">
        <v>47</v>
      </c>
      <c r="B9" t="s">
        <v>10</v>
      </c>
      <c r="C9" t="s">
        <v>17</v>
      </c>
      <c r="D9" t="s">
        <v>10</v>
      </c>
      <c r="E9" t="s">
        <v>19</v>
      </c>
      <c r="F9">
        <v>2024</v>
      </c>
      <c r="G9">
        <v>0.50994571399999999</v>
      </c>
      <c r="H9">
        <v>3.5000000000000003E-2</v>
      </c>
      <c r="I9">
        <v>5.83</v>
      </c>
    </row>
    <row r="10" spans="1:9" x14ac:dyDescent="0.35">
      <c r="A10" t="s">
        <v>47</v>
      </c>
      <c r="B10" t="s">
        <v>10</v>
      </c>
      <c r="C10" t="s">
        <v>19</v>
      </c>
      <c r="D10" t="s">
        <v>10</v>
      </c>
      <c r="E10" t="s">
        <v>18</v>
      </c>
      <c r="F10">
        <v>2024</v>
      </c>
      <c r="G10">
        <v>0.50994571399999999</v>
      </c>
      <c r="H10">
        <v>3.5000000000000003E-2</v>
      </c>
      <c r="I10">
        <v>2.95</v>
      </c>
    </row>
    <row r="11" spans="1:9" x14ac:dyDescent="0.35">
      <c r="A11" t="s">
        <v>47</v>
      </c>
      <c r="B11" t="s">
        <v>10</v>
      </c>
      <c r="C11" t="s">
        <v>18</v>
      </c>
      <c r="D11" t="s">
        <v>10</v>
      </c>
      <c r="E11" t="s">
        <v>21</v>
      </c>
      <c r="F11">
        <v>2024</v>
      </c>
      <c r="G11">
        <v>0.50994571399999999</v>
      </c>
      <c r="H11">
        <v>3.5000000000000003E-2</v>
      </c>
      <c r="I11">
        <v>3</v>
      </c>
    </row>
    <row r="12" spans="1:9" x14ac:dyDescent="0.35">
      <c r="A12" t="s">
        <v>47</v>
      </c>
      <c r="B12" t="s">
        <v>10</v>
      </c>
      <c r="C12" t="s">
        <v>21</v>
      </c>
      <c r="D12" t="s">
        <v>10</v>
      </c>
      <c r="E12" t="s">
        <v>17</v>
      </c>
      <c r="F12">
        <v>2024</v>
      </c>
      <c r="G12">
        <v>0.50994571399999999</v>
      </c>
      <c r="H12">
        <v>3.5000000000000003E-2</v>
      </c>
      <c r="I12">
        <v>0</v>
      </c>
    </row>
    <row r="13" spans="1:9" x14ac:dyDescent="0.35">
      <c r="A13" t="s">
        <v>47</v>
      </c>
      <c r="B13" t="s">
        <v>10</v>
      </c>
      <c r="C13" t="s">
        <v>20</v>
      </c>
      <c r="D13" t="s">
        <v>10</v>
      </c>
      <c r="E13" t="s">
        <v>19</v>
      </c>
      <c r="F13">
        <v>2024</v>
      </c>
      <c r="G13">
        <v>0.50994571399999999</v>
      </c>
      <c r="H13">
        <v>3.5000000000000003E-2</v>
      </c>
      <c r="I13">
        <v>21.19</v>
      </c>
    </row>
    <row r="14" spans="1:9" x14ac:dyDescent="0.35">
      <c r="A14" t="s">
        <v>47</v>
      </c>
      <c r="B14" t="s">
        <v>10</v>
      </c>
      <c r="C14" t="s">
        <v>17</v>
      </c>
      <c r="D14" t="s">
        <v>10</v>
      </c>
      <c r="E14" t="s">
        <v>18</v>
      </c>
      <c r="F14">
        <v>2024</v>
      </c>
      <c r="G14">
        <v>0.50994571399999999</v>
      </c>
      <c r="H14">
        <v>3.5000000000000003E-2</v>
      </c>
      <c r="I14">
        <v>0</v>
      </c>
    </row>
    <row r="15" spans="1:9" x14ac:dyDescent="0.35">
      <c r="A15" t="s">
        <v>47</v>
      </c>
      <c r="B15" t="s">
        <v>10</v>
      </c>
      <c r="C15" t="s">
        <v>19</v>
      </c>
      <c r="D15" t="s">
        <v>10</v>
      </c>
      <c r="E15" t="s">
        <v>21</v>
      </c>
      <c r="F15">
        <v>2024</v>
      </c>
      <c r="G15">
        <v>0.50994571399999999</v>
      </c>
      <c r="H15">
        <v>3.5000000000000003E-2</v>
      </c>
      <c r="I15">
        <v>22.53</v>
      </c>
    </row>
    <row r="16" spans="1:9" x14ac:dyDescent="0.35">
      <c r="A16" t="s">
        <v>47</v>
      </c>
      <c r="B16" t="s">
        <v>10</v>
      </c>
      <c r="C16" t="s">
        <v>18</v>
      </c>
      <c r="D16" t="s">
        <v>10</v>
      </c>
      <c r="E16" t="s">
        <v>20</v>
      </c>
      <c r="F16">
        <v>2024</v>
      </c>
      <c r="G16">
        <v>0.50994571399999999</v>
      </c>
      <c r="H16">
        <v>3.5000000000000003E-2</v>
      </c>
      <c r="I16">
        <v>0</v>
      </c>
    </row>
    <row r="17" spans="1:9" x14ac:dyDescent="0.35">
      <c r="A17" t="s">
        <v>47</v>
      </c>
      <c r="B17" t="s">
        <v>10</v>
      </c>
      <c r="C17" t="s">
        <v>21</v>
      </c>
      <c r="D17" t="s">
        <v>10</v>
      </c>
      <c r="E17" t="s">
        <v>19</v>
      </c>
      <c r="F17">
        <v>2024</v>
      </c>
      <c r="G17">
        <v>0.50994571399999999</v>
      </c>
      <c r="H17">
        <v>3.5000000000000003E-2</v>
      </c>
      <c r="I17">
        <v>19.53</v>
      </c>
    </row>
    <row r="18" spans="1:9" x14ac:dyDescent="0.35">
      <c r="A18" t="s">
        <v>47</v>
      </c>
      <c r="B18" t="s">
        <v>10</v>
      </c>
      <c r="C18" t="s">
        <v>20</v>
      </c>
      <c r="D18" t="s">
        <v>10</v>
      </c>
      <c r="E18" t="s">
        <v>18</v>
      </c>
      <c r="F18">
        <v>2024</v>
      </c>
      <c r="G18">
        <v>0.50994571399999999</v>
      </c>
      <c r="H18">
        <v>3.5000000000000003E-2</v>
      </c>
      <c r="I18">
        <v>0</v>
      </c>
    </row>
    <row r="19" spans="1:9" x14ac:dyDescent="0.35">
      <c r="A19" t="s">
        <v>47</v>
      </c>
      <c r="B19" t="s">
        <v>10</v>
      </c>
      <c r="C19" t="s">
        <v>17</v>
      </c>
      <c r="D19" t="s">
        <v>10</v>
      </c>
      <c r="E19" t="s">
        <v>21</v>
      </c>
      <c r="F19">
        <v>2024</v>
      </c>
      <c r="G19">
        <v>0.50994571399999999</v>
      </c>
      <c r="H19">
        <v>3.5000000000000003E-2</v>
      </c>
      <c r="I19">
        <v>0</v>
      </c>
    </row>
    <row r="20" spans="1:9" x14ac:dyDescent="0.35">
      <c r="A20" t="s">
        <v>47</v>
      </c>
      <c r="B20" t="s">
        <v>10</v>
      </c>
      <c r="C20" t="s">
        <v>19</v>
      </c>
      <c r="D20" t="s">
        <v>10</v>
      </c>
      <c r="E20" t="s">
        <v>20</v>
      </c>
      <c r="F20">
        <v>2024</v>
      </c>
      <c r="G20">
        <v>0.50994571399999999</v>
      </c>
      <c r="H20">
        <v>3.5000000000000003E-2</v>
      </c>
      <c r="I20">
        <v>21.19</v>
      </c>
    </row>
    <row r="21" spans="1:9" x14ac:dyDescent="0.35">
      <c r="A21" t="s">
        <v>47</v>
      </c>
      <c r="B21" t="s">
        <v>10</v>
      </c>
      <c r="C21" t="s">
        <v>18</v>
      </c>
      <c r="D21" t="s">
        <v>10</v>
      </c>
      <c r="E21" t="s">
        <v>17</v>
      </c>
      <c r="F21">
        <v>2024</v>
      </c>
      <c r="G21">
        <v>0.50994571399999999</v>
      </c>
      <c r="H21">
        <v>3.5000000000000003E-2</v>
      </c>
      <c r="I21">
        <v>0</v>
      </c>
    </row>
    <row r="22" spans="1:9" x14ac:dyDescent="0.35">
      <c r="A22" t="s">
        <v>47</v>
      </c>
      <c r="B22" t="s">
        <v>10</v>
      </c>
      <c r="C22" t="s">
        <v>21</v>
      </c>
      <c r="D22" t="s">
        <v>10</v>
      </c>
      <c r="E22" t="s">
        <v>18</v>
      </c>
      <c r="F22">
        <v>2024</v>
      </c>
      <c r="G22">
        <v>0.50994571399999999</v>
      </c>
      <c r="H22">
        <v>3.5000000000000003E-2</v>
      </c>
      <c r="I22">
        <v>1.5</v>
      </c>
    </row>
    <row r="23" spans="1:9" x14ac:dyDescent="0.35">
      <c r="A23" t="s">
        <v>47</v>
      </c>
      <c r="B23" t="s">
        <v>10</v>
      </c>
      <c r="C23" t="s">
        <v>20</v>
      </c>
      <c r="D23" t="s">
        <v>10</v>
      </c>
      <c r="E23" t="s">
        <v>21</v>
      </c>
      <c r="F23">
        <v>2024</v>
      </c>
      <c r="G23">
        <v>0.50994571399999999</v>
      </c>
      <c r="H23">
        <v>3.5000000000000003E-2</v>
      </c>
      <c r="I23">
        <v>32.57</v>
      </c>
    </row>
    <row r="24" spans="1:9" x14ac:dyDescent="0.35">
      <c r="A24" t="s">
        <v>47</v>
      </c>
      <c r="B24" t="s">
        <v>10</v>
      </c>
      <c r="C24" t="s">
        <v>17</v>
      </c>
      <c r="D24" t="s">
        <v>10</v>
      </c>
      <c r="E24" t="s">
        <v>20</v>
      </c>
      <c r="F24">
        <v>2024</v>
      </c>
      <c r="G24">
        <v>0.50994571399999999</v>
      </c>
      <c r="H24">
        <v>3.5000000000000003E-2</v>
      </c>
      <c r="I24">
        <v>19.93</v>
      </c>
    </row>
    <row r="25" spans="1:9" x14ac:dyDescent="0.35">
      <c r="A25" t="s">
        <v>47</v>
      </c>
      <c r="B25" t="s">
        <v>10</v>
      </c>
      <c r="C25" t="s">
        <v>19</v>
      </c>
      <c r="D25" t="s">
        <v>10</v>
      </c>
      <c r="E25" t="s">
        <v>17</v>
      </c>
      <c r="F25">
        <v>2024</v>
      </c>
      <c r="G25">
        <v>0.50994571399999999</v>
      </c>
      <c r="H25">
        <v>3.5000000000000003E-2</v>
      </c>
      <c r="I25">
        <v>7.83</v>
      </c>
    </row>
    <row r="26" spans="1:9" x14ac:dyDescent="0.35">
      <c r="A26" t="s">
        <v>47</v>
      </c>
      <c r="B26" t="s">
        <v>10</v>
      </c>
      <c r="C26" t="s">
        <v>18</v>
      </c>
      <c r="D26" t="s">
        <v>10</v>
      </c>
      <c r="E26" t="s">
        <v>19</v>
      </c>
      <c r="F26">
        <v>2024</v>
      </c>
      <c r="G26">
        <v>0.50994571399999999</v>
      </c>
      <c r="H26">
        <v>3.5000000000000003E-2</v>
      </c>
      <c r="I26">
        <v>2.95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E57D1-393A-4F40-8106-786EE712202A}">
  <dimension ref="A3:B83"/>
  <sheetViews>
    <sheetView workbookViewId="0">
      <selection activeCell="L53" sqref="L53"/>
    </sheetView>
  </sheetViews>
  <sheetFormatPr defaultRowHeight="14.5" x14ac:dyDescent="0.35"/>
  <cols>
    <col min="1" max="1" width="16.1796875" bestFit="1" customWidth="1"/>
    <col min="2" max="2" width="17.26953125" bestFit="1" customWidth="1"/>
  </cols>
  <sheetData>
    <row r="3" spans="1:2" x14ac:dyDescent="0.35">
      <c r="A3" t="s">
        <v>4</v>
      </c>
      <c r="B3">
        <v>2024</v>
      </c>
    </row>
    <row r="5" spans="1:2" x14ac:dyDescent="0.35">
      <c r="A5" t="s">
        <v>90</v>
      </c>
      <c r="B5" t="s">
        <v>91</v>
      </c>
    </row>
    <row r="6" spans="1:2" x14ac:dyDescent="0.35">
      <c r="A6" t="s">
        <v>19</v>
      </c>
      <c r="B6">
        <v>0.20710590360000003</v>
      </c>
    </row>
    <row r="7" spans="1:2" x14ac:dyDescent="0.35">
      <c r="A7" t="s">
        <v>16</v>
      </c>
      <c r="B7">
        <v>2.3E-2</v>
      </c>
    </row>
    <row r="8" spans="1:2" x14ac:dyDescent="0.35">
      <c r="A8" t="s">
        <v>23</v>
      </c>
      <c r="B8">
        <v>0</v>
      </c>
    </row>
    <row r="9" spans="1:2" x14ac:dyDescent="0.35">
      <c r="A9" t="s">
        <v>22</v>
      </c>
      <c r="B9">
        <v>0</v>
      </c>
    </row>
    <row r="10" spans="1:2" x14ac:dyDescent="0.35">
      <c r="A10" t="s">
        <v>24</v>
      </c>
      <c r="B10">
        <v>0</v>
      </c>
    </row>
    <row r="11" spans="1:2" x14ac:dyDescent="0.35">
      <c r="A11" t="s">
        <v>25</v>
      </c>
      <c r="B11">
        <v>0</v>
      </c>
    </row>
    <row r="12" spans="1:2" x14ac:dyDescent="0.35">
      <c r="A12" t="s">
        <v>26</v>
      </c>
      <c r="B12">
        <v>0</v>
      </c>
    </row>
    <row r="13" spans="1:2" x14ac:dyDescent="0.35">
      <c r="A13" t="s">
        <v>27</v>
      </c>
      <c r="B13">
        <v>6.0000000000000001E-3</v>
      </c>
    </row>
    <row r="14" spans="1:2" x14ac:dyDescent="0.35">
      <c r="A14" t="s">
        <v>31</v>
      </c>
      <c r="B14">
        <v>0</v>
      </c>
    </row>
    <row r="15" spans="1:2" x14ac:dyDescent="0.35">
      <c r="A15" t="s">
        <v>28</v>
      </c>
      <c r="B15">
        <v>0.04</v>
      </c>
    </row>
    <row r="16" spans="1:2" x14ac:dyDescent="0.35">
      <c r="A16" t="s">
        <v>29</v>
      </c>
      <c r="B16">
        <v>0.13800000000000001</v>
      </c>
    </row>
    <row r="17" spans="1:2" x14ac:dyDescent="0.35">
      <c r="A17" t="s">
        <v>32</v>
      </c>
      <c r="B17">
        <v>0</v>
      </c>
    </row>
    <row r="18" spans="1:2" x14ac:dyDescent="0.35">
      <c r="A18" t="s">
        <v>30</v>
      </c>
      <c r="B18">
        <v>0</v>
      </c>
    </row>
    <row r="19" spans="1:2" x14ac:dyDescent="0.35">
      <c r="A19" t="s">
        <v>33</v>
      </c>
      <c r="B19">
        <v>1.0590360000000001E-4</v>
      </c>
    </row>
    <row r="20" spans="1:2" x14ac:dyDescent="0.35">
      <c r="A20" t="s">
        <v>18</v>
      </c>
      <c r="B20">
        <v>2.6021153999999998E-2</v>
      </c>
    </row>
    <row r="21" spans="1:2" x14ac:dyDescent="0.35">
      <c r="A21" t="s">
        <v>16</v>
      </c>
      <c r="B21">
        <v>1E-3</v>
      </c>
    </row>
    <row r="22" spans="1:2" x14ac:dyDescent="0.35">
      <c r="A22" t="s">
        <v>23</v>
      </c>
      <c r="B22">
        <v>0</v>
      </c>
    </row>
    <row r="23" spans="1:2" x14ac:dyDescent="0.35">
      <c r="A23" t="s">
        <v>22</v>
      </c>
      <c r="B23">
        <v>0</v>
      </c>
    </row>
    <row r="24" spans="1:2" x14ac:dyDescent="0.35">
      <c r="A24" t="s">
        <v>24</v>
      </c>
      <c r="B24">
        <v>0</v>
      </c>
    </row>
    <row r="25" spans="1:2" x14ac:dyDescent="0.35">
      <c r="A25" t="s">
        <v>25</v>
      </c>
      <c r="B25">
        <v>0</v>
      </c>
    </row>
    <row r="26" spans="1:2" x14ac:dyDescent="0.35">
      <c r="A26" t="s">
        <v>26</v>
      </c>
      <c r="B26">
        <v>0</v>
      </c>
    </row>
    <row r="27" spans="1:2" x14ac:dyDescent="0.35">
      <c r="A27" t="s">
        <v>27</v>
      </c>
      <c r="B27">
        <v>9.9999999999999985E-3</v>
      </c>
    </row>
    <row r="28" spans="1:2" x14ac:dyDescent="0.35">
      <c r="A28" t="s">
        <v>31</v>
      </c>
      <c r="B28">
        <v>0</v>
      </c>
    </row>
    <row r="29" spans="1:2" x14ac:dyDescent="0.35">
      <c r="A29" t="s">
        <v>28</v>
      </c>
      <c r="B29">
        <v>7.0000000000000001E-3</v>
      </c>
    </row>
    <row r="30" spans="1:2" x14ac:dyDescent="0.35">
      <c r="A30" t="s">
        <v>29</v>
      </c>
      <c r="B30">
        <v>8.0000000000000002E-3</v>
      </c>
    </row>
    <row r="31" spans="1:2" x14ac:dyDescent="0.35">
      <c r="A31" t="s">
        <v>32</v>
      </c>
      <c r="B31">
        <v>0</v>
      </c>
    </row>
    <row r="32" spans="1:2" x14ac:dyDescent="0.35">
      <c r="A32" t="s">
        <v>30</v>
      </c>
      <c r="B32">
        <v>0</v>
      </c>
    </row>
    <row r="33" spans="1:2" x14ac:dyDescent="0.35">
      <c r="A33" t="s">
        <v>33</v>
      </c>
      <c r="B33">
        <v>2.1154000000000001E-5</v>
      </c>
    </row>
    <row r="34" spans="1:2" x14ac:dyDescent="0.35">
      <c r="A34" t="s">
        <v>21</v>
      </c>
      <c r="B34">
        <v>5.7302850662000004</v>
      </c>
    </row>
    <row r="35" spans="1:2" x14ac:dyDescent="0.35">
      <c r="A35" t="s">
        <v>16</v>
      </c>
      <c r="B35">
        <v>0.14300000000000002</v>
      </c>
    </row>
    <row r="36" spans="1:2" x14ac:dyDescent="0.35">
      <c r="A36" t="s">
        <v>23</v>
      </c>
      <c r="B36">
        <v>0</v>
      </c>
    </row>
    <row r="37" spans="1:2" x14ac:dyDescent="0.35">
      <c r="A37" t="s">
        <v>22</v>
      </c>
      <c r="B37">
        <v>0</v>
      </c>
    </row>
    <row r="38" spans="1:2" x14ac:dyDescent="0.35">
      <c r="A38" t="s">
        <v>24</v>
      </c>
      <c r="B38">
        <v>0</v>
      </c>
    </row>
    <row r="39" spans="1:2" x14ac:dyDescent="0.35">
      <c r="A39" t="s">
        <v>25</v>
      </c>
      <c r="B39">
        <v>0</v>
      </c>
    </row>
    <row r="40" spans="1:2" x14ac:dyDescent="0.35">
      <c r="A40" t="s">
        <v>26</v>
      </c>
      <c r="B40">
        <v>0</v>
      </c>
    </row>
    <row r="41" spans="1:2" x14ac:dyDescent="0.35">
      <c r="A41" t="s">
        <v>27</v>
      </c>
      <c r="B41">
        <v>2.8000000000000001E-2</v>
      </c>
    </row>
    <row r="42" spans="1:2" x14ac:dyDescent="0.35">
      <c r="A42" t="s">
        <v>31</v>
      </c>
      <c r="B42">
        <v>0</v>
      </c>
    </row>
    <row r="43" spans="1:2" x14ac:dyDescent="0.35">
      <c r="A43" t="s">
        <v>28</v>
      </c>
      <c r="B43">
        <v>4.7910000000000004</v>
      </c>
    </row>
    <row r="44" spans="1:2" x14ac:dyDescent="0.35">
      <c r="A44" t="s">
        <v>29</v>
      </c>
      <c r="B44">
        <v>0.76600000000000001</v>
      </c>
    </row>
    <row r="45" spans="1:2" x14ac:dyDescent="0.35">
      <c r="A45" t="s">
        <v>32</v>
      </c>
      <c r="B45">
        <v>0</v>
      </c>
    </row>
    <row r="46" spans="1:2" x14ac:dyDescent="0.35">
      <c r="A46" t="s">
        <v>30</v>
      </c>
      <c r="B46">
        <v>2E-3</v>
      </c>
    </row>
    <row r="47" spans="1:2" x14ac:dyDescent="0.35">
      <c r="A47" t="s">
        <v>33</v>
      </c>
      <c r="B47">
        <v>2.8506619999999996E-4</v>
      </c>
    </row>
    <row r="48" spans="1:2" x14ac:dyDescent="0.35">
      <c r="A48" t="s">
        <v>17</v>
      </c>
      <c r="B48">
        <v>4.0991398760000006</v>
      </c>
    </row>
    <row r="49" spans="1:2" x14ac:dyDescent="0.35">
      <c r="A49" t="s">
        <v>16</v>
      </c>
      <c r="B49">
        <v>0.16</v>
      </c>
    </row>
    <row r="50" spans="1:2" x14ac:dyDescent="0.35">
      <c r="A50" t="s">
        <v>23</v>
      </c>
      <c r="B50">
        <v>0.37</v>
      </c>
    </row>
    <row r="51" spans="1:2" x14ac:dyDescent="0.35">
      <c r="A51" t="s">
        <v>22</v>
      </c>
      <c r="B51">
        <v>0</v>
      </c>
    </row>
    <row r="52" spans="1:2" x14ac:dyDescent="0.35">
      <c r="A52" t="s">
        <v>24</v>
      </c>
      <c r="B52">
        <v>0</v>
      </c>
    </row>
    <row r="53" spans="1:2" x14ac:dyDescent="0.35">
      <c r="A53" t="s">
        <v>25</v>
      </c>
      <c r="B53">
        <v>0</v>
      </c>
    </row>
    <row r="54" spans="1:2" x14ac:dyDescent="0.35">
      <c r="A54" t="s">
        <v>26</v>
      </c>
      <c r="B54">
        <v>0</v>
      </c>
    </row>
    <row r="55" spans="1:2" x14ac:dyDescent="0.35">
      <c r="A55" t="s">
        <v>27</v>
      </c>
      <c r="B55">
        <v>1.7000000000000001E-2</v>
      </c>
    </row>
    <row r="56" spans="1:2" x14ac:dyDescent="0.35">
      <c r="A56" t="s">
        <v>31</v>
      </c>
      <c r="B56">
        <v>0</v>
      </c>
    </row>
    <row r="57" spans="1:2" x14ac:dyDescent="0.35">
      <c r="A57" t="s">
        <v>28</v>
      </c>
      <c r="B57">
        <v>1.6219999999999999</v>
      </c>
    </row>
    <row r="58" spans="1:2" x14ac:dyDescent="0.35">
      <c r="A58" t="s">
        <v>29</v>
      </c>
      <c r="B58">
        <v>0.61799999999999999</v>
      </c>
    </row>
    <row r="59" spans="1:2" x14ac:dyDescent="0.35">
      <c r="A59" t="s">
        <v>32</v>
      </c>
      <c r="B59">
        <v>0</v>
      </c>
    </row>
    <row r="60" spans="1:2" x14ac:dyDescent="0.35">
      <c r="A60" t="s">
        <v>30</v>
      </c>
      <c r="B60">
        <v>1.3119999999999998</v>
      </c>
    </row>
    <row r="61" spans="1:2" x14ac:dyDescent="0.35">
      <c r="A61" t="s">
        <v>33</v>
      </c>
      <c r="B61">
        <v>1.3987599999999999E-4</v>
      </c>
    </row>
    <row r="62" spans="1:2" x14ac:dyDescent="0.35">
      <c r="A62" t="s">
        <v>20</v>
      </c>
      <c r="B62">
        <v>10.75044800125</v>
      </c>
    </row>
    <row r="63" spans="1:2" x14ac:dyDescent="0.35">
      <c r="A63" t="s">
        <v>16</v>
      </c>
      <c r="B63">
        <v>0.13600000000000001</v>
      </c>
    </row>
    <row r="64" spans="1:2" x14ac:dyDescent="0.35">
      <c r="A64" t="s">
        <v>23</v>
      </c>
      <c r="B64">
        <v>0</v>
      </c>
    </row>
    <row r="65" spans="1:2" x14ac:dyDescent="0.35">
      <c r="A65" t="s">
        <v>22</v>
      </c>
      <c r="B65">
        <v>0</v>
      </c>
    </row>
    <row r="66" spans="1:2" x14ac:dyDescent="0.35">
      <c r="A66" t="s">
        <v>24</v>
      </c>
      <c r="B66">
        <v>0</v>
      </c>
    </row>
    <row r="67" spans="1:2" x14ac:dyDescent="0.35">
      <c r="A67" t="s">
        <v>25</v>
      </c>
      <c r="B67">
        <v>0</v>
      </c>
    </row>
    <row r="68" spans="1:2" x14ac:dyDescent="0.35">
      <c r="A68" t="s">
        <v>26</v>
      </c>
      <c r="B68">
        <v>1.4</v>
      </c>
    </row>
    <row r="69" spans="1:2" x14ac:dyDescent="0.35">
      <c r="A69" t="s">
        <v>27</v>
      </c>
      <c r="B69">
        <v>1.0999999999999999E-2</v>
      </c>
    </row>
    <row r="70" spans="1:2" x14ac:dyDescent="0.35">
      <c r="A70" t="s">
        <v>31</v>
      </c>
      <c r="B70">
        <v>0</v>
      </c>
    </row>
    <row r="71" spans="1:2" x14ac:dyDescent="0.35">
      <c r="A71" t="s">
        <v>28</v>
      </c>
      <c r="B71">
        <v>5.56</v>
      </c>
    </row>
    <row r="72" spans="1:2" x14ac:dyDescent="0.35">
      <c r="A72" t="s">
        <v>29</v>
      </c>
      <c r="B72">
        <v>1.7039999999999997</v>
      </c>
    </row>
    <row r="73" spans="1:2" x14ac:dyDescent="0.35">
      <c r="A73" t="s">
        <v>32</v>
      </c>
      <c r="B73">
        <v>0</v>
      </c>
    </row>
    <row r="74" spans="1:2" x14ac:dyDescent="0.35">
      <c r="A74" t="s">
        <v>30</v>
      </c>
      <c r="B74">
        <v>1.9390000000000001</v>
      </c>
    </row>
    <row r="75" spans="1:2" x14ac:dyDescent="0.35">
      <c r="A75" t="s">
        <v>33</v>
      </c>
      <c r="B75">
        <v>4.4800124999999999E-4</v>
      </c>
    </row>
    <row r="76" spans="1:2" x14ac:dyDescent="0.35">
      <c r="A76" t="s">
        <v>92</v>
      </c>
      <c r="B76">
        <v>0.15610527199999996</v>
      </c>
    </row>
    <row r="77" spans="1:2" x14ac:dyDescent="0.35">
      <c r="A77" t="s">
        <v>9</v>
      </c>
      <c r="B77">
        <v>9.7689830000000002E-3</v>
      </c>
    </row>
    <row r="78" spans="1:2" x14ac:dyDescent="0.35">
      <c r="A78" t="s">
        <v>11</v>
      </c>
      <c r="B78">
        <v>8.4909668999999993E-2</v>
      </c>
    </row>
    <row r="79" spans="1:2" x14ac:dyDescent="0.35">
      <c r="A79" t="s">
        <v>12</v>
      </c>
      <c r="B79">
        <v>9.8184910000000004E-3</v>
      </c>
    </row>
    <row r="80" spans="1:2" x14ac:dyDescent="0.35">
      <c r="A80" t="s">
        <v>13</v>
      </c>
      <c r="B80">
        <v>3.0557553000000001E-2</v>
      </c>
    </row>
    <row r="81" spans="1:2" x14ac:dyDescent="0.35">
      <c r="A81" t="s">
        <v>14</v>
      </c>
      <c r="B81">
        <v>9.5341869999999995E-3</v>
      </c>
    </row>
    <row r="82" spans="1:2" x14ac:dyDescent="0.35">
      <c r="A82" t="s">
        <v>15</v>
      </c>
      <c r="B82">
        <v>1.1516389E-2</v>
      </c>
    </row>
    <row r="83" spans="1:2" x14ac:dyDescent="0.35">
      <c r="A83" t="s">
        <v>93</v>
      </c>
      <c r="B83">
        <v>20.969105273050005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ECT_EfficiencyCostMaxAnnualUF</vt:lpstr>
      <vt:lpstr>Sheet1</vt:lpstr>
      <vt:lpstr>ECT_MaxAdd2024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C. Pascale</dc:creator>
  <cp:lastModifiedBy>Andrew C. Pascale</cp:lastModifiedBy>
  <dcterms:created xsi:type="dcterms:W3CDTF">2026-03-25T23:01:35Z</dcterms:created>
  <dcterms:modified xsi:type="dcterms:W3CDTF">2026-03-26T03:20:29Z</dcterms:modified>
</cp:coreProperties>
</file>