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ascale\OneDrive - Princeton University\Documents\GitHub\NZx_caseDev_MacroEP\electricity_fiveZ_8736_1p_nziShadow_stable\viz_compare_info\"/>
    </mc:Choice>
  </mc:AlternateContent>
  <xr:revisionPtr revIDLastSave="0" documentId="13_ncr:1_{D17A01DC-CEA0-4F9B-B950-23270873E845}" xr6:coauthVersionLast="47" xr6:coauthVersionMax="47" xr10:uidLastSave="{00000000-0000-0000-0000-000000000000}"/>
  <bookViews>
    <workbookView xWindow="-120" yWindow="-120" windowWidth="29040" windowHeight="15720" xr2:uid="{0C04E4D0-5751-44E6-BC3B-AD203EDB8BF9}"/>
  </bookViews>
  <sheets>
    <sheet name="ECT_EfficiencyCostMaxAnnualUF" sheetId="1" r:id="rId1"/>
    <sheet name="Carriers" sheetId="4" r:id="rId2"/>
    <sheet name="Transmission" sheetId="3" r:id="rId3"/>
    <sheet name="ECT_MaxAdd2024" sheetId="2" r:id="rId4"/>
  </sheets>
  <definedNames>
    <definedName name="_xlnm._FilterDatabase" localSheetId="0" hidden="1">ECT_EfficiencyCostMaxAnnualUF!#REF!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Z6" i="1"/>
  <c r="D16" i="2"/>
  <c r="D17" i="2"/>
  <c r="D18" i="2"/>
  <c r="D19" i="2"/>
  <c r="D15" i="2"/>
  <c r="P20" i="1"/>
  <c r="P19" i="1"/>
  <c r="P18" i="1"/>
  <c r="P17" i="1"/>
  <c r="D75" i="2"/>
  <c r="D74" i="2"/>
  <c r="D73" i="2"/>
  <c r="D72" i="2"/>
  <c r="D71" i="2"/>
  <c r="D70" i="2"/>
  <c r="D69" i="2"/>
  <c r="D68" i="2"/>
  <c r="D66" i="2"/>
  <c r="D65" i="2"/>
  <c r="D61" i="2"/>
  <c r="D60" i="2"/>
  <c r="D59" i="2"/>
  <c r="D58" i="2"/>
  <c r="D57" i="2"/>
  <c r="D56" i="2"/>
  <c r="D55" i="2"/>
  <c r="D54" i="2"/>
  <c r="D52" i="2"/>
  <c r="D51" i="2"/>
  <c r="D47" i="2"/>
  <c r="D46" i="2"/>
  <c r="D45" i="2"/>
  <c r="D44" i="2"/>
  <c r="D43" i="2"/>
  <c r="D42" i="2"/>
  <c r="D41" i="2"/>
  <c r="D39" i="2"/>
  <c r="D38" i="2"/>
  <c r="D37" i="2"/>
  <c r="D13" i="2"/>
  <c r="D27" i="2"/>
  <c r="D28" i="2"/>
  <c r="D29" i="2"/>
  <c r="D30" i="2"/>
  <c r="D31" i="2"/>
  <c r="D32" i="2"/>
  <c r="D33" i="2"/>
  <c r="D24" i="2"/>
  <c r="D23" i="2"/>
  <c r="D22" i="2"/>
  <c r="D21" i="2"/>
  <c r="D7" i="2"/>
  <c r="D8" i="2"/>
  <c r="D67" i="2"/>
  <c r="D53" i="2"/>
  <c r="D25" i="2"/>
  <c r="D11" i="2"/>
  <c r="D10" i="2"/>
  <c r="P16" i="1"/>
  <c r="P15" i="1"/>
  <c r="P12" i="1"/>
  <c r="P11" i="1"/>
  <c r="D40" i="2"/>
  <c r="D26" i="2"/>
  <c r="D14" i="2"/>
  <c r="D12" i="2"/>
  <c r="P13" i="1"/>
  <c r="P10" i="1"/>
  <c r="P9" i="1"/>
  <c r="P8" i="1"/>
  <c r="P7" i="1"/>
  <c r="P6" i="1"/>
  <c r="AA10" i="1"/>
  <c r="Z10" i="1"/>
  <c r="Y10" i="1"/>
  <c r="S10" i="1" s="1"/>
  <c r="AA9" i="1"/>
  <c r="Z9" i="1"/>
  <c r="Y9" i="1"/>
  <c r="S9" i="1" s="1"/>
  <c r="AA8" i="1"/>
  <c r="Z8" i="1"/>
  <c r="Y8" i="1"/>
  <c r="S8" i="1" s="1"/>
  <c r="AA7" i="1"/>
  <c r="Z7" i="1"/>
  <c r="Y7" i="1"/>
  <c r="S7" i="1" s="1"/>
  <c r="D64" i="2"/>
  <c r="D50" i="2"/>
  <c r="D36" i="2"/>
  <c r="D49" i="2"/>
  <c r="D63" i="2"/>
  <c r="D35" i="2"/>
  <c r="F26" i="1" l="1"/>
  <c r="AB10" i="1"/>
  <c r="AC10" i="1" s="1"/>
  <c r="AB8" i="1"/>
  <c r="AC8" i="1" s="1"/>
  <c r="AB7" i="1"/>
  <c r="AC7" i="1" s="1"/>
  <c r="AB9" i="1"/>
  <c r="AC9" i="1" s="1"/>
  <c r="S6" i="1"/>
  <c r="AA17" i="1"/>
  <c r="AA6" i="1"/>
  <c r="AA11" i="1"/>
  <c r="AA12" i="1"/>
  <c r="Z17" i="1" l="1"/>
  <c r="AB17" i="1" s="1"/>
  <c r="AC17" i="1" s="1"/>
  <c r="Z11" i="1"/>
  <c r="AB11" i="1" s="1"/>
  <c r="AC11" i="1" s="1"/>
  <c r="Z12" i="1"/>
  <c r="AB12" i="1" s="1"/>
  <c r="AC12" i="1" s="1"/>
  <c r="AB6" i="1"/>
  <c r="AC6" i="1" s="1"/>
  <c r="Y12" i="1" l="1"/>
  <c r="Y11" i="1"/>
  <c r="Y13" i="1"/>
  <c r="Y14" i="1"/>
  <c r="Y15" i="1"/>
  <c r="Y16" i="1"/>
  <c r="Y17" i="1"/>
  <c r="Y18" i="1"/>
  <c r="Y19" i="1"/>
  <c r="Y20" i="1"/>
  <c r="Y21" i="1"/>
</calcChain>
</file>

<file path=xl/sharedStrings.xml><?xml version="1.0" encoding="utf-8"?>
<sst xmlns="http://schemas.openxmlformats.org/spreadsheetml/2006/main" count="464" uniqueCount="123">
  <si>
    <t>EnergyConvTech</t>
  </si>
  <si>
    <t>ModelGeography</t>
  </si>
  <si>
    <t>SubGeography1</t>
  </si>
  <si>
    <t>InstYear</t>
  </si>
  <si>
    <t>Year</t>
  </si>
  <si>
    <t>ConvEff</t>
  </si>
  <si>
    <t>MaxAnnualUF</t>
  </si>
  <si>
    <t>INDIA</t>
  </si>
  <si>
    <t>EG_BIOMASS</t>
  </si>
  <si>
    <t>SR</t>
  </si>
  <si>
    <t>NER</t>
  </si>
  <si>
    <t>ER</t>
  </si>
  <si>
    <t>WR</t>
  </si>
  <si>
    <t>NR</t>
  </si>
  <si>
    <t>EG_COAL</t>
  </si>
  <si>
    <t>EG_CCGT</t>
  </si>
  <si>
    <t>EG_LH</t>
  </si>
  <si>
    <t>EG_OCGT</t>
  </si>
  <si>
    <t>EG_PHWR</t>
  </si>
  <si>
    <t>EG_SH</t>
  </si>
  <si>
    <t>EG_SOLARGM</t>
  </si>
  <si>
    <t>EG_SOLARRF</t>
  </si>
  <si>
    <t>EG_WINDON</t>
  </si>
  <si>
    <t>EG_SMR</t>
  </si>
  <si>
    <t>EG_WINDOFF</t>
  </si>
  <si>
    <t>GH_ELECTROLYSIS</t>
  </si>
  <si>
    <t>Lifetime</t>
  </si>
  <si>
    <t>SelfCons</t>
  </si>
  <si>
    <t>MaxRampUpRate</t>
  </si>
  <si>
    <t>MaxRampDownRate</t>
  </si>
  <si>
    <t>CapacityUnit</t>
  </si>
  <si>
    <t>InputEC</t>
  </si>
  <si>
    <t>OutputDEC</t>
  </si>
  <si>
    <t>AnnualOutputPerUnitCapacity</t>
  </si>
  <si>
    <t>GW</t>
  </si>
  <si>
    <t>THERMAL_COAL</t>
  </si>
  <si>
    <t>ELECTRICITY</t>
  </si>
  <si>
    <t>NATGAS</t>
  </si>
  <si>
    <t>ATOMIC</t>
  </si>
  <si>
    <t>HYDEL</t>
  </si>
  <si>
    <t>BIOMASS_WASTE</t>
  </si>
  <si>
    <t>SUNLIGHT</t>
  </si>
  <si>
    <t>WIND</t>
  </si>
  <si>
    <t>CRUDE</t>
  </si>
  <si>
    <t>MS</t>
  </si>
  <si>
    <t>HSD</t>
  </si>
  <si>
    <t>ATF</t>
  </si>
  <si>
    <t>LPG</t>
  </si>
  <si>
    <t>PP_OTHER</t>
  </si>
  <si>
    <t>PETCOKE</t>
  </si>
  <si>
    <t>EmissionType</t>
  </si>
  <si>
    <t>DomEmissionFactor</t>
  </si>
  <si>
    <t>ImpEmissionFactor</t>
  </si>
  <si>
    <t>GHG</t>
  </si>
  <si>
    <t>EnergyCarrier</t>
  </si>
  <si>
    <t>Remarks</t>
  </si>
  <si>
    <t>COKING_COAL</t>
  </si>
  <si>
    <t>20% reduction due to ethanol blending, assuming E20 is fully deployed beginning FY25</t>
  </si>
  <si>
    <t xml:space="preserve"> 5% reduction by FY41 from FY24-34 levels</t>
  </si>
  <si>
    <t>BIOGAS</t>
  </si>
  <si>
    <t>Density of biogas is assumed to be same as natural gas</t>
  </si>
  <si>
    <t>BIOMASS</t>
  </si>
  <si>
    <t>As only fugitive emissions are applicable to crude, emissions for imported crude is assumed as 0 for the ModelGeography</t>
  </si>
  <si>
    <t>BalancingArea</t>
  </si>
  <si>
    <t>BalancingTime</t>
  </si>
  <si>
    <t>PhysicalUnit</t>
  </si>
  <si>
    <t>EnergyUnit</t>
  </si>
  <si>
    <t>DomEnergyDensity</t>
  </si>
  <si>
    <t>ImpEnergyDensity</t>
  </si>
  <si>
    <t>SUBGEOGRAPHY1</t>
  </si>
  <si>
    <t>YEAR</t>
  </si>
  <si>
    <t>MT</t>
  </si>
  <si>
    <t>PJ</t>
  </si>
  <si>
    <t>MODELGEOGRAPHY</t>
  </si>
  <si>
    <t>BCM</t>
  </si>
  <si>
    <t>Row Labels</t>
  </si>
  <si>
    <t>Sum of MaxCapacity</t>
  </si>
  <si>
    <t>ModelGeographySrc</t>
  </si>
  <si>
    <t>SubGeography1Src</t>
  </si>
  <si>
    <t>ModelGeographyDest</t>
  </si>
  <si>
    <t>SubGeography1Dest</t>
  </si>
  <si>
    <t>TransitCost</t>
  </si>
  <si>
    <t>TransitLoss</t>
  </si>
  <si>
    <t>MaxTransit</t>
  </si>
  <si>
    <t>MWh/MT</t>
  </si>
  <si>
    <t>tCO2/MT</t>
  </si>
  <si>
    <t>Fuel Use per MWh</t>
  </si>
  <si>
    <t>VarCost (million Rs / tonne!)</t>
  </si>
  <si>
    <t>VarCost Rs/MWh</t>
  </si>
  <si>
    <t>Total in 2024</t>
  </si>
  <si>
    <t>Source</t>
  </si>
  <si>
    <t>ALL</t>
  </si>
  <si>
    <t>Legacy Fixed Cost (annualized per MW)</t>
  </si>
  <si>
    <t>New Fixed Cost (anualized per MW)</t>
  </si>
  <si>
    <t>tCO2/MWh</t>
  </si>
  <si>
    <t>Variable</t>
  </si>
  <si>
    <t>a</t>
  </si>
  <si>
    <t>b</t>
  </si>
  <si>
    <t>c</t>
  </si>
  <si>
    <t>d</t>
  </si>
  <si>
    <t>e</t>
  </si>
  <si>
    <t>f</t>
  </si>
  <si>
    <t>g</t>
  </si>
  <si>
    <t>h</t>
  </si>
  <si>
    <t>j</t>
  </si>
  <si>
    <t>aa</t>
  </si>
  <si>
    <t>bb</t>
  </si>
  <si>
    <t>cc</t>
  </si>
  <si>
    <t>dd</t>
  </si>
  <si>
    <t>ee</t>
  </si>
  <si>
    <t>Equation</t>
  </si>
  <si>
    <t xml:space="preserve"> = 1/a</t>
  </si>
  <si>
    <t>Unit</t>
  </si>
  <si>
    <t>%</t>
  </si>
  <si>
    <t>years</t>
  </si>
  <si>
    <t>MWh</t>
  </si>
  <si>
    <t>given</t>
  </si>
  <si>
    <t>given *1000</t>
  </si>
  <si>
    <t>k</t>
  </si>
  <si>
    <t>m</t>
  </si>
  <si>
    <t>n</t>
  </si>
  <si>
    <t>MW 2023</t>
  </si>
  <si>
    <t>MW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</si>
</sst>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0.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42" applyNumberFormat="1" applyFont="1"/>
    <xf numFmtId="0" fontId="0" fillId="33" borderId="0" xfId="0" applyFill="1"/>
    <xf numFmtId="2" fontId="0" fillId="0" borderId="0" xfId="0" applyNumberFormat="1"/>
    <xf numFmtId="0" fontId="16" fillId="0" borderId="10" xfId="0" applyFont="1" applyBorder="1"/>
    <xf numFmtId="166" fontId="0" fillId="0" borderId="0" xfId="0" applyNumberFormat="1"/>
    <xf numFmtId="166" fontId="0" fillId="33" borderId="0" xfId="0" applyNumberFormat="1" applyFill="1"/>
    <xf numFmtId="0" fontId="16" fillId="33" borderId="10" xfId="0" applyFont="1" applyFill="1" applyBorder="1"/>
    <xf numFmtId="0" fontId="16" fillId="0" borderId="11" xfId="0" applyFont="1" applyBorder="1"/>
    <xf numFmtId="0" fontId="18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0A1C-B760-4EAD-B5A2-8E53EC693E04}">
  <dimension ref="A1:AC63"/>
  <sheetViews>
    <sheetView tabSelected="1" workbookViewId="0">
      <pane xSplit="1" ySplit="4" topLeftCell="B5" activePane="bottomRight" state="frozen"/>
      <selection pane="topRight" activeCell="B1" sqref="B1"/>
      <selection pane="bottomLeft" activeCell="A3" sqref="A3"/>
      <selection pane="bottomRight" activeCell="P17" sqref="P17"/>
    </sheetView>
  </sheetViews>
  <sheetFormatPr defaultRowHeight="15" x14ac:dyDescent="0.25"/>
  <cols>
    <col min="1" max="1" width="16.5703125" bestFit="1" customWidth="1"/>
    <col min="2" max="2" width="16" bestFit="1" customWidth="1"/>
    <col min="3" max="3" width="12.140625" bestFit="1" customWidth="1"/>
    <col min="4" max="4" width="15.7109375" bestFit="1" customWidth="1"/>
    <col min="5" max="5" width="11.42578125" bestFit="1" customWidth="1"/>
    <col min="6" max="6" width="8.140625" customWidth="1"/>
    <col min="7" max="7" width="6" customWidth="1"/>
    <col min="8" max="8" width="8.28515625" bestFit="1" customWidth="1"/>
    <col min="9" max="9" width="8.5703125" bestFit="1" customWidth="1"/>
    <col min="10" max="10" width="9.28515625" bestFit="1" customWidth="1"/>
    <col min="11" max="11" width="11.42578125" customWidth="1"/>
    <col min="12" max="12" width="13.85546875" customWidth="1"/>
    <col min="13" max="13" width="13.140625" bestFit="1" customWidth="1"/>
    <col min="14" max="15" width="8.85546875" bestFit="1" customWidth="1"/>
    <col min="16" max="16" width="12.140625" customWidth="1"/>
    <col min="17" max="17" width="14.7109375" customWidth="1"/>
    <col min="18" max="18" width="10.85546875" customWidth="1"/>
    <col min="19" max="19" width="16.28515625" bestFit="1" customWidth="1"/>
    <col min="21" max="21" width="12.140625" bestFit="1" customWidth="1"/>
    <col min="22" max="22" width="10.85546875" bestFit="1" customWidth="1"/>
    <col min="23" max="23" width="18.7109375" bestFit="1" customWidth="1"/>
    <col min="24" max="24" width="19.42578125" bestFit="1" customWidth="1"/>
    <col min="25" max="25" width="17.42578125" bestFit="1" customWidth="1"/>
    <col min="26" max="26" width="10.5703125" bestFit="1" customWidth="1"/>
    <col min="27" max="27" width="11.5703125" bestFit="1" customWidth="1"/>
    <col min="28" max="29" width="12" bestFit="1" customWidth="1"/>
  </cols>
  <sheetData>
    <row r="1" spans="1:29" s="10" customFormat="1" x14ac:dyDescent="0.25">
      <c r="A1" s="10" t="s">
        <v>90</v>
      </c>
    </row>
    <row r="2" spans="1:29" s="10" customFormat="1" x14ac:dyDescent="0.25">
      <c r="A2" s="10" t="s">
        <v>95</v>
      </c>
      <c r="H2" s="10" t="s">
        <v>96</v>
      </c>
      <c r="I2" s="10" t="s">
        <v>97</v>
      </c>
      <c r="J2" s="10" t="s">
        <v>98</v>
      </c>
      <c r="K2" s="10" t="s">
        <v>99</v>
      </c>
      <c r="L2" s="10" t="s">
        <v>100</v>
      </c>
      <c r="M2" s="10" t="s">
        <v>101</v>
      </c>
      <c r="N2" s="10" t="s">
        <v>102</v>
      </c>
      <c r="O2" s="10" t="s">
        <v>103</v>
      </c>
      <c r="P2" s="10" t="s">
        <v>104</v>
      </c>
      <c r="Q2" s="10" t="s">
        <v>118</v>
      </c>
      <c r="R2" s="10" t="s">
        <v>119</v>
      </c>
      <c r="S2" s="10" t="s">
        <v>120</v>
      </c>
      <c r="Y2" s="10" t="s">
        <v>105</v>
      </c>
      <c r="Z2" s="10" t="s">
        <v>106</v>
      </c>
      <c r="AA2" s="10" t="s">
        <v>107</v>
      </c>
      <c r="AB2" s="10" t="s">
        <v>108</v>
      </c>
      <c r="AC2" s="10" t="s">
        <v>109</v>
      </c>
    </row>
    <row r="3" spans="1:29" s="10" customFormat="1" x14ac:dyDescent="0.25">
      <c r="A3" s="10" t="s">
        <v>110</v>
      </c>
      <c r="H3" s="10" t="s">
        <v>116</v>
      </c>
      <c r="I3" s="10" t="s">
        <v>116</v>
      </c>
      <c r="J3" s="10" t="s">
        <v>116</v>
      </c>
      <c r="K3" s="10" t="s">
        <v>116</v>
      </c>
      <c r="L3" s="10" t="s">
        <v>116</v>
      </c>
      <c r="M3" s="10" t="s">
        <v>116</v>
      </c>
      <c r="N3" s="10" t="s">
        <v>116</v>
      </c>
      <c r="O3" s="10" t="s">
        <v>116</v>
      </c>
      <c r="P3" s="10" t="s">
        <v>117</v>
      </c>
      <c r="Q3" s="10" t="s">
        <v>117</v>
      </c>
      <c r="R3" s="10" t="s">
        <v>116</v>
      </c>
      <c r="Y3" s="10" t="s">
        <v>111</v>
      </c>
    </row>
    <row r="4" spans="1:29" s="5" customFormat="1" ht="15.75" thickBot="1" x14ac:dyDescent="0.3">
      <c r="A4" s="5" t="s">
        <v>0</v>
      </c>
      <c r="B4" s="5" t="s">
        <v>1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2</v>
      </c>
      <c r="H4" s="5" t="s">
        <v>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6</v>
      </c>
      <c r="N4" s="5" t="s">
        <v>121</v>
      </c>
      <c r="O4" s="5" t="s">
        <v>122</v>
      </c>
      <c r="P4" s="5" t="s">
        <v>92</v>
      </c>
      <c r="Q4" s="5" t="s">
        <v>93</v>
      </c>
      <c r="R4" s="5" t="s">
        <v>87</v>
      </c>
      <c r="S4" s="5" t="s">
        <v>88</v>
      </c>
      <c r="U4" s="5" t="s">
        <v>65</v>
      </c>
      <c r="V4" s="5" t="s">
        <v>66</v>
      </c>
      <c r="W4" s="5" t="s">
        <v>67</v>
      </c>
      <c r="X4" s="5" t="s">
        <v>51</v>
      </c>
      <c r="Y4" s="5" t="s">
        <v>86</v>
      </c>
      <c r="Z4" s="5" t="s">
        <v>85</v>
      </c>
      <c r="AA4" s="5" t="s">
        <v>84</v>
      </c>
      <c r="AB4" s="5" t="s">
        <v>94</v>
      </c>
    </row>
    <row r="5" spans="1:29" s="9" customFormat="1" ht="16.5" thickTop="1" thickBot="1" x14ac:dyDescent="0.3">
      <c r="A5" s="9" t="s">
        <v>112</v>
      </c>
      <c r="H5" s="9" t="s">
        <v>113</v>
      </c>
      <c r="I5" s="9" t="s">
        <v>114</v>
      </c>
      <c r="J5" s="9" t="s">
        <v>115</v>
      </c>
    </row>
    <row r="6" spans="1:29" ht="15.75" thickTop="1" x14ac:dyDescent="0.25">
      <c r="A6" t="s">
        <v>14</v>
      </c>
      <c r="B6" t="s">
        <v>7</v>
      </c>
      <c r="C6" t="s">
        <v>34</v>
      </c>
      <c r="D6" t="s">
        <v>35</v>
      </c>
      <c r="E6" t="s">
        <v>36</v>
      </c>
      <c r="F6">
        <v>8760</v>
      </c>
      <c r="G6" t="s">
        <v>13</v>
      </c>
      <c r="H6" s="6">
        <v>0.38096819999999998</v>
      </c>
      <c r="I6">
        <v>40</v>
      </c>
      <c r="J6" s="1">
        <v>6.6000000000000003E-2</v>
      </c>
      <c r="K6">
        <v>0.3</v>
      </c>
      <c r="L6">
        <v>0.3</v>
      </c>
      <c r="M6">
        <v>0.85</v>
      </c>
      <c r="P6" s="4">
        <f>11751.5992748699*1000</f>
        <v>11751599.274869898</v>
      </c>
      <c r="Q6" s="4">
        <v>13721031.290000001</v>
      </c>
      <c r="R6">
        <v>133.5230182</v>
      </c>
      <c r="S6">
        <f>R6/Y6</f>
        <v>50.868023902221232</v>
      </c>
      <c r="U6" t="s">
        <v>71</v>
      </c>
      <c r="V6" t="s">
        <v>72</v>
      </c>
      <c r="W6">
        <v>17.207187650000002</v>
      </c>
      <c r="X6">
        <v>1871.873679</v>
      </c>
      <c r="Y6">
        <f t="shared" ref="Y6:Y21" si="0">1/H6</f>
        <v>2.624891001401167</v>
      </c>
      <c r="Z6" s="2">
        <f>Carriers!H3*1000</f>
        <v>1871873.679</v>
      </c>
      <c r="AA6" s="2">
        <f>Carriers!G3*277800</f>
        <v>4780156.7291700002</v>
      </c>
      <c r="AB6">
        <f t="shared" ref="AB6:AB11" si="1">Z6/AA6</f>
        <v>0.3915925324325133</v>
      </c>
      <c r="AC6">
        <f t="shared" ref="AC6:AC12" si="2">AB6</f>
        <v>0.3915925324325133</v>
      </c>
    </row>
    <row r="7" spans="1:29" x14ac:dyDescent="0.25">
      <c r="A7" t="s">
        <v>14</v>
      </c>
      <c r="B7" t="s">
        <v>7</v>
      </c>
      <c r="C7" t="s">
        <v>34</v>
      </c>
      <c r="D7" t="s">
        <v>35</v>
      </c>
      <c r="E7" t="s">
        <v>36</v>
      </c>
      <c r="F7">
        <v>8760</v>
      </c>
      <c r="G7" t="s">
        <v>10</v>
      </c>
      <c r="H7" s="6">
        <v>0.38096819999999998</v>
      </c>
      <c r="I7">
        <v>40</v>
      </c>
      <c r="J7" s="1">
        <v>6.6000000000000003E-2</v>
      </c>
      <c r="K7">
        <v>0.3</v>
      </c>
      <c r="L7">
        <v>0.3</v>
      </c>
      <c r="M7">
        <v>0.85</v>
      </c>
      <c r="P7" s="4">
        <f>26148.8463751508*1000</f>
        <v>26148846.3751508</v>
      </c>
      <c r="Q7" s="4">
        <v>13721031.290000001</v>
      </c>
      <c r="R7">
        <v>133.5230182</v>
      </c>
      <c r="S7">
        <f>R7/Y7</f>
        <v>50.868023902221232</v>
      </c>
      <c r="U7" t="s">
        <v>71</v>
      </c>
      <c r="V7" t="s">
        <v>72</v>
      </c>
      <c r="W7">
        <v>17.207187650000002</v>
      </c>
      <c r="X7">
        <v>1871.873679</v>
      </c>
      <c r="Y7">
        <f t="shared" si="0"/>
        <v>2.624891001401167</v>
      </c>
      <c r="Z7" s="2">
        <f>Carriers!H11*1000</f>
        <v>3080754.9</v>
      </c>
      <c r="AA7" s="2">
        <f>Carriers!G4*277800</f>
        <v>10467837.359999999</v>
      </c>
      <c r="AB7">
        <f t="shared" si="1"/>
        <v>0.2943067220142595</v>
      </c>
      <c r="AC7">
        <f t="shared" si="2"/>
        <v>0.2943067220142595</v>
      </c>
    </row>
    <row r="8" spans="1:29" x14ac:dyDescent="0.25">
      <c r="A8" t="s">
        <v>14</v>
      </c>
      <c r="B8" t="s">
        <v>7</v>
      </c>
      <c r="C8" t="s">
        <v>34</v>
      </c>
      <c r="D8" t="s">
        <v>35</v>
      </c>
      <c r="E8" t="s">
        <v>36</v>
      </c>
      <c r="F8">
        <v>8760</v>
      </c>
      <c r="G8" t="s">
        <v>11</v>
      </c>
      <c r="H8" s="6">
        <v>0.38096819999999998</v>
      </c>
      <c r="I8">
        <v>40</v>
      </c>
      <c r="J8" s="1">
        <v>6.6000000000000003E-2</v>
      </c>
      <c r="K8">
        <v>0.3</v>
      </c>
      <c r="L8">
        <v>0.3</v>
      </c>
      <c r="M8">
        <v>0.85</v>
      </c>
      <c r="P8" s="4">
        <f>6514.90571684157*1000</f>
        <v>6514905.7168415701</v>
      </c>
      <c r="Q8" s="4">
        <v>13721031.290000001</v>
      </c>
      <c r="R8">
        <v>133.5230182</v>
      </c>
      <c r="S8">
        <f>R8/Y8</f>
        <v>50.868023902221232</v>
      </c>
      <c r="W8">
        <v>17.207187650000002</v>
      </c>
      <c r="X8">
        <v>1871.873679</v>
      </c>
      <c r="Y8">
        <f t="shared" si="0"/>
        <v>2.624891001401167</v>
      </c>
      <c r="Z8" s="2">
        <f>Carriers!H12*1000</f>
        <v>2464603.92</v>
      </c>
      <c r="AA8" s="2">
        <f>Carriers!G5*277800</f>
        <v>6333840</v>
      </c>
      <c r="AB8">
        <f t="shared" si="1"/>
        <v>0.38911685801977947</v>
      </c>
      <c r="AC8">
        <f t="shared" si="2"/>
        <v>0.38911685801977947</v>
      </c>
    </row>
    <row r="9" spans="1:29" x14ac:dyDescent="0.25">
      <c r="A9" t="s">
        <v>14</v>
      </c>
      <c r="B9" t="s">
        <v>7</v>
      </c>
      <c r="C9" t="s">
        <v>34</v>
      </c>
      <c r="D9" t="s">
        <v>35</v>
      </c>
      <c r="E9" t="s">
        <v>36</v>
      </c>
      <c r="F9">
        <v>8760</v>
      </c>
      <c r="G9" t="s">
        <v>12</v>
      </c>
      <c r="H9" s="6">
        <v>0.38096819999999998</v>
      </c>
      <c r="I9">
        <v>40</v>
      </c>
      <c r="J9" s="1">
        <v>6.6000000000000003E-2</v>
      </c>
      <c r="K9">
        <v>0.3</v>
      </c>
      <c r="L9">
        <v>0.3</v>
      </c>
      <c r="M9">
        <v>0.85</v>
      </c>
      <c r="P9" s="4">
        <f>5794.65159561365*1000</f>
        <v>5794651.59561365</v>
      </c>
      <c r="Q9" s="4">
        <v>13721031.290000001</v>
      </c>
      <c r="R9">
        <v>133.5230182</v>
      </c>
      <c r="S9">
        <f>R9/Y9</f>
        <v>50.868023902221232</v>
      </c>
      <c r="W9">
        <v>17.207187650000002</v>
      </c>
      <c r="X9">
        <v>1871.873679</v>
      </c>
      <c r="Y9">
        <f t="shared" si="0"/>
        <v>2.624891001401167</v>
      </c>
      <c r="Z9" s="2">
        <f>Carriers!H13*1000</f>
        <v>3196749</v>
      </c>
      <c r="AA9" s="2">
        <f>Carriers!G6*277800</f>
        <v>4322568</v>
      </c>
      <c r="AB9">
        <f t="shared" si="1"/>
        <v>0.73954857390329087</v>
      </c>
      <c r="AC9">
        <f t="shared" si="2"/>
        <v>0.73954857390329087</v>
      </c>
    </row>
    <row r="10" spans="1:29" x14ac:dyDescent="0.25">
      <c r="A10" t="s">
        <v>14</v>
      </c>
      <c r="B10" t="s">
        <v>7</v>
      </c>
      <c r="C10" t="s">
        <v>34</v>
      </c>
      <c r="D10" t="s">
        <v>35</v>
      </c>
      <c r="E10" t="s">
        <v>36</v>
      </c>
      <c r="F10">
        <v>8760</v>
      </c>
      <c r="G10" t="s">
        <v>9</v>
      </c>
      <c r="H10" s="6">
        <v>0.38096819999999998</v>
      </c>
      <c r="I10">
        <v>40</v>
      </c>
      <c r="J10" s="1">
        <v>6.6000000000000003E-2</v>
      </c>
      <c r="K10">
        <v>0.3</v>
      </c>
      <c r="L10">
        <v>0.3</v>
      </c>
      <c r="M10">
        <v>0.85</v>
      </c>
      <c r="P10" s="4">
        <f>5822.44460147077*1000</f>
        <v>5822444.6014707703</v>
      </c>
      <c r="Q10" s="4">
        <v>13721031.290000001</v>
      </c>
      <c r="R10">
        <v>133.5230182</v>
      </c>
      <c r="S10">
        <f>R10/Y10</f>
        <v>50.868023902221232</v>
      </c>
      <c r="W10">
        <v>17.207187650000002</v>
      </c>
      <c r="X10">
        <v>1871.873679</v>
      </c>
      <c r="Y10">
        <f t="shared" si="0"/>
        <v>2.624891001401167</v>
      </c>
      <c r="Z10" s="2">
        <f>Carriers!H14*1000</f>
        <v>3080754.9</v>
      </c>
      <c r="AA10" s="2">
        <f>Carriers!G7*277800</f>
        <v>11979858.312000001</v>
      </c>
      <c r="AB10">
        <f t="shared" si="1"/>
        <v>0.25716121341051795</v>
      </c>
      <c r="AC10">
        <f t="shared" si="2"/>
        <v>0.25716121341051795</v>
      </c>
    </row>
    <row r="11" spans="1:29" x14ac:dyDescent="0.25">
      <c r="A11" t="s">
        <v>15</v>
      </c>
      <c r="B11" t="s">
        <v>7</v>
      </c>
      <c r="C11" t="s">
        <v>34</v>
      </c>
      <c r="D11" t="s">
        <v>37</v>
      </c>
      <c r="E11" t="s">
        <v>36</v>
      </c>
      <c r="F11">
        <v>8760</v>
      </c>
      <c r="G11" t="s">
        <v>91</v>
      </c>
      <c r="H11" s="6">
        <v>0.40444272199999998</v>
      </c>
      <c r="I11">
        <v>25</v>
      </c>
      <c r="J11" s="1">
        <v>0.02</v>
      </c>
      <c r="K11">
        <v>0.9</v>
      </c>
      <c r="L11">
        <v>0.9</v>
      </c>
      <c r="M11">
        <v>0.85</v>
      </c>
      <c r="P11" s="4">
        <f>8512.22780274884*1000</f>
        <v>8512227.8027488384</v>
      </c>
      <c r="Q11" s="4">
        <v>8512227.8029999994</v>
      </c>
      <c r="R11">
        <v>0</v>
      </c>
      <c r="S11">
        <v>0</v>
      </c>
      <c r="Y11">
        <f t="shared" si="0"/>
        <v>2.4725380025505812</v>
      </c>
      <c r="Z11" s="2">
        <f>Carriers!H4*1000</f>
        <v>3025024.5490000001</v>
      </c>
      <c r="AA11" s="2">
        <f>Carriers!G4*277800/0.829</f>
        <v>12627065.572979493</v>
      </c>
      <c r="AB11">
        <f t="shared" si="1"/>
        <v>0.23956670942401803</v>
      </c>
      <c r="AC11">
        <f t="shared" si="2"/>
        <v>0.23956670942401803</v>
      </c>
    </row>
    <row r="12" spans="1:29" x14ac:dyDescent="0.25">
      <c r="A12" t="s">
        <v>17</v>
      </c>
      <c r="B12" t="s">
        <v>7</v>
      </c>
      <c r="C12" t="s">
        <v>34</v>
      </c>
      <c r="D12" t="s">
        <v>37</v>
      </c>
      <c r="E12" t="s">
        <v>36</v>
      </c>
      <c r="F12">
        <v>8760</v>
      </c>
      <c r="G12" t="s">
        <v>91</v>
      </c>
      <c r="H12" s="6">
        <v>0.28070162799999998</v>
      </c>
      <c r="I12">
        <v>25</v>
      </c>
      <c r="J12" s="1">
        <v>0.01</v>
      </c>
      <c r="K12">
        <v>1</v>
      </c>
      <c r="L12">
        <v>1</v>
      </c>
      <c r="M12">
        <v>0.85</v>
      </c>
      <c r="P12" s="4">
        <f>6679.75064927145*1000</f>
        <v>6679750.64927145</v>
      </c>
      <c r="Q12" s="4">
        <v>6679750.6489999993</v>
      </c>
      <c r="R12">
        <v>0</v>
      </c>
      <c r="S12">
        <v>0</v>
      </c>
      <c r="Y12">
        <f t="shared" si="0"/>
        <v>3.5625016040163473</v>
      </c>
      <c r="Z12" s="2">
        <f>Carriers!H4*1000</f>
        <v>3025024.5490000001</v>
      </c>
      <c r="AA12" s="2">
        <f>Carriers!G4*277800/0.829</f>
        <v>12627065.572979493</v>
      </c>
      <c r="AB12">
        <f t="shared" ref="AB12" si="3">Z12/AA12</f>
        <v>0.23956670942401803</v>
      </c>
      <c r="AC12">
        <f t="shared" si="2"/>
        <v>0.23956670942401803</v>
      </c>
    </row>
    <row r="13" spans="1:29" x14ac:dyDescent="0.25">
      <c r="A13" t="s">
        <v>18</v>
      </c>
      <c r="B13" t="s">
        <v>7</v>
      </c>
      <c r="C13" t="s">
        <v>34</v>
      </c>
      <c r="D13" t="s">
        <v>38</v>
      </c>
      <c r="E13" t="s">
        <v>36</v>
      </c>
      <c r="F13">
        <v>8760</v>
      </c>
      <c r="G13" t="s">
        <v>91</v>
      </c>
      <c r="H13" s="7">
        <v>1</v>
      </c>
      <c r="I13">
        <v>40</v>
      </c>
      <c r="J13" s="1">
        <v>0.10780000000000001</v>
      </c>
      <c r="K13">
        <v>0.01</v>
      </c>
      <c r="L13">
        <v>0.01</v>
      </c>
      <c r="M13">
        <v>0.70916666699999997</v>
      </c>
      <c r="P13" s="4">
        <f>20833.2103478327*1000</f>
        <v>20833210.347832702</v>
      </c>
      <c r="Q13" s="4">
        <v>20833210.350000001</v>
      </c>
      <c r="R13">
        <v>0</v>
      </c>
      <c r="S13">
        <v>0</v>
      </c>
      <c r="Y13">
        <f t="shared" si="0"/>
        <v>1</v>
      </c>
    </row>
    <row r="14" spans="1:29" x14ac:dyDescent="0.25">
      <c r="A14" t="s">
        <v>23</v>
      </c>
      <c r="B14" t="s">
        <v>7</v>
      </c>
      <c r="C14" t="s">
        <v>34</v>
      </c>
      <c r="D14" t="s">
        <v>38</v>
      </c>
      <c r="E14" t="s">
        <v>36</v>
      </c>
      <c r="F14">
        <v>8760</v>
      </c>
      <c r="G14" t="s">
        <v>91</v>
      </c>
      <c r="H14" s="7">
        <v>1</v>
      </c>
      <c r="I14">
        <v>30</v>
      </c>
      <c r="J14" s="1">
        <v>0.05</v>
      </c>
      <c r="K14">
        <v>0.01</v>
      </c>
      <c r="L14">
        <v>0.01</v>
      </c>
      <c r="M14">
        <v>0.70916666699999997</v>
      </c>
      <c r="P14" s="4"/>
      <c r="Q14" s="4">
        <v>35289429.390000001</v>
      </c>
      <c r="R14">
        <v>0</v>
      </c>
      <c r="S14">
        <v>0</v>
      </c>
      <c r="Y14">
        <f t="shared" si="0"/>
        <v>1</v>
      </c>
    </row>
    <row r="15" spans="1:29" x14ac:dyDescent="0.25">
      <c r="A15" t="s">
        <v>16</v>
      </c>
      <c r="B15" t="s">
        <v>7</v>
      </c>
      <c r="C15" t="s">
        <v>34</v>
      </c>
      <c r="D15" t="s">
        <v>39</v>
      </c>
      <c r="E15" t="s">
        <v>36</v>
      </c>
      <c r="F15">
        <v>8760</v>
      </c>
      <c r="G15" t="s">
        <v>91</v>
      </c>
      <c r="H15" s="6">
        <v>1</v>
      </c>
      <c r="I15">
        <v>40</v>
      </c>
      <c r="J15" s="1">
        <v>6.0000000000000001E-3</v>
      </c>
      <c r="K15">
        <v>1</v>
      </c>
      <c r="L15">
        <v>1</v>
      </c>
      <c r="M15">
        <v>1</v>
      </c>
      <c r="P15" s="4">
        <f>19631.8145207228*1000</f>
        <v>19631814.520722799</v>
      </c>
      <c r="Q15" s="4">
        <v>19631814.52</v>
      </c>
      <c r="R15">
        <v>0</v>
      </c>
      <c r="S15">
        <v>0</v>
      </c>
      <c r="Y15">
        <f t="shared" si="0"/>
        <v>1</v>
      </c>
    </row>
    <row r="16" spans="1:29" x14ac:dyDescent="0.25">
      <c r="A16" t="s">
        <v>19</v>
      </c>
      <c r="B16" t="s">
        <v>7</v>
      </c>
      <c r="C16" t="s">
        <v>34</v>
      </c>
      <c r="D16" t="s">
        <v>39</v>
      </c>
      <c r="E16" t="s">
        <v>36</v>
      </c>
      <c r="F16">
        <v>8760</v>
      </c>
      <c r="G16" t="s">
        <v>91</v>
      </c>
      <c r="H16" s="6">
        <v>1</v>
      </c>
      <c r="I16">
        <v>35</v>
      </c>
      <c r="J16" s="1">
        <v>0.01</v>
      </c>
      <c r="K16">
        <v>1</v>
      </c>
      <c r="L16">
        <v>1</v>
      </c>
      <c r="M16">
        <v>1</v>
      </c>
      <c r="P16" s="4">
        <f>11825.3487554956*1000</f>
        <v>11825348.755495599</v>
      </c>
      <c r="Q16" s="4">
        <v>11825348.760000002</v>
      </c>
      <c r="R16">
        <v>0</v>
      </c>
      <c r="S16">
        <v>0</v>
      </c>
      <c r="Y16">
        <f t="shared" si="0"/>
        <v>1</v>
      </c>
    </row>
    <row r="17" spans="1:29" x14ac:dyDescent="0.25">
      <c r="A17" t="s">
        <v>8</v>
      </c>
      <c r="B17" t="s">
        <v>7</v>
      </c>
      <c r="C17" t="s">
        <v>34</v>
      </c>
      <c r="D17" t="s">
        <v>40</v>
      </c>
      <c r="E17" t="s">
        <v>36</v>
      </c>
      <c r="F17">
        <v>8760</v>
      </c>
      <c r="G17" t="s">
        <v>91</v>
      </c>
      <c r="H17" s="6">
        <v>0.238845897</v>
      </c>
      <c r="I17">
        <v>20</v>
      </c>
      <c r="J17" s="1">
        <v>0.1</v>
      </c>
      <c r="K17">
        <v>0.06</v>
      </c>
      <c r="L17">
        <v>0.06</v>
      </c>
      <c r="M17">
        <v>1</v>
      </c>
      <c r="P17">
        <f>7713.45723965334*1000</f>
        <v>7713457.2396533405</v>
      </c>
      <c r="Q17" s="4">
        <v>7713457.2399999993</v>
      </c>
      <c r="R17">
        <v>0</v>
      </c>
      <c r="S17">
        <v>0</v>
      </c>
      <c r="Y17">
        <f t="shared" si="0"/>
        <v>4.1867999934702667</v>
      </c>
      <c r="Z17" s="2">
        <f>Carriers!H6*1000</f>
        <v>1656436.6880000001</v>
      </c>
      <c r="AA17" s="2">
        <f>Carriers!G8*277800</f>
        <v>3791683.3103999998</v>
      </c>
      <c r="AB17">
        <f t="shared" ref="AB17" si="4">Z17/AA17</f>
        <v>0.43686050558511857</v>
      </c>
      <c r="AC17">
        <f>AB17</f>
        <v>0.43686050558511857</v>
      </c>
    </row>
    <row r="18" spans="1:29" x14ac:dyDescent="0.25">
      <c r="A18" t="s">
        <v>20</v>
      </c>
      <c r="B18" t="s">
        <v>7</v>
      </c>
      <c r="C18" t="s">
        <v>34</v>
      </c>
      <c r="D18" t="s">
        <v>41</v>
      </c>
      <c r="E18" t="s">
        <v>36</v>
      </c>
      <c r="F18">
        <v>8760</v>
      </c>
      <c r="G18" t="s">
        <v>91</v>
      </c>
      <c r="H18" s="6">
        <v>1</v>
      </c>
      <c r="I18">
        <v>25</v>
      </c>
      <c r="J18" s="1">
        <v>0.01</v>
      </c>
      <c r="K18">
        <v>1</v>
      </c>
      <c r="L18">
        <v>1</v>
      </c>
      <c r="M18">
        <v>1</v>
      </c>
      <c r="P18">
        <f>5630.98419436319*1000</f>
        <v>5630984.1943631899</v>
      </c>
      <c r="Q18" s="4">
        <v>5439705.8559999997</v>
      </c>
      <c r="R18">
        <v>0</v>
      </c>
      <c r="S18">
        <v>0</v>
      </c>
      <c r="Y18">
        <f t="shared" si="0"/>
        <v>1</v>
      </c>
    </row>
    <row r="19" spans="1:29" x14ac:dyDescent="0.25">
      <c r="A19" t="s">
        <v>21</v>
      </c>
      <c r="B19" t="s">
        <v>7</v>
      </c>
      <c r="C19" t="s">
        <v>34</v>
      </c>
      <c r="D19" t="s">
        <v>41</v>
      </c>
      <c r="E19" t="s">
        <v>36</v>
      </c>
      <c r="F19">
        <v>8760</v>
      </c>
      <c r="G19" t="s">
        <v>91</v>
      </c>
      <c r="H19" s="6">
        <v>1</v>
      </c>
      <c r="I19">
        <v>25</v>
      </c>
      <c r="J19" s="1">
        <v>6.0000000000000001E-3</v>
      </c>
      <c r="K19">
        <v>1</v>
      </c>
      <c r="L19">
        <v>1</v>
      </c>
      <c r="M19">
        <v>1</v>
      </c>
      <c r="P19">
        <f>5542.18769541597*1000</f>
        <v>5542187.6954159699</v>
      </c>
      <c r="Q19" s="4">
        <v>5362133.8370000003</v>
      </c>
      <c r="R19">
        <v>0</v>
      </c>
      <c r="S19">
        <v>0</v>
      </c>
      <c r="Y19">
        <f t="shared" si="0"/>
        <v>1</v>
      </c>
    </row>
    <row r="20" spans="1:29" x14ac:dyDescent="0.25">
      <c r="A20" t="s">
        <v>22</v>
      </c>
      <c r="B20" t="s">
        <v>7</v>
      </c>
      <c r="C20" t="s">
        <v>34</v>
      </c>
      <c r="D20" t="s">
        <v>42</v>
      </c>
      <c r="E20" t="s">
        <v>36</v>
      </c>
      <c r="F20">
        <v>8760</v>
      </c>
      <c r="G20" t="s">
        <v>91</v>
      </c>
      <c r="H20" s="6">
        <v>1</v>
      </c>
      <c r="I20">
        <v>25</v>
      </c>
      <c r="J20" s="1">
        <v>5.0000000000000001E-3</v>
      </c>
      <c r="K20">
        <v>1</v>
      </c>
      <c r="L20">
        <v>1</v>
      </c>
      <c r="M20">
        <v>1</v>
      </c>
      <c r="P20">
        <f>10659.4302732183*1000</f>
        <v>10659430.2732183</v>
      </c>
      <c r="Q20" s="4">
        <v>10586964.459999999</v>
      </c>
      <c r="R20">
        <v>0</v>
      </c>
      <c r="S20">
        <v>0</v>
      </c>
      <c r="Y20">
        <f t="shared" si="0"/>
        <v>1</v>
      </c>
    </row>
    <row r="21" spans="1:29" x14ac:dyDescent="0.25">
      <c r="A21" t="s">
        <v>24</v>
      </c>
      <c r="B21" t="s">
        <v>7</v>
      </c>
      <c r="C21" t="s">
        <v>34</v>
      </c>
      <c r="D21" t="s">
        <v>42</v>
      </c>
      <c r="E21" t="s">
        <v>36</v>
      </c>
      <c r="F21">
        <v>8760</v>
      </c>
      <c r="G21" t="s">
        <v>91</v>
      </c>
      <c r="H21" s="6">
        <v>1</v>
      </c>
      <c r="I21">
        <v>25</v>
      </c>
      <c r="J21" s="1">
        <v>5.0000000000000001E-3</v>
      </c>
      <c r="K21">
        <v>1</v>
      </c>
      <c r="L21">
        <v>1</v>
      </c>
      <c r="M21">
        <v>1</v>
      </c>
      <c r="Q21" s="4">
        <v>34540361.670000002</v>
      </c>
      <c r="R21">
        <v>0</v>
      </c>
      <c r="S21">
        <v>0</v>
      </c>
      <c r="Y21">
        <f t="shared" si="0"/>
        <v>1</v>
      </c>
    </row>
    <row r="24" spans="1:29" x14ac:dyDescent="0.25">
      <c r="B24" t="s">
        <v>0</v>
      </c>
      <c r="D24" t="s">
        <v>3</v>
      </c>
      <c r="E24" t="s">
        <v>50</v>
      </c>
      <c r="F24" t="s">
        <v>51</v>
      </c>
      <c r="G24" t="s">
        <v>52</v>
      </c>
    </row>
    <row r="25" spans="1:29" x14ac:dyDescent="0.25">
      <c r="B25" t="s">
        <v>14</v>
      </c>
      <c r="D25">
        <v>2023</v>
      </c>
      <c r="E25" t="s">
        <v>53</v>
      </c>
      <c r="F25">
        <v>1942.0976230000001</v>
      </c>
      <c r="G25">
        <v>2057.8978219999999</v>
      </c>
    </row>
    <row r="26" spans="1:29" x14ac:dyDescent="0.25">
      <c r="F26">
        <f>F25/Y10/1000</f>
        <v>0.73987743565858854</v>
      </c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47AC-1326-4512-A875-EA2269A8F204}">
  <dimension ref="A1:L22"/>
  <sheetViews>
    <sheetView workbookViewId="0">
      <selection activeCell="G3" sqref="G3:H3"/>
    </sheetView>
  </sheetViews>
  <sheetFormatPr defaultRowHeight="15" x14ac:dyDescent="0.25"/>
  <cols>
    <col min="1" max="1" width="5" bestFit="1" customWidth="1"/>
    <col min="2" max="2" width="15.7109375" bestFit="1" customWidth="1"/>
    <col min="3" max="3" width="18.140625" bestFit="1" customWidth="1"/>
    <col min="4" max="4" width="14.28515625" bestFit="1" customWidth="1"/>
    <col min="5" max="5" width="12" bestFit="1" customWidth="1"/>
    <col min="6" max="6" width="10.28515625" bestFit="1" customWidth="1"/>
    <col min="7" max="7" width="17.5703125" bestFit="1" customWidth="1"/>
    <col min="8" max="8" width="19.140625" bestFit="1" customWidth="1"/>
    <col min="9" max="9" width="12" bestFit="1" customWidth="1"/>
    <col min="10" max="10" width="16.7109375" bestFit="1" customWidth="1"/>
    <col min="11" max="11" width="17.5703125" bestFit="1" customWidth="1"/>
    <col min="12" max="12" width="110.42578125" bestFit="1" customWidth="1"/>
  </cols>
  <sheetData>
    <row r="1" spans="1:12" x14ac:dyDescent="0.25">
      <c r="A1" t="s">
        <v>4</v>
      </c>
      <c r="B1" t="s">
        <v>54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51</v>
      </c>
      <c r="I1" t="s">
        <v>50</v>
      </c>
      <c r="J1" t="s">
        <v>68</v>
      </c>
      <c r="K1" t="s">
        <v>52</v>
      </c>
      <c r="L1" t="s">
        <v>55</v>
      </c>
    </row>
    <row r="2" spans="1:12" x14ac:dyDescent="0.25">
      <c r="A2">
        <v>2024</v>
      </c>
      <c r="B2" t="s">
        <v>56</v>
      </c>
      <c r="C2" t="s">
        <v>69</v>
      </c>
      <c r="D2" t="s">
        <v>70</v>
      </c>
      <c r="E2" t="s">
        <v>71</v>
      </c>
      <c r="F2" t="s">
        <v>72</v>
      </c>
      <c r="G2">
        <v>20.555669309999999</v>
      </c>
      <c r="H2">
        <v>2257.6805100000001</v>
      </c>
      <c r="I2" t="s">
        <v>53</v>
      </c>
      <c r="J2">
        <v>24.17925129</v>
      </c>
      <c r="K2">
        <v>2760.9</v>
      </c>
    </row>
    <row r="3" spans="1:12" x14ac:dyDescent="0.25">
      <c r="A3">
        <v>2024</v>
      </c>
      <c r="B3" t="s">
        <v>35</v>
      </c>
      <c r="C3" t="s">
        <v>69</v>
      </c>
      <c r="D3" t="s">
        <v>70</v>
      </c>
      <c r="E3" t="s">
        <v>71</v>
      </c>
      <c r="F3" t="s">
        <v>72</v>
      </c>
      <c r="G3">
        <v>17.207187650000002</v>
      </c>
      <c r="H3">
        <v>1871.873679</v>
      </c>
      <c r="I3" t="s">
        <v>53</v>
      </c>
      <c r="J3">
        <v>22.608720000000002</v>
      </c>
      <c r="K3">
        <v>1982.1860300000001</v>
      </c>
    </row>
    <row r="4" spans="1:12" x14ac:dyDescent="0.25">
      <c r="A4">
        <v>2024</v>
      </c>
      <c r="B4" t="s">
        <v>37</v>
      </c>
      <c r="C4" t="s">
        <v>73</v>
      </c>
      <c r="D4" t="s">
        <v>70</v>
      </c>
      <c r="E4" t="s">
        <v>74</v>
      </c>
      <c r="F4" t="s">
        <v>72</v>
      </c>
      <c r="G4">
        <v>37.681199999999997</v>
      </c>
      <c r="H4">
        <v>3025.0245490000002</v>
      </c>
      <c r="I4" t="s">
        <v>53</v>
      </c>
      <c r="J4">
        <v>37.681199999999997</v>
      </c>
      <c r="K4">
        <v>2048.5161600000001</v>
      </c>
    </row>
    <row r="5" spans="1:12" x14ac:dyDescent="0.25">
      <c r="A5">
        <v>2024</v>
      </c>
      <c r="B5" t="s">
        <v>59</v>
      </c>
      <c r="C5" t="s">
        <v>73</v>
      </c>
      <c r="D5" t="s">
        <v>70</v>
      </c>
      <c r="E5" t="s">
        <v>74</v>
      </c>
      <c r="F5" t="s">
        <v>72</v>
      </c>
      <c r="G5">
        <v>22.8</v>
      </c>
      <c r="H5">
        <v>2001.5626</v>
      </c>
      <c r="I5" t="s">
        <v>53</v>
      </c>
      <c r="J5">
        <v>22.8</v>
      </c>
      <c r="K5">
        <v>1246.1225999999999</v>
      </c>
      <c r="L5" t="s">
        <v>60</v>
      </c>
    </row>
    <row r="6" spans="1:12" x14ac:dyDescent="0.25">
      <c r="A6">
        <v>2024</v>
      </c>
      <c r="B6" t="s">
        <v>61</v>
      </c>
      <c r="C6" t="s">
        <v>73</v>
      </c>
      <c r="D6" t="s">
        <v>70</v>
      </c>
      <c r="E6" t="s">
        <v>71</v>
      </c>
      <c r="F6" t="s">
        <v>72</v>
      </c>
      <c r="G6">
        <v>15.56</v>
      </c>
      <c r="H6">
        <v>1656.436688</v>
      </c>
      <c r="I6" t="s">
        <v>53</v>
      </c>
      <c r="J6">
        <v>15.56</v>
      </c>
      <c r="K6">
        <v>1656.436688</v>
      </c>
    </row>
    <row r="7" spans="1:12" x14ac:dyDescent="0.25">
      <c r="A7">
        <v>2024</v>
      </c>
      <c r="B7" t="s">
        <v>43</v>
      </c>
      <c r="C7" t="s">
        <v>73</v>
      </c>
      <c r="D7" t="s">
        <v>70</v>
      </c>
      <c r="E7" t="s">
        <v>71</v>
      </c>
      <c r="F7" t="s">
        <v>72</v>
      </c>
      <c r="G7">
        <v>43.124040000000001</v>
      </c>
      <c r="H7">
        <v>54.232192410000003</v>
      </c>
      <c r="I7" t="s">
        <v>53</v>
      </c>
      <c r="J7">
        <v>43.124040000000001</v>
      </c>
      <c r="K7">
        <v>0</v>
      </c>
      <c r="L7" t="s">
        <v>62</v>
      </c>
    </row>
    <row r="8" spans="1:12" x14ac:dyDescent="0.25">
      <c r="A8">
        <v>2024</v>
      </c>
      <c r="B8" t="s">
        <v>40</v>
      </c>
      <c r="C8" t="s">
        <v>73</v>
      </c>
      <c r="D8" t="s">
        <v>70</v>
      </c>
      <c r="E8" t="s">
        <v>71</v>
      </c>
      <c r="F8" t="s">
        <v>72</v>
      </c>
      <c r="G8">
        <v>13.648968</v>
      </c>
      <c r="H8">
        <v>1292.306701</v>
      </c>
      <c r="I8" t="s">
        <v>53</v>
      </c>
      <c r="J8">
        <v>13.648968</v>
      </c>
      <c r="K8">
        <v>1292.306701</v>
      </c>
    </row>
    <row r="9" spans="1:12" x14ac:dyDescent="0.25">
      <c r="A9">
        <v>2024</v>
      </c>
      <c r="B9" t="s">
        <v>49</v>
      </c>
      <c r="H9">
        <v>3176.6475</v>
      </c>
      <c r="I9" t="s">
        <v>53</v>
      </c>
      <c r="K9">
        <v>3176.6475</v>
      </c>
    </row>
    <row r="10" spans="1:12" x14ac:dyDescent="0.25">
      <c r="A10">
        <v>2024</v>
      </c>
      <c r="B10" t="s">
        <v>48</v>
      </c>
      <c r="H10">
        <v>3141.2837930000001</v>
      </c>
      <c r="I10" t="s">
        <v>53</v>
      </c>
      <c r="K10">
        <v>3141.2837930000001</v>
      </c>
    </row>
    <row r="11" spans="1:12" x14ac:dyDescent="0.25">
      <c r="A11">
        <v>2024</v>
      </c>
      <c r="B11" t="s">
        <v>44</v>
      </c>
      <c r="H11">
        <v>3080.7548999999999</v>
      </c>
      <c r="I11" t="s">
        <v>53</v>
      </c>
      <c r="K11">
        <v>3080.7548999999999</v>
      </c>
    </row>
    <row r="12" spans="1:12" x14ac:dyDescent="0.25">
      <c r="A12">
        <v>2025</v>
      </c>
      <c r="B12" t="s">
        <v>44</v>
      </c>
      <c r="H12">
        <v>2464.60392</v>
      </c>
      <c r="I12" t="s">
        <v>53</v>
      </c>
      <c r="K12">
        <v>2464.60392</v>
      </c>
      <c r="L12" t="s">
        <v>57</v>
      </c>
    </row>
    <row r="13" spans="1:12" x14ac:dyDescent="0.25">
      <c r="A13">
        <v>2024</v>
      </c>
      <c r="B13" t="s">
        <v>45</v>
      </c>
      <c r="H13">
        <v>3196.7489999999998</v>
      </c>
      <c r="I13" t="s">
        <v>53</v>
      </c>
      <c r="K13">
        <v>3196.7489999999998</v>
      </c>
    </row>
    <row r="14" spans="1:12" x14ac:dyDescent="0.25">
      <c r="A14">
        <v>2024</v>
      </c>
      <c r="B14" t="s">
        <v>46</v>
      </c>
      <c r="H14">
        <v>3080.7548999999999</v>
      </c>
      <c r="I14" t="s">
        <v>53</v>
      </c>
      <c r="K14">
        <v>3080.7548999999999</v>
      </c>
    </row>
    <row r="15" spans="1:12" x14ac:dyDescent="0.25">
      <c r="A15">
        <v>2035</v>
      </c>
      <c r="B15" t="s">
        <v>46</v>
      </c>
      <c r="H15">
        <v>3058.2628260000001</v>
      </c>
      <c r="I15" t="s">
        <v>53</v>
      </c>
      <c r="K15">
        <v>3058.2628260000001</v>
      </c>
    </row>
    <row r="16" spans="1:12" x14ac:dyDescent="0.25">
      <c r="A16">
        <v>2036</v>
      </c>
      <c r="B16" t="s">
        <v>46</v>
      </c>
      <c r="H16">
        <v>3035.9349630000002</v>
      </c>
      <c r="I16" t="s">
        <v>53</v>
      </c>
      <c r="K16">
        <v>3035.9349630000002</v>
      </c>
    </row>
    <row r="17" spans="1:12" x14ac:dyDescent="0.25">
      <c r="A17">
        <v>2037</v>
      </c>
      <c r="B17" t="s">
        <v>46</v>
      </c>
      <c r="H17">
        <v>3013.7701120000002</v>
      </c>
      <c r="I17" t="s">
        <v>53</v>
      </c>
      <c r="K17">
        <v>3013.7701120000002</v>
      </c>
    </row>
    <row r="18" spans="1:12" x14ac:dyDescent="0.25">
      <c r="A18">
        <v>2038</v>
      </c>
      <c r="B18" t="s">
        <v>46</v>
      </c>
      <c r="H18">
        <v>2991.7670830000002</v>
      </c>
      <c r="I18" t="s">
        <v>53</v>
      </c>
      <c r="K18">
        <v>2991.7670830000002</v>
      </c>
    </row>
    <row r="19" spans="1:12" x14ac:dyDescent="0.25">
      <c r="A19">
        <v>2039</v>
      </c>
      <c r="B19" t="s">
        <v>46</v>
      </c>
      <c r="H19">
        <v>2969.9246939999998</v>
      </c>
      <c r="I19" t="s">
        <v>53</v>
      </c>
      <c r="K19">
        <v>2969.9246939999998</v>
      </c>
    </row>
    <row r="20" spans="1:12" x14ac:dyDescent="0.25">
      <c r="A20">
        <v>2040</v>
      </c>
      <c r="B20" t="s">
        <v>46</v>
      </c>
      <c r="H20">
        <v>2948.2417730000002</v>
      </c>
      <c r="I20" t="s">
        <v>53</v>
      </c>
      <c r="K20">
        <v>2948.2417730000002</v>
      </c>
    </row>
    <row r="21" spans="1:12" x14ac:dyDescent="0.25">
      <c r="A21">
        <v>2041</v>
      </c>
      <c r="B21" t="s">
        <v>46</v>
      </c>
      <c r="H21">
        <v>2926.7171549999998</v>
      </c>
      <c r="I21" t="s">
        <v>53</v>
      </c>
      <c r="K21">
        <v>2926.7171549999998</v>
      </c>
      <c r="L21" t="s">
        <v>58</v>
      </c>
    </row>
    <row r="22" spans="1:12" x14ac:dyDescent="0.25">
      <c r="A22">
        <v>2024</v>
      </c>
      <c r="B22" t="s">
        <v>47</v>
      </c>
      <c r="H22">
        <v>2987.2078499999998</v>
      </c>
      <c r="I22" t="s">
        <v>53</v>
      </c>
      <c r="K22">
        <v>2987.2078499999998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7979-01CA-4530-A3AC-4E09B913C2CA}">
  <dimension ref="A1:I26"/>
  <sheetViews>
    <sheetView workbookViewId="0">
      <selection activeCell="M9" sqref="M9"/>
    </sheetView>
  </sheetViews>
  <sheetFormatPr defaultRowHeight="15" x14ac:dyDescent="0.25"/>
  <cols>
    <col min="7" max="7" width="12" bestFit="1" customWidth="1"/>
  </cols>
  <sheetData>
    <row r="1" spans="1:9" x14ac:dyDescent="0.25">
      <c r="A1" t="s">
        <v>54</v>
      </c>
      <c r="B1" t="s">
        <v>77</v>
      </c>
      <c r="C1" t="s">
        <v>78</v>
      </c>
      <c r="D1" t="s">
        <v>79</v>
      </c>
      <c r="E1" t="s">
        <v>80</v>
      </c>
      <c r="F1" t="s">
        <v>4</v>
      </c>
      <c r="G1" t="s">
        <v>81</v>
      </c>
      <c r="H1" t="s">
        <v>82</v>
      </c>
      <c r="I1" t="s">
        <v>83</v>
      </c>
    </row>
    <row r="2" spans="1:9" x14ac:dyDescent="0.25">
      <c r="A2" t="s">
        <v>36</v>
      </c>
      <c r="B2" t="s">
        <v>7</v>
      </c>
      <c r="C2" t="s">
        <v>13</v>
      </c>
      <c r="D2" t="s">
        <v>7</v>
      </c>
      <c r="E2" t="s">
        <v>13</v>
      </c>
      <c r="F2">
        <v>2024</v>
      </c>
      <c r="G2">
        <v>2.6248298320000001</v>
      </c>
      <c r="H2">
        <v>0.14930632299999999</v>
      </c>
      <c r="I2">
        <v>-1</v>
      </c>
    </row>
    <row r="3" spans="1:9" x14ac:dyDescent="0.25">
      <c r="A3" t="s">
        <v>36</v>
      </c>
      <c r="B3" t="s">
        <v>7</v>
      </c>
      <c r="C3" t="s">
        <v>12</v>
      </c>
      <c r="D3" t="s">
        <v>7</v>
      </c>
      <c r="E3" t="s">
        <v>12</v>
      </c>
      <c r="F3">
        <v>2024</v>
      </c>
      <c r="G3">
        <v>1.8783627890000001</v>
      </c>
      <c r="H3">
        <v>0.12258155699999999</v>
      </c>
      <c r="I3">
        <v>-1</v>
      </c>
    </row>
    <row r="4" spans="1:9" x14ac:dyDescent="0.25">
      <c r="A4" t="s">
        <v>36</v>
      </c>
      <c r="B4" t="s">
        <v>7</v>
      </c>
      <c r="C4" t="s">
        <v>9</v>
      </c>
      <c r="D4" t="s">
        <v>7</v>
      </c>
      <c r="E4" t="s">
        <v>9</v>
      </c>
      <c r="F4">
        <v>2024</v>
      </c>
      <c r="G4">
        <v>2.8361182519999999</v>
      </c>
      <c r="H4">
        <v>0.106457711</v>
      </c>
      <c r="I4">
        <v>-1</v>
      </c>
    </row>
    <row r="5" spans="1:9" x14ac:dyDescent="0.25">
      <c r="A5" t="s">
        <v>36</v>
      </c>
      <c r="B5" t="s">
        <v>7</v>
      </c>
      <c r="C5" t="s">
        <v>11</v>
      </c>
      <c r="D5" t="s">
        <v>7</v>
      </c>
      <c r="E5" t="s">
        <v>11</v>
      </c>
      <c r="F5">
        <v>2024</v>
      </c>
      <c r="G5">
        <v>1.827294889</v>
      </c>
      <c r="H5">
        <v>0.17367141</v>
      </c>
      <c r="I5">
        <v>-1</v>
      </c>
    </row>
    <row r="6" spans="1:9" x14ac:dyDescent="0.25">
      <c r="A6" t="s">
        <v>36</v>
      </c>
      <c r="B6" t="s">
        <v>7</v>
      </c>
      <c r="C6" t="s">
        <v>10</v>
      </c>
      <c r="D6" t="s">
        <v>7</v>
      </c>
      <c r="E6" t="s">
        <v>10</v>
      </c>
      <c r="F6">
        <v>2024</v>
      </c>
      <c r="G6">
        <v>4.6461250850000004</v>
      </c>
      <c r="H6">
        <v>0.15154467499999999</v>
      </c>
      <c r="I6">
        <v>-1</v>
      </c>
    </row>
    <row r="7" spans="1:9" x14ac:dyDescent="0.25">
      <c r="A7" t="s">
        <v>36</v>
      </c>
      <c r="B7" t="s">
        <v>7</v>
      </c>
      <c r="C7" t="s">
        <v>13</v>
      </c>
      <c r="D7" t="s">
        <v>7</v>
      </c>
      <c r="E7" t="s">
        <v>12</v>
      </c>
      <c r="F7">
        <v>2024</v>
      </c>
      <c r="G7">
        <v>0.50994571399999999</v>
      </c>
      <c r="H7">
        <v>3.5000000000000003E-2</v>
      </c>
      <c r="I7">
        <v>36.72</v>
      </c>
    </row>
    <row r="8" spans="1:9" x14ac:dyDescent="0.25">
      <c r="A8" t="s">
        <v>36</v>
      </c>
      <c r="B8" t="s">
        <v>7</v>
      </c>
      <c r="C8" t="s">
        <v>12</v>
      </c>
      <c r="D8" t="s">
        <v>7</v>
      </c>
      <c r="E8" t="s">
        <v>9</v>
      </c>
      <c r="F8">
        <v>2024</v>
      </c>
      <c r="G8">
        <v>0.50994571399999999</v>
      </c>
      <c r="H8">
        <v>3.5000000000000003E-2</v>
      </c>
      <c r="I8">
        <v>22.32</v>
      </c>
    </row>
    <row r="9" spans="1:9" x14ac:dyDescent="0.25">
      <c r="A9" t="s">
        <v>36</v>
      </c>
      <c r="B9" t="s">
        <v>7</v>
      </c>
      <c r="C9" t="s">
        <v>9</v>
      </c>
      <c r="D9" t="s">
        <v>7</v>
      </c>
      <c r="E9" t="s">
        <v>11</v>
      </c>
      <c r="F9">
        <v>2024</v>
      </c>
      <c r="G9">
        <v>0.50994571399999999</v>
      </c>
      <c r="H9">
        <v>3.5000000000000003E-2</v>
      </c>
      <c r="I9">
        <v>5.83</v>
      </c>
    </row>
    <row r="10" spans="1:9" x14ac:dyDescent="0.25">
      <c r="A10" t="s">
        <v>36</v>
      </c>
      <c r="B10" t="s">
        <v>7</v>
      </c>
      <c r="C10" t="s">
        <v>11</v>
      </c>
      <c r="D10" t="s">
        <v>7</v>
      </c>
      <c r="E10" t="s">
        <v>10</v>
      </c>
      <c r="F10">
        <v>2024</v>
      </c>
      <c r="G10">
        <v>0.50994571399999999</v>
      </c>
      <c r="H10">
        <v>3.5000000000000003E-2</v>
      </c>
      <c r="I10">
        <v>2.95</v>
      </c>
    </row>
    <row r="11" spans="1:9" x14ac:dyDescent="0.25">
      <c r="A11" t="s">
        <v>36</v>
      </c>
      <c r="B11" t="s">
        <v>7</v>
      </c>
      <c r="C11" t="s">
        <v>10</v>
      </c>
      <c r="D11" t="s">
        <v>7</v>
      </c>
      <c r="E11" t="s">
        <v>13</v>
      </c>
      <c r="F11">
        <v>2024</v>
      </c>
      <c r="G11">
        <v>0.50994571399999999</v>
      </c>
      <c r="H11">
        <v>3.5000000000000003E-2</v>
      </c>
      <c r="I11">
        <v>3</v>
      </c>
    </row>
    <row r="12" spans="1:9" x14ac:dyDescent="0.25">
      <c r="A12" t="s">
        <v>36</v>
      </c>
      <c r="B12" t="s">
        <v>7</v>
      </c>
      <c r="C12" t="s">
        <v>13</v>
      </c>
      <c r="D12" t="s">
        <v>7</v>
      </c>
      <c r="E12" t="s">
        <v>9</v>
      </c>
      <c r="F12">
        <v>2024</v>
      </c>
      <c r="G12">
        <v>0.50994571399999999</v>
      </c>
      <c r="H12">
        <v>3.5000000000000003E-2</v>
      </c>
      <c r="I12">
        <v>0</v>
      </c>
    </row>
    <row r="13" spans="1:9" x14ac:dyDescent="0.25">
      <c r="A13" t="s">
        <v>36</v>
      </c>
      <c r="B13" t="s">
        <v>7</v>
      </c>
      <c r="C13" t="s">
        <v>12</v>
      </c>
      <c r="D13" t="s">
        <v>7</v>
      </c>
      <c r="E13" t="s">
        <v>11</v>
      </c>
      <c r="F13">
        <v>2024</v>
      </c>
      <c r="G13">
        <v>0.50994571399999999</v>
      </c>
      <c r="H13">
        <v>3.5000000000000003E-2</v>
      </c>
      <c r="I13">
        <v>21.19</v>
      </c>
    </row>
    <row r="14" spans="1:9" x14ac:dyDescent="0.25">
      <c r="A14" t="s">
        <v>36</v>
      </c>
      <c r="B14" t="s">
        <v>7</v>
      </c>
      <c r="C14" t="s">
        <v>9</v>
      </c>
      <c r="D14" t="s">
        <v>7</v>
      </c>
      <c r="E14" t="s">
        <v>10</v>
      </c>
      <c r="F14">
        <v>2024</v>
      </c>
      <c r="G14">
        <v>0.50994571399999999</v>
      </c>
      <c r="H14">
        <v>3.5000000000000003E-2</v>
      </c>
      <c r="I14">
        <v>0</v>
      </c>
    </row>
    <row r="15" spans="1:9" x14ac:dyDescent="0.25">
      <c r="A15" t="s">
        <v>36</v>
      </c>
      <c r="B15" t="s">
        <v>7</v>
      </c>
      <c r="C15" t="s">
        <v>11</v>
      </c>
      <c r="D15" t="s">
        <v>7</v>
      </c>
      <c r="E15" t="s">
        <v>13</v>
      </c>
      <c r="F15">
        <v>2024</v>
      </c>
      <c r="G15">
        <v>0.50994571399999999</v>
      </c>
      <c r="H15">
        <v>3.5000000000000003E-2</v>
      </c>
      <c r="I15">
        <v>22.53</v>
      </c>
    </row>
    <row r="16" spans="1:9" x14ac:dyDescent="0.25">
      <c r="A16" t="s">
        <v>36</v>
      </c>
      <c r="B16" t="s">
        <v>7</v>
      </c>
      <c r="C16" t="s">
        <v>10</v>
      </c>
      <c r="D16" t="s">
        <v>7</v>
      </c>
      <c r="E16" t="s">
        <v>12</v>
      </c>
      <c r="F16">
        <v>2024</v>
      </c>
      <c r="G16">
        <v>0.50994571399999999</v>
      </c>
      <c r="H16">
        <v>3.5000000000000003E-2</v>
      </c>
      <c r="I16">
        <v>0</v>
      </c>
    </row>
    <row r="17" spans="1:9" x14ac:dyDescent="0.25">
      <c r="A17" t="s">
        <v>36</v>
      </c>
      <c r="B17" t="s">
        <v>7</v>
      </c>
      <c r="C17" t="s">
        <v>13</v>
      </c>
      <c r="D17" t="s">
        <v>7</v>
      </c>
      <c r="E17" t="s">
        <v>11</v>
      </c>
      <c r="F17">
        <v>2024</v>
      </c>
      <c r="G17">
        <v>0.50994571399999999</v>
      </c>
      <c r="H17">
        <v>3.5000000000000003E-2</v>
      </c>
      <c r="I17">
        <v>19.53</v>
      </c>
    </row>
    <row r="18" spans="1:9" x14ac:dyDescent="0.25">
      <c r="A18" t="s">
        <v>36</v>
      </c>
      <c r="B18" t="s">
        <v>7</v>
      </c>
      <c r="C18" t="s">
        <v>12</v>
      </c>
      <c r="D18" t="s">
        <v>7</v>
      </c>
      <c r="E18" t="s">
        <v>10</v>
      </c>
      <c r="F18">
        <v>2024</v>
      </c>
      <c r="G18">
        <v>0.50994571399999999</v>
      </c>
      <c r="H18">
        <v>3.5000000000000003E-2</v>
      </c>
      <c r="I18">
        <v>0</v>
      </c>
    </row>
    <row r="19" spans="1:9" x14ac:dyDescent="0.25">
      <c r="A19" t="s">
        <v>36</v>
      </c>
      <c r="B19" t="s">
        <v>7</v>
      </c>
      <c r="C19" t="s">
        <v>9</v>
      </c>
      <c r="D19" t="s">
        <v>7</v>
      </c>
      <c r="E19" t="s">
        <v>13</v>
      </c>
      <c r="F19">
        <v>2024</v>
      </c>
      <c r="G19">
        <v>0.50994571399999999</v>
      </c>
      <c r="H19">
        <v>3.5000000000000003E-2</v>
      </c>
      <c r="I19">
        <v>0</v>
      </c>
    </row>
    <row r="20" spans="1:9" x14ac:dyDescent="0.25">
      <c r="A20" t="s">
        <v>36</v>
      </c>
      <c r="B20" t="s">
        <v>7</v>
      </c>
      <c r="C20" t="s">
        <v>11</v>
      </c>
      <c r="D20" t="s">
        <v>7</v>
      </c>
      <c r="E20" t="s">
        <v>12</v>
      </c>
      <c r="F20">
        <v>2024</v>
      </c>
      <c r="G20">
        <v>0.50994571399999999</v>
      </c>
      <c r="H20">
        <v>3.5000000000000003E-2</v>
      </c>
      <c r="I20">
        <v>21.19</v>
      </c>
    </row>
    <row r="21" spans="1:9" x14ac:dyDescent="0.25">
      <c r="A21" t="s">
        <v>36</v>
      </c>
      <c r="B21" t="s">
        <v>7</v>
      </c>
      <c r="C21" t="s">
        <v>10</v>
      </c>
      <c r="D21" t="s">
        <v>7</v>
      </c>
      <c r="E21" t="s">
        <v>9</v>
      </c>
      <c r="F21">
        <v>2024</v>
      </c>
      <c r="G21">
        <v>0.50994571399999999</v>
      </c>
      <c r="H21">
        <v>3.5000000000000003E-2</v>
      </c>
      <c r="I21">
        <v>0</v>
      </c>
    </row>
    <row r="22" spans="1:9" x14ac:dyDescent="0.25">
      <c r="A22" t="s">
        <v>36</v>
      </c>
      <c r="B22" t="s">
        <v>7</v>
      </c>
      <c r="C22" t="s">
        <v>13</v>
      </c>
      <c r="D22" t="s">
        <v>7</v>
      </c>
      <c r="E22" t="s">
        <v>10</v>
      </c>
      <c r="F22">
        <v>2024</v>
      </c>
      <c r="G22">
        <v>0.50994571399999999</v>
      </c>
      <c r="H22">
        <v>3.5000000000000003E-2</v>
      </c>
      <c r="I22">
        <v>1.5</v>
      </c>
    </row>
    <row r="23" spans="1:9" x14ac:dyDescent="0.25">
      <c r="A23" t="s">
        <v>36</v>
      </c>
      <c r="B23" t="s">
        <v>7</v>
      </c>
      <c r="C23" t="s">
        <v>12</v>
      </c>
      <c r="D23" t="s">
        <v>7</v>
      </c>
      <c r="E23" t="s">
        <v>13</v>
      </c>
      <c r="F23">
        <v>2024</v>
      </c>
      <c r="G23">
        <v>0.50994571399999999</v>
      </c>
      <c r="H23">
        <v>3.5000000000000003E-2</v>
      </c>
      <c r="I23">
        <v>32.57</v>
      </c>
    </row>
    <row r="24" spans="1:9" x14ac:dyDescent="0.25">
      <c r="A24" t="s">
        <v>36</v>
      </c>
      <c r="B24" t="s">
        <v>7</v>
      </c>
      <c r="C24" t="s">
        <v>9</v>
      </c>
      <c r="D24" t="s">
        <v>7</v>
      </c>
      <c r="E24" t="s">
        <v>12</v>
      </c>
      <c r="F24">
        <v>2024</v>
      </c>
      <c r="G24">
        <v>0.50994571399999999</v>
      </c>
      <c r="H24">
        <v>3.5000000000000003E-2</v>
      </c>
      <c r="I24">
        <v>19.93</v>
      </c>
    </row>
    <row r="25" spans="1:9" x14ac:dyDescent="0.25">
      <c r="A25" t="s">
        <v>36</v>
      </c>
      <c r="B25" t="s">
        <v>7</v>
      </c>
      <c r="C25" t="s">
        <v>11</v>
      </c>
      <c r="D25" t="s">
        <v>7</v>
      </c>
      <c r="E25" t="s">
        <v>9</v>
      </c>
      <c r="F25">
        <v>2024</v>
      </c>
      <c r="G25">
        <v>0.50994571399999999</v>
      </c>
      <c r="H25">
        <v>3.5000000000000003E-2</v>
      </c>
      <c r="I25">
        <v>7.83</v>
      </c>
    </row>
    <row r="26" spans="1:9" x14ac:dyDescent="0.25">
      <c r="A26" t="s">
        <v>36</v>
      </c>
      <c r="B26" t="s">
        <v>7</v>
      </c>
      <c r="C26" t="s">
        <v>10</v>
      </c>
      <c r="D26" t="s">
        <v>7</v>
      </c>
      <c r="E26" t="s">
        <v>11</v>
      </c>
      <c r="F26">
        <v>2024</v>
      </c>
      <c r="G26">
        <v>0.50994571399999999</v>
      </c>
      <c r="H26">
        <v>3.5000000000000003E-2</v>
      </c>
      <c r="I26">
        <v>2.95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57D1-393A-4F40-8106-786EE712202A}">
  <dimension ref="A3:D75"/>
  <sheetViews>
    <sheetView workbookViewId="0">
      <selection activeCell="M73" sqref="M73"/>
    </sheetView>
  </sheetViews>
  <sheetFormatPr defaultRowHeight="15" x14ac:dyDescent="0.25"/>
  <cols>
    <col min="1" max="1" width="16.140625" bestFit="1" customWidth="1"/>
    <col min="2" max="2" width="17.28515625" bestFit="1" customWidth="1"/>
    <col min="4" max="4" width="9.140625" style="3"/>
  </cols>
  <sheetData>
    <row r="3" spans="1:4" x14ac:dyDescent="0.25">
      <c r="A3" t="s">
        <v>4</v>
      </c>
      <c r="B3">
        <v>2024</v>
      </c>
      <c r="C3">
        <v>2023</v>
      </c>
      <c r="D3" s="3" t="s">
        <v>89</v>
      </c>
    </row>
    <row r="5" spans="1:4" x14ac:dyDescent="0.25">
      <c r="A5" t="s">
        <v>75</v>
      </c>
      <c r="B5" t="s">
        <v>76</v>
      </c>
    </row>
    <row r="6" spans="1:4" s="5" customFormat="1" ht="15.75" thickBot="1" x14ac:dyDescent="0.3">
      <c r="A6" s="5" t="s">
        <v>13</v>
      </c>
      <c r="B6" s="5">
        <v>5.7302850662000004</v>
      </c>
      <c r="D6" s="8"/>
    </row>
    <row r="7" spans="1:4" ht="15.75" thickTop="1" x14ac:dyDescent="0.25">
      <c r="A7" t="s">
        <v>8</v>
      </c>
      <c r="B7">
        <v>0.14300000000000002</v>
      </c>
      <c r="C7">
        <v>3355.17</v>
      </c>
      <c r="D7" s="3">
        <f>B7*1000+C7</f>
        <v>3498.17</v>
      </c>
    </row>
    <row r="8" spans="1:4" x14ac:dyDescent="0.25">
      <c r="A8" t="s">
        <v>15</v>
      </c>
      <c r="B8">
        <v>0</v>
      </c>
      <c r="C8">
        <v>7330.5</v>
      </c>
      <c r="D8" s="3">
        <f>B8*1000+C8</f>
        <v>7330.5</v>
      </c>
    </row>
    <row r="9" spans="1:4" x14ac:dyDescent="0.25">
      <c r="A9" t="s">
        <v>14</v>
      </c>
      <c r="B9">
        <v>0</v>
      </c>
      <c r="C9">
        <v>0</v>
      </c>
    </row>
    <row r="10" spans="1:4" x14ac:dyDescent="0.25">
      <c r="A10" t="s">
        <v>16</v>
      </c>
      <c r="B10">
        <v>0</v>
      </c>
      <c r="C10">
        <v>20500</v>
      </c>
      <c r="D10" s="3">
        <f t="shared" ref="D10:D15" si="0">B10*1000+C10</f>
        <v>20500</v>
      </c>
    </row>
    <row r="11" spans="1:4" x14ac:dyDescent="0.25">
      <c r="A11" t="s">
        <v>17</v>
      </c>
      <c r="B11">
        <v>0</v>
      </c>
      <c r="C11">
        <v>0</v>
      </c>
      <c r="D11" s="3">
        <f t="shared" si="0"/>
        <v>0</v>
      </c>
    </row>
    <row r="12" spans="1:4" x14ac:dyDescent="0.25">
      <c r="A12" t="s">
        <v>18</v>
      </c>
      <c r="B12">
        <v>0</v>
      </c>
      <c r="C12">
        <v>1603.5</v>
      </c>
      <c r="D12" s="3">
        <f t="shared" si="0"/>
        <v>1603.5</v>
      </c>
    </row>
    <row r="13" spans="1:4" x14ac:dyDescent="0.25">
      <c r="A13" t="s">
        <v>19</v>
      </c>
      <c r="B13">
        <v>2.8000000000000001E-2</v>
      </c>
      <c r="C13">
        <v>1700</v>
      </c>
      <c r="D13" s="3">
        <f t="shared" si="0"/>
        <v>1728</v>
      </c>
    </row>
    <row r="14" spans="1:4" x14ac:dyDescent="0.25">
      <c r="A14" t="s">
        <v>23</v>
      </c>
      <c r="B14">
        <v>0</v>
      </c>
      <c r="C14">
        <v>0</v>
      </c>
      <c r="D14" s="3">
        <f t="shared" si="0"/>
        <v>0</v>
      </c>
    </row>
    <row r="15" spans="1:4" x14ac:dyDescent="0.25">
      <c r="A15" t="s">
        <v>20</v>
      </c>
      <c r="B15">
        <v>4.7910000000000004</v>
      </c>
      <c r="C15">
        <v>19996.72</v>
      </c>
      <c r="D15" s="3">
        <f t="shared" si="0"/>
        <v>24787.72</v>
      </c>
    </row>
    <row r="16" spans="1:4" x14ac:dyDescent="0.25">
      <c r="A16" t="s">
        <v>21</v>
      </c>
      <c r="B16">
        <v>0.76600000000000001</v>
      </c>
      <c r="C16">
        <v>2666.3</v>
      </c>
      <c r="D16" s="3">
        <f t="shared" ref="D16:D19" si="1">B16*1000+C16</f>
        <v>3432.3</v>
      </c>
    </row>
    <row r="17" spans="1:4" x14ac:dyDescent="0.25">
      <c r="A17" t="s">
        <v>24</v>
      </c>
      <c r="B17">
        <v>0</v>
      </c>
      <c r="C17">
        <v>0</v>
      </c>
      <c r="D17" s="3">
        <f t="shared" si="1"/>
        <v>0</v>
      </c>
    </row>
    <row r="18" spans="1:4" x14ac:dyDescent="0.25">
      <c r="A18" t="s">
        <v>22</v>
      </c>
      <c r="B18">
        <v>2E-3</v>
      </c>
      <c r="C18">
        <v>5301.4</v>
      </c>
      <c r="D18" s="3">
        <f t="shared" si="1"/>
        <v>5303.4</v>
      </c>
    </row>
    <row r="19" spans="1:4" x14ac:dyDescent="0.25">
      <c r="A19" t="s">
        <v>25</v>
      </c>
      <c r="B19">
        <v>2.8506619999999996E-4</v>
      </c>
      <c r="C19">
        <v>0</v>
      </c>
      <c r="D19" s="3">
        <f t="shared" si="1"/>
        <v>0.28506619999999994</v>
      </c>
    </row>
    <row r="20" spans="1:4" s="5" customFormat="1" ht="15.75" thickBot="1" x14ac:dyDescent="0.3">
      <c r="A20" s="5" t="s">
        <v>10</v>
      </c>
      <c r="B20" s="5">
        <v>2.6021153999999998E-2</v>
      </c>
      <c r="D20" s="8"/>
    </row>
    <row r="21" spans="1:4" ht="15.75" thickTop="1" x14ac:dyDescent="0.25">
      <c r="A21" t="s">
        <v>8</v>
      </c>
      <c r="B21">
        <v>1E-3</v>
      </c>
      <c r="C21">
        <v>15.8</v>
      </c>
      <c r="D21" s="3">
        <f t="shared" ref="D21:D26" si="2">B21*1000+C21</f>
        <v>16.8</v>
      </c>
    </row>
    <row r="22" spans="1:4" x14ac:dyDescent="0.25">
      <c r="A22" t="s">
        <v>15</v>
      </c>
      <c r="B22">
        <v>0</v>
      </c>
      <c r="C22">
        <v>2002.4</v>
      </c>
      <c r="D22" s="3">
        <f t="shared" si="2"/>
        <v>2002.4</v>
      </c>
    </row>
    <row r="23" spans="1:4" x14ac:dyDescent="0.25">
      <c r="A23" t="s">
        <v>14</v>
      </c>
      <c r="B23">
        <v>0</v>
      </c>
      <c r="C23">
        <v>0</v>
      </c>
      <c r="D23" s="3">
        <f t="shared" si="2"/>
        <v>0</v>
      </c>
    </row>
    <row r="24" spans="1:4" x14ac:dyDescent="0.25">
      <c r="A24" t="s">
        <v>16</v>
      </c>
      <c r="B24">
        <v>0</v>
      </c>
      <c r="C24">
        <v>1850</v>
      </c>
      <c r="D24" s="3">
        <f t="shared" si="2"/>
        <v>1850</v>
      </c>
    </row>
    <row r="25" spans="1:4" x14ac:dyDescent="0.25">
      <c r="A25" t="s">
        <v>17</v>
      </c>
      <c r="B25">
        <v>0</v>
      </c>
      <c r="C25">
        <v>0</v>
      </c>
      <c r="D25" s="3">
        <f t="shared" si="2"/>
        <v>0</v>
      </c>
    </row>
    <row r="26" spans="1:4" x14ac:dyDescent="0.25">
      <c r="A26" t="s">
        <v>18</v>
      </c>
      <c r="B26">
        <v>0</v>
      </c>
      <c r="C26">
        <v>0</v>
      </c>
      <c r="D26" s="3">
        <f t="shared" si="2"/>
        <v>0</v>
      </c>
    </row>
    <row r="27" spans="1:4" x14ac:dyDescent="0.25">
      <c r="A27" t="s">
        <v>19</v>
      </c>
      <c r="B27">
        <v>9.9999999999999985E-3</v>
      </c>
      <c r="C27">
        <v>300</v>
      </c>
      <c r="D27" s="3">
        <f t="shared" ref="D27:D33" si="3">B27*1000+C27</f>
        <v>310</v>
      </c>
    </row>
    <row r="28" spans="1:4" x14ac:dyDescent="0.25">
      <c r="A28" t="s">
        <v>23</v>
      </c>
      <c r="B28">
        <v>0</v>
      </c>
      <c r="C28">
        <v>0</v>
      </c>
      <c r="D28" s="3">
        <f t="shared" si="3"/>
        <v>0</v>
      </c>
    </row>
    <row r="29" spans="1:4" x14ac:dyDescent="0.25">
      <c r="A29" t="s">
        <v>20</v>
      </c>
      <c r="B29">
        <v>7.0000000000000001E-3</v>
      </c>
      <c r="C29">
        <v>171.48</v>
      </c>
      <c r="D29" s="3">
        <f t="shared" si="3"/>
        <v>178.48</v>
      </c>
    </row>
    <row r="30" spans="1:4" x14ac:dyDescent="0.25">
      <c r="A30" t="s">
        <v>21</v>
      </c>
      <c r="B30">
        <v>8.0000000000000002E-3</v>
      </c>
      <c r="C30">
        <v>67.599999999999994</v>
      </c>
      <c r="D30" s="3">
        <f t="shared" si="3"/>
        <v>75.599999999999994</v>
      </c>
    </row>
    <row r="31" spans="1:4" x14ac:dyDescent="0.25">
      <c r="A31" t="s">
        <v>24</v>
      </c>
      <c r="B31">
        <v>0</v>
      </c>
      <c r="C31">
        <v>0</v>
      </c>
      <c r="D31" s="3">
        <f t="shared" si="3"/>
        <v>0</v>
      </c>
    </row>
    <row r="32" spans="1:4" x14ac:dyDescent="0.25">
      <c r="A32" t="s">
        <v>22</v>
      </c>
      <c r="B32">
        <v>0</v>
      </c>
      <c r="C32">
        <v>0</v>
      </c>
      <c r="D32" s="3">
        <f t="shared" si="3"/>
        <v>0</v>
      </c>
    </row>
    <row r="33" spans="1:4" x14ac:dyDescent="0.25">
      <c r="A33" t="s">
        <v>25</v>
      </c>
      <c r="B33">
        <v>2.1154000000000001E-5</v>
      </c>
      <c r="C33">
        <v>0</v>
      </c>
      <c r="D33" s="3">
        <f t="shared" si="3"/>
        <v>2.1154000000000003E-2</v>
      </c>
    </row>
    <row r="34" spans="1:4" s="5" customFormat="1" ht="15.75" thickBot="1" x14ac:dyDescent="0.3">
      <c r="A34" s="5" t="s">
        <v>11</v>
      </c>
      <c r="B34" s="5">
        <v>0.20710590360000003</v>
      </c>
      <c r="D34" s="8"/>
    </row>
    <row r="35" spans="1:4" ht="15.75" thickTop="1" x14ac:dyDescent="0.25">
      <c r="A35" t="s">
        <v>8</v>
      </c>
      <c r="B35">
        <v>2.3E-2</v>
      </c>
      <c r="D35" s="3">
        <f>B35*1000+560.64</f>
        <v>583.64</v>
      </c>
    </row>
    <row r="36" spans="1:4" x14ac:dyDescent="0.25">
      <c r="A36" t="s">
        <v>15</v>
      </c>
      <c r="B36">
        <v>0</v>
      </c>
      <c r="D36" s="3">
        <f>B36*1000+770.8</f>
        <v>770.8</v>
      </c>
    </row>
    <row r="37" spans="1:4" x14ac:dyDescent="0.25">
      <c r="A37" t="s">
        <v>14</v>
      </c>
      <c r="B37">
        <v>0</v>
      </c>
      <c r="D37" s="3">
        <f t="shared" ref="D37:D39" si="4">B37*1000+C37</f>
        <v>0</v>
      </c>
    </row>
    <row r="38" spans="1:4" x14ac:dyDescent="0.25">
      <c r="A38" t="s">
        <v>16</v>
      </c>
      <c r="B38">
        <v>0</v>
      </c>
      <c r="C38">
        <v>4200</v>
      </c>
      <c r="D38" s="3">
        <f t="shared" si="4"/>
        <v>4200</v>
      </c>
    </row>
    <row r="39" spans="1:4" x14ac:dyDescent="0.25">
      <c r="A39" t="s">
        <v>17</v>
      </c>
      <c r="B39">
        <v>0</v>
      </c>
      <c r="C39">
        <v>0</v>
      </c>
      <c r="D39" s="3">
        <f t="shared" si="4"/>
        <v>0</v>
      </c>
    </row>
    <row r="40" spans="1:4" x14ac:dyDescent="0.25">
      <c r="A40" t="s">
        <v>18</v>
      </c>
      <c r="B40">
        <v>0</v>
      </c>
      <c r="C40">
        <v>0</v>
      </c>
      <c r="D40" s="3">
        <f>B40*1000+C40</f>
        <v>0</v>
      </c>
    </row>
    <row r="41" spans="1:4" x14ac:dyDescent="0.25">
      <c r="A41" t="s">
        <v>19</v>
      </c>
      <c r="B41">
        <v>6.0000000000000001E-3</v>
      </c>
      <c r="C41">
        <v>350</v>
      </c>
      <c r="D41" s="3">
        <f t="shared" ref="D41:D47" si="5">B41*1000+C41</f>
        <v>356</v>
      </c>
    </row>
    <row r="42" spans="1:4" x14ac:dyDescent="0.25">
      <c r="A42" t="s">
        <v>23</v>
      </c>
      <c r="B42">
        <v>0</v>
      </c>
      <c r="C42">
        <v>0</v>
      </c>
      <c r="D42" s="3">
        <f t="shared" si="5"/>
        <v>0</v>
      </c>
    </row>
    <row r="43" spans="1:4" x14ac:dyDescent="0.25">
      <c r="A43" t="s">
        <v>20</v>
      </c>
      <c r="B43">
        <v>0.04</v>
      </c>
      <c r="C43">
        <v>847.72</v>
      </c>
      <c r="D43" s="3">
        <f t="shared" si="5"/>
        <v>887.72</v>
      </c>
    </row>
    <row r="44" spans="1:4" x14ac:dyDescent="0.25">
      <c r="A44" t="s">
        <v>21</v>
      </c>
      <c r="B44">
        <v>0.13800000000000001</v>
      </c>
      <c r="C44">
        <v>2000</v>
      </c>
      <c r="D44" s="3">
        <f t="shared" si="5"/>
        <v>2138</v>
      </c>
    </row>
    <row r="45" spans="1:4" x14ac:dyDescent="0.25">
      <c r="A45" t="s">
        <v>24</v>
      </c>
      <c r="B45">
        <v>0</v>
      </c>
      <c r="D45" s="3">
        <f t="shared" si="5"/>
        <v>0</v>
      </c>
    </row>
    <row r="46" spans="1:4" x14ac:dyDescent="0.25">
      <c r="A46" t="s">
        <v>22</v>
      </c>
      <c r="B46">
        <v>0</v>
      </c>
      <c r="C46">
        <v>46</v>
      </c>
      <c r="D46" s="3">
        <f t="shared" si="5"/>
        <v>46</v>
      </c>
    </row>
    <row r="47" spans="1:4" x14ac:dyDescent="0.25">
      <c r="A47" t="s">
        <v>25</v>
      </c>
      <c r="B47">
        <v>1.0590360000000001E-4</v>
      </c>
      <c r="D47" s="3">
        <f t="shared" si="5"/>
        <v>0.1059036</v>
      </c>
    </row>
    <row r="48" spans="1:4" s="5" customFormat="1" ht="15.75" thickBot="1" x14ac:dyDescent="0.3">
      <c r="A48" s="5" t="s">
        <v>12</v>
      </c>
      <c r="B48" s="5">
        <v>10.75044800125</v>
      </c>
      <c r="D48" s="8"/>
    </row>
    <row r="49" spans="1:4" ht="15.75" thickTop="1" x14ac:dyDescent="0.25">
      <c r="A49" t="s">
        <v>8</v>
      </c>
      <c r="B49">
        <v>0.13600000000000001</v>
      </c>
      <c r="D49" s="3">
        <f>B49*1000+3161.7</f>
        <v>3297.7</v>
      </c>
    </row>
    <row r="50" spans="1:4" x14ac:dyDescent="0.25">
      <c r="A50" t="s">
        <v>15</v>
      </c>
      <c r="B50">
        <v>0</v>
      </c>
      <c r="D50" s="3">
        <f>B50*1000+13563.1</f>
        <v>13563.1</v>
      </c>
    </row>
    <row r="51" spans="1:4" x14ac:dyDescent="0.25">
      <c r="A51" t="s">
        <v>14</v>
      </c>
      <c r="B51">
        <v>0</v>
      </c>
      <c r="D51" s="3">
        <f t="shared" ref="D51:D52" si="6">B51*1000+C51</f>
        <v>0</v>
      </c>
    </row>
    <row r="52" spans="1:4" x14ac:dyDescent="0.25">
      <c r="A52" t="s">
        <v>16</v>
      </c>
      <c r="B52">
        <v>0</v>
      </c>
      <c r="C52">
        <v>7900</v>
      </c>
      <c r="D52" s="3">
        <f t="shared" si="6"/>
        <v>7900</v>
      </c>
    </row>
    <row r="53" spans="1:4" x14ac:dyDescent="0.25">
      <c r="A53" t="s">
        <v>17</v>
      </c>
      <c r="B53">
        <v>0</v>
      </c>
      <c r="C53">
        <v>0</v>
      </c>
      <c r="D53" s="3">
        <f>B53*1000+C53</f>
        <v>0</v>
      </c>
    </row>
    <row r="54" spans="1:4" x14ac:dyDescent="0.25">
      <c r="A54" t="s">
        <v>18</v>
      </c>
      <c r="B54">
        <v>1.4</v>
      </c>
      <c r="C54">
        <v>3247.6</v>
      </c>
      <c r="D54" s="3">
        <f t="shared" ref="D54:D61" si="7">B54*1000+C54</f>
        <v>4647.6000000000004</v>
      </c>
    </row>
    <row r="55" spans="1:4" x14ac:dyDescent="0.25">
      <c r="A55" t="s">
        <v>19</v>
      </c>
      <c r="B55">
        <v>1.0999999999999999E-2</v>
      </c>
      <c r="C55">
        <v>700</v>
      </c>
      <c r="D55" s="3">
        <f t="shared" si="7"/>
        <v>711</v>
      </c>
    </row>
    <row r="56" spans="1:4" x14ac:dyDescent="0.25">
      <c r="A56" t="s">
        <v>23</v>
      </c>
      <c r="B56">
        <v>0</v>
      </c>
      <c r="D56" s="3">
        <f t="shared" si="7"/>
        <v>0</v>
      </c>
    </row>
    <row r="57" spans="1:4" x14ac:dyDescent="0.25">
      <c r="A57" t="s">
        <v>20</v>
      </c>
      <c r="B57">
        <v>5.56</v>
      </c>
      <c r="C57">
        <v>13221.9</v>
      </c>
      <c r="D57" s="3">
        <f t="shared" si="7"/>
        <v>18781.900000000001</v>
      </c>
    </row>
    <row r="58" spans="1:4" x14ac:dyDescent="0.25">
      <c r="A58" t="s">
        <v>21</v>
      </c>
      <c r="B58">
        <v>1.7039999999999997</v>
      </c>
      <c r="C58">
        <v>4503.3999999999996</v>
      </c>
      <c r="D58" s="3">
        <f t="shared" si="7"/>
        <v>6207.4</v>
      </c>
    </row>
    <row r="59" spans="1:4" x14ac:dyDescent="0.25">
      <c r="A59" t="s">
        <v>24</v>
      </c>
      <c r="B59">
        <v>0</v>
      </c>
      <c r="D59" s="3">
        <f t="shared" si="7"/>
        <v>0</v>
      </c>
    </row>
    <row r="60" spans="1:4" x14ac:dyDescent="0.25">
      <c r="A60" t="s">
        <v>22</v>
      </c>
      <c r="B60">
        <v>1.9390000000000001</v>
      </c>
      <c r="C60">
        <v>18661</v>
      </c>
      <c r="D60" s="3">
        <f t="shared" si="7"/>
        <v>20600</v>
      </c>
    </row>
    <row r="61" spans="1:4" x14ac:dyDescent="0.25">
      <c r="A61" t="s">
        <v>25</v>
      </c>
      <c r="B61">
        <v>4.4800124999999999E-4</v>
      </c>
      <c r="D61" s="3">
        <f t="shared" si="7"/>
        <v>0.44800124999999996</v>
      </c>
    </row>
    <row r="62" spans="1:4" s="5" customFormat="1" ht="15.75" thickBot="1" x14ac:dyDescent="0.3">
      <c r="A62" s="5" t="s">
        <v>9</v>
      </c>
      <c r="B62" s="5">
        <v>4.0991398760000006</v>
      </c>
      <c r="D62" s="8"/>
    </row>
    <row r="63" spans="1:4" ht="15.75" thickTop="1" x14ac:dyDescent="0.25">
      <c r="A63" t="s">
        <v>8</v>
      </c>
      <c r="B63">
        <v>0.16</v>
      </c>
      <c r="D63" s="3">
        <f>B63*1000+3734.75</f>
        <v>3894.75</v>
      </c>
    </row>
    <row r="64" spans="1:4" x14ac:dyDescent="0.25">
      <c r="A64" t="s">
        <v>15</v>
      </c>
      <c r="B64">
        <v>0.37</v>
      </c>
      <c r="D64" s="3">
        <f>B64*1000+7730.2</f>
        <v>8100.2</v>
      </c>
    </row>
    <row r="65" spans="1:4" x14ac:dyDescent="0.25">
      <c r="A65" t="s">
        <v>14</v>
      </c>
      <c r="B65">
        <v>0</v>
      </c>
      <c r="D65" s="3">
        <f t="shared" ref="D65:D66" si="8">B65*1000+C65</f>
        <v>0</v>
      </c>
    </row>
    <row r="66" spans="1:4" x14ac:dyDescent="0.25">
      <c r="A66" t="s">
        <v>16</v>
      </c>
      <c r="B66">
        <v>0</v>
      </c>
      <c r="C66">
        <v>12200</v>
      </c>
      <c r="D66" s="3">
        <f t="shared" si="8"/>
        <v>12200</v>
      </c>
    </row>
    <row r="67" spans="1:4" x14ac:dyDescent="0.25">
      <c r="A67" t="s">
        <v>17</v>
      </c>
      <c r="B67">
        <v>0</v>
      </c>
      <c r="C67">
        <v>0</v>
      </c>
      <c r="D67" s="3">
        <f>B67*1000+C67</f>
        <v>0</v>
      </c>
    </row>
    <row r="68" spans="1:4" x14ac:dyDescent="0.25">
      <c r="A68" t="s">
        <v>18</v>
      </c>
      <c r="B68">
        <v>0</v>
      </c>
      <c r="C68">
        <v>3320</v>
      </c>
      <c r="D68" s="3">
        <f t="shared" ref="D68:D75" si="9">B68*1000+C68</f>
        <v>3320</v>
      </c>
    </row>
    <row r="69" spans="1:4" x14ac:dyDescent="0.25">
      <c r="A69" t="s">
        <v>19</v>
      </c>
      <c r="B69">
        <v>1.7000000000000001E-2</v>
      </c>
      <c r="C69">
        <v>2000</v>
      </c>
      <c r="D69" s="3">
        <f t="shared" si="9"/>
        <v>2017</v>
      </c>
    </row>
    <row r="70" spans="1:4" x14ac:dyDescent="0.25">
      <c r="A70" t="s">
        <v>23</v>
      </c>
      <c r="B70">
        <v>0</v>
      </c>
      <c r="C70">
        <v>0</v>
      </c>
      <c r="D70" s="3">
        <f t="shared" si="9"/>
        <v>0</v>
      </c>
    </row>
    <row r="71" spans="1:4" x14ac:dyDescent="0.25">
      <c r="A71" t="s">
        <v>20</v>
      </c>
      <c r="B71">
        <v>1.6219999999999999</v>
      </c>
      <c r="C71">
        <v>24128.9</v>
      </c>
      <c r="D71" s="3">
        <f t="shared" si="9"/>
        <v>25750.9</v>
      </c>
    </row>
    <row r="72" spans="1:4" x14ac:dyDescent="0.25">
      <c r="A72" t="s">
        <v>21</v>
      </c>
      <c r="B72">
        <v>0.61799999999999999</v>
      </c>
      <c r="C72">
        <v>2030.8</v>
      </c>
      <c r="D72" s="3">
        <f t="shared" si="9"/>
        <v>2648.8</v>
      </c>
    </row>
    <row r="73" spans="1:4" x14ac:dyDescent="0.25">
      <c r="A73" t="s">
        <v>24</v>
      </c>
      <c r="B73">
        <v>0</v>
      </c>
      <c r="D73" s="3">
        <f t="shared" si="9"/>
        <v>0</v>
      </c>
    </row>
    <row r="74" spans="1:4" x14ac:dyDescent="0.25">
      <c r="A74" t="s">
        <v>22</v>
      </c>
      <c r="B74">
        <v>1.3119999999999998</v>
      </c>
      <c r="C74">
        <v>22161.3</v>
      </c>
      <c r="D74" s="3">
        <f t="shared" si="9"/>
        <v>23473.3</v>
      </c>
    </row>
    <row r="75" spans="1:4" x14ac:dyDescent="0.25">
      <c r="A75" t="s">
        <v>25</v>
      </c>
      <c r="B75">
        <v>1.3987599999999999E-4</v>
      </c>
      <c r="D75" s="3">
        <f t="shared" si="9"/>
        <v>0.139876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ECT_EfficiencyCostMaxAnnualUF</vt:lpstr>
      <vt:lpstr>Carriers</vt:lpstr>
      <vt:lpstr>Transmission</vt:lpstr>
      <vt:lpstr>ECT_MaxAdd2024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C. Pascale</dc:creator>
  <cp:lastModifiedBy>Andrew C. Pascale</cp:lastModifiedBy>
  <dcterms:created xsi:type="dcterms:W3CDTF">2026-03-25T23:01:35Z</dcterms:created>
  <dcterms:modified xsi:type="dcterms:W3CDTF">2026-04-15T08:11:19Z</dcterms:modified>
</cp:coreProperties>
</file>