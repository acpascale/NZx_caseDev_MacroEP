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ascale\OneDrive - Princeton University\Documents\GitHub\NZx_caseDev_MacroEP\electricity_fiveZ_8736_2p_nziShadow_dev\viz_compare_info\"/>
    </mc:Choice>
  </mc:AlternateContent>
  <xr:revisionPtr revIDLastSave="0" documentId="13_ncr:1_{9CF6DD8C-1AAA-498C-AD55-CE11BCE9330B}" xr6:coauthVersionLast="47" xr6:coauthVersionMax="47" xr10:uidLastSave="{00000000-0000-0000-0000-000000000000}"/>
  <bookViews>
    <workbookView xWindow="-120" yWindow="-120" windowWidth="29040" windowHeight="15720" tabRatio="815" activeTab="10" xr2:uid="{0C04E4D0-5751-44E6-BC3B-AD203EDB8BF9}"/>
  </bookViews>
  <sheets>
    <sheet name="PeriodMap" sheetId="15" r:id="rId1"/>
    <sheet name="assets_gen_p1" sheetId="1" r:id="rId2"/>
    <sheet name="assets_gen_p2" sheetId="17" r:id="rId3"/>
    <sheet name="assets_stor_p1" sheetId="20" r:id="rId4"/>
    <sheet name="assets_stor_p2" sheetId="21" r:id="rId5"/>
    <sheet name="Nodes_P1" sheetId="10" r:id="rId6"/>
    <sheet name="Nodes_P2" sheetId="19" r:id="rId7"/>
    <sheet name="Capacity" sheetId="14" r:id="rId8"/>
    <sheet name="CarriersTech_characteristics" sheetId="4" r:id="rId9"/>
    <sheet name="Conversions" sheetId="11" r:id="rId10"/>
    <sheet name="Transmission" sheetId="3" r:id="rId11"/>
    <sheet name="Tx-CTU-rollingplans" sheetId="6" r:id="rId12"/>
  </sheets>
  <externalReferences>
    <externalReference r:id="rId13"/>
  </externalReferences>
  <definedNames>
    <definedName name="_xlnm._FilterDatabase" localSheetId="1" hidden="1">assets_gen_p1!#REF!</definedName>
    <definedName name="_xlnm._FilterDatabase" localSheetId="2" hidden="1">assets_gen_p2!#REF!</definedName>
    <definedName name="_xlnm._FilterDatabase" localSheetId="3" hidden="1">assets_stor_p1!#REF!</definedName>
    <definedName name="_xlnm._FilterDatabase" localSheetId="4" hidden="1">assets_stor_p2!#REF!</definedName>
    <definedName name="Escalation_rate">[1]!COAL_TransitCost_Esc[#All]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9" i="21" l="1"/>
  <c r="U10" i="21"/>
  <c r="U11" i="21"/>
  <c r="U12" i="21"/>
  <c r="U13" i="21"/>
  <c r="U14" i="21"/>
  <c r="U15" i="21"/>
  <c r="U16" i="21"/>
  <c r="U17" i="21"/>
  <c r="U18" i="21"/>
  <c r="U19" i="21"/>
  <c r="U20" i="21"/>
  <c r="U21" i="21"/>
  <c r="U22" i="21"/>
  <c r="U23" i="21"/>
  <c r="U24" i="21"/>
  <c r="U25" i="21"/>
  <c r="U26" i="21"/>
  <c r="U27" i="21"/>
  <c r="U8" i="21"/>
  <c r="U28" i="21" s="1"/>
  <c r="T9" i="21"/>
  <c r="T10" i="21"/>
  <c r="T11" i="21"/>
  <c r="T12" i="21"/>
  <c r="T13" i="21"/>
  <c r="T14" i="21"/>
  <c r="T15" i="21"/>
  <c r="T16" i="21"/>
  <c r="T17" i="21"/>
  <c r="T18" i="21"/>
  <c r="T19" i="21"/>
  <c r="T20" i="21"/>
  <c r="T21" i="21"/>
  <c r="T22" i="21"/>
  <c r="T23" i="21"/>
  <c r="T24" i="21"/>
  <c r="T25" i="21"/>
  <c r="T26" i="21"/>
  <c r="T27" i="21"/>
  <c r="T8" i="21"/>
  <c r="T28" i="21" s="1"/>
  <c r="S29" i="21"/>
  <c r="T29" i="21"/>
  <c r="U29" i="21"/>
  <c r="S30" i="21"/>
  <c r="T30" i="21"/>
  <c r="U30" i="21"/>
  <c r="S31" i="21"/>
  <c r="T31" i="21"/>
  <c r="U31" i="21"/>
  <c r="R11" i="21"/>
  <c r="R10" i="21"/>
  <c r="R9" i="21"/>
  <c r="R8" i="21"/>
  <c r="R11" i="20"/>
  <c r="R10" i="20"/>
  <c r="R9" i="20"/>
  <c r="R8" i="20"/>
  <c r="Q9" i="21"/>
  <c r="Q10" i="21"/>
  <c r="Q11" i="21"/>
  <c r="Q8" i="21"/>
  <c r="W31" i="21"/>
  <c r="V31" i="21"/>
  <c r="W30" i="21"/>
  <c r="V30" i="21"/>
  <c r="P30" i="21"/>
  <c r="W29" i="21"/>
  <c r="V29" i="21"/>
  <c r="P29" i="21"/>
  <c r="W28" i="21"/>
  <c r="V28" i="21"/>
  <c r="S28" i="21"/>
  <c r="P28" i="21"/>
  <c r="Y27" i="21"/>
  <c r="Z27" i="21" s="1"/>
  <c r="S27" i="21"/>
  <c r="AA27" i="21"/>
  <c r="AB27" i="21" s="1"/>
  <c r="AA26" i="21"/>
  <c r="AB26" i="21" s="1"/>
  <c r="Y26" i="21"/>
  <c r="Z26" i="21" s="1"/>
  <c r="AA25" i="21"/>
  <c r="AB25" i="21" s="1"/>
  <c r="Y25" i="21"/>
  <c r="Z25" i="21" s="1"/>
  <c r="AA24" i="21"/>
  <c r="AB24" i="21" s="1"/>
  <c r="Y24" i="21"/>
  <c r="Z24" i="21" s="1"/>
  <c r="Y23" i="21"/>
  <c r="Z23" i="21" s="1"/>
  <c r="S23" i="21"/>
  <c r="AA23" i="21"/>
  <c r="AB23" i="21" s="1"/>
  <c r="AA22" i="21"/>
  <c r="AB22" i="21" s="1"/>
  <c r="Y22" i="21"/>
  <c r="Z22" i="21" s="1"/>
  <c r="AA21" i="21"/>
  <c r="AB21" i="21" s="1"/>
  <c r="Y21" i="21"/>
  <c r="Z21" i="21" s="1"/>
  <c r="AA20" i="21"/>
  <c r="AB20" i="21" s="1"/>
  <c r="Y20" i="21"/>
  <c r="Z20" i="21" s="1"/>
  <c r="Y19" i="21"/>
  <c r="Z19" i="21" s="1"/>
  <c r="S19" i="21"/>
  <c r="AA19" i="21"/>
  <c r="AB19" i="21" s="1"/>
  <c r="AA18" i="21"/>
  <c r="AB18" i="21" s="1"/>
  <c r="Y18" i="21"/>
  <c r="Z18" i="21" s="1"/>
  <c r="AA17" i="21"/>
  <c r="AB17" i="21" s="1"/>
  <c r="Y17" i="21"/>
  <c r="Z17" i="21" s="1"/>
  <c r="AA16" i="21"/>
  <c r="AB16" i="21" s="1"/>
  <c r="Y16" i="21"/>
  <c r="Z16" i="21" s="1"/>
  <c r="Y15" i="21"/>
  <c r="Z15" i="21" s="1"/>
  <c r="S15" i="21"/>
  <c r="AA15" i="21"/>
  <c r="AB15" i="21" s="1"/>
  <c r="AA14" i="21"/>
  <c r="AB14" i="21" s="1"/>
  <c r="Y14" i="21"/>
  <c r="Z14" i="21" s="1"/>
  <c r="AA13" i="21"/>
  <c r="AB13" i="21" s="1"/>
  <c r="Y13" i="21"/>
  <c r="Z13" i="21" s="1"/>
  <c r="AA12" i="21"/>
  <c r="AB12" i="21" s="1"/>
  <c r="Y12" i="21"/>
  <c r="Z12" i="21" s="1"/>
  <c r="Y11" i="21"/>
  <c r="S11" i="21"/>
  <c r="AA10" i="21"/>
  <c r="Y10" i="21"/>
  <c r="AA9" i="21"/>
  <c r="Y9" i="21"/>
  <c r="AA8" i="21"/>
  <c r="Y8" i="21"/>
  <c r="T9" i="20"/>
  <c r="U9" i="20"/>
  <c r="T10" i="20"/>
  <c r="U10" i="20"/>
  <c r="T12" i="20"/>
  <c r="U12" i="20"/>
  <c r="T13" i="20"/>
  <c r="U13" i="20"/>
  <c r="T14" i="20"/>
  <c r="U14" i="20"/>
  <c r="T16" i="20"/>
  <c r="U16" i="20"/>
  <c r="T17" i="20"/>
  <c r="U17" i="20"/>
  <c r="T18" i="20"/>
  <c r="U18" i="20"/>
  <c r="T20" i="20"/>
  <c r="U20" i="20"/>
  <c r="T21" i="20"/>
  <c r="U21" i="20"/>
  <c r="T22" i="20"/>
  <c r="U22" i="20"/>
  <c r="T24" i="20"/>
  <c r="U24" i="20"/>
  <c r="T25" i="20"/>
  <c r="U25" i="20"/>
  <c r="T26" i="20"/>
  <c r="U26" i="20"/>
  <c r="U8" i="20"/>
  <c r="T8" i="20"/>
  <c r="AJ8" i="17"/>
  <c r="AA8" i="20"/>
  <c r="AI8" i="17"/>
  <c r="AA9" i="20"/>
  <c r="AA10" i="20"/>
  <c r="AA12" i="20"/>
  <c r="AB12" i="20" s="1"/>
  <c r="AA13" i="20"/>
  <c r="AB13" i="20" s="1"/>
  <c r="AA14" i="20"/>
  <c r="AB14" i="20" s="1"/>
  <c r="AA16" i="20"/>
  <c r="AB16" i="20" s="1"/>
  <c r="AA17" i="20"/>
  <c r="AB17" i="20" s="1"/>
  <c r="AA18" i="20"/>
  <c r="AB18" i="20" s="1"/>
  <c r="AA20" i="20"/>
  <c r="AB20" i="20" s="1"/>
  <c r="AA21" i="20"/>
  <c r="AB21" i="20" s="1"/>
  <c r="AA22" i="20"/>
  <c r="AB22" i="20" s="1"/>
  <c r="AA24" i="20"/>
  <c r="AB24" i="20" s="1"/>
  <c r="AA25" i="20"/>
  <c r="AB25" i="20" s="1"/>
  <c r="AA26" i="20"/>
  <c r="AB26" i="20" s="1"/>
  <c r="AK32" i="17"/>
  <c r="AI67" i="17"/>
  <c r="AI66" i="17"/>
  <c r="AI65" i="17"/>
  <c r="AI64" i="17"/>
  <c r="AI63" i="17"/>
  <c r="AI62" i="17"/>
  <c r="AI61" i="17"/>
  <c r="AI60" i="17"/>
  <c r="AI59" i="17"/>
  <c r="AI58" i="17"/>
  <c r="AI57" i="17"/>
  <c r="AI56" i="17"/>
  <c r="AI55" i="17"/>
  <c r="AJ55" i="17" s="1"/>
  <c r="AK55" i="17" s="1"/>
  <c r="AI54" i="17"/>
  <c r="AJ54" i="17" s="1"/>
  <c r="AK54" i="17" s="1"/>
  <c r="AI53" i="17"/>
  <c r="AJ53" i="17" s="1"/>
  <c r="AK53" i="17" s="1"/>
  <c r="AI52" i="17"/>
  <c r="AJ52" i="17" s="1"/>
  <c r="AK52" i="17" s="1"/>
  <c r="AI51" i="17"/>
  <c r="AJ51" i="17" s="1"/>
  <c r="AK51" i="17" s="1"/>
  <c r="AI50" i="17"/>
  <c r="AJ50" i="17" s="1"/>
  <c r="AI49" i="17"/>
  <c r="AJ49" i="17" s="1"/>
  <c r="AI48" i="17"/>
  <c r="AJ48" i="17" s="1"/>
  <c r="AK48" i="17" s="1"/>
  <c r="AI47" i="17"/>
  <c r="AJ47" i="17" s="1"/>
  <c r="AK47" i="17" s="1"/>
  <c r="AI46" i="17"/>
  <c r="AJ46" i="17" s="1"/>
  <c r="AK46" i="17" s="1"/>
  <c r="AI45" i="17"/>
  <c r="AJ45" i="17" s="1"/>
  <c r="AI44" i="17"/>
  <c r="AJ44" i="17" s="1"/>
  <c r="AK44" i="17" s="1"/>
  <c r="AI43" i="17"/>
  <c r="AJ43" i="17" s="1"/>
  <c r="AK43" i="17" s="1"/>
  <c r="AI42" i="17"/>
  <c r="AJ42" i="17" s="1"/>
  <c r="AK42" i="17" s="1"/>
  <c r="AI41" i="17"/>
  <c r="AJ41" i="17" s="1"/>
  <c r="AK41" i="17" s="1"/>
  <c r="AI40" i="17"/>
  <c r="AJ40" i="17" s="1"/>
  <c r="AI39" i="17"/>
  <c r="AJ39" i="17" s="1"/>
  <c r="AK39" i="17" s="1"/>
  <c r="AI38" i="17"/>
  <c r="AJ38" i="17" s="1"/>
  <c r="AI37" i="17"/>
  <c r="AJ37" i="17" s="1"/>
  <c r="AK37" i="17" s="1"/>
  <c r="AI36" i="17"/>
  <c r="AJ36" i="17" s="1"/>
  <c r="AI35" i="17"/>
  <c r="AJ35" i="17" s="1"/>
  <c r="AK35" i="17" s="1"/>
  <c r="AI34" i="17"/>
  <c r="AJ34" i="17" s="1"/>
  <c r="AK34" i="17" s="1"/>
  <c r="AI33" i="17"/>
  <c r="AJ33" i="17" s="1"/>
  <c r="AK33" i="17" s="1"/>
  <c r="AI32" i="17"/>
  <c r="AJ32" i="17" s="1"/>
  <c r="AI31" i="17"/>
  <c r="AI30" i="17"/>
  <c r="AI29" i="17"/>
  <c r="AI28" i="17"/>
  <c r="AI27" i="17"/>
  <c r="AI26" i="17"/>
  <c r="AI25" i="17"/>
  <c r="AI24" i="17"/>
  <c r="AI23" i="17"/>
  <c r="AI22" i="17"/>
  <c r="AI21" i="17"/>
  <c r="AI20" i="17"/>
  <c r="AI19" i="17"/>
  <c r="AJ19" i="17" s="1"/>
  <c r="AK19" i="17" s="1"/>
  <c r="AI9" i="17"/>
  <c r="AI10" i="17"/>
  <c r="AI11" i="17"/>
  <c r="AI12" i="17"/>
  <c r="AI13" i="17"/>
  <c r="AI14" i="17"/>
  <c r="AI15" i="17"/>
  <c r="AI16" i="17"/>
  <c r="AI17" i="17"/>
  <c r="AI18" i="17"/>
  <c r="AK8" i="17"/>
  <c r="Y9" i="20"/>
  <c r="Y10" i="20"/>
  <c r="Y11" i="20"/>
  <c r="Y12" i="20"/>
  <c r="Z12" i="20" s="1"/>
  <c r="Y13" i="20"/>
  <c r="Z13" i="20" s="1"/>
  <c r="Y14" i="20"/>
  <c r="Z14" i="20" s="1"/>
  <c r="Y15" i="20"/>
  <c r="Z15" i="20" s="1"/>
  <c r="Y16" i="20"/>
  <c r="Z16" i="20" s="1"/>
  <c r="Y17" i="20"/>
  <c r="Z17" i="20" s="1"/>
  <c r="Y18" i="20"/>
  <c r="Z18" i="20" s="1"/>
  <c r="Y19" i="20"/>
  <c r="Z19" i="20" s="1"/>
  <c r="Y20" i="20"/>
  <c r="Z20" i="20"/>
  <c r="Y21" i="20"/>
  <c r="Z21" i="20" s="1"/>
  <c r="Y22" i="20"/>
  <c r="Z22" i="20" s="1"/>
  <c r="Y23" i="20"/>
  <c r="Z23" i="20" s="1"/>
  <c r="Y24" i="20"/>
  <c r="Z24" i="20" s="1"/>
  <c r="Y25" i="20"/>
  <c r="Z25" i="20"/>
  <c r="Y26" i="20"/>
  <c r="Z26" i="20" s="1"/>
  <c r="Y27" i="20"/>
  <c r="Z27" i="20"/>
  <c r="Y8" i="20"/>
  <c r="V29" i="20"/>
  <c r="W29" i="20"/>
  <c r="V30" i="20"/>
  <c r="W30" i="20"/>
  <c r="V31" i="20"/>
  <c r="W31" i="20"/>
  <c r="W28" i="20"/>
  <c r="V28" i="20"/>
  <c r="Q28" i="20"/>
  <c r="Q29" i="20"/>
  <c r="Q30" i="20"/>
  <c r="Q27" i="20"/>
  <c r="Q23" i="20"/>
  <c r="Q19" i="20"/>
  <c r="Q15" i="20"/>
  <c r="Q11" i="20"/>
  <c r="P29" i="20"/>
  <c r="P30" i="20"/>
  <c r="P28" i="20"/>
  <c r="P27" i="20"/>
  <c r="AA27" i="20" s="1"/>
  <c r="AB27" i="20" s="1"/>
  <c r="P23" i="20"/>
  <c r="AA23" i="20" s="1"/>
  <c r="AB23" i="20" s="1"/>
  <c r="P19" i="20"/>
  <c r="AA19" i="20" s="1"/>
  <c r="P15" i="20"/>
  <c r="AA15" i="20" s="1"/>
  <c r="AB15" i="20" s="1"/>
  <c r="P11" i="20"/>
  <c r="S27" i="20"/>
  <c r="S23" i="20"/>
  <c r="S19" i="20"/>
  <c r="S15" i="20"/>
  <c r="S11" i="20"/>
  <c r="R16" i="19"/>
  <c r="P16" i="19"/>
  <c r="S15" i="19"/>
  <c r="R15" i="19"/>
  <c r="Q15" i="19"/>
  <c r="P15" i="19"/>
  <c r="S14" i="19"/>
  <c r="R14" i="19"/>
  <c r="Q14" i="19"/>
  <c r="P14" i="19"/>
  <c r="S13" i="19"/>
  <c r="R13" i="19"/>
  <c r="Q13" i="19"/>
  <c r="P13" i="19"/>
  <c r="S12" i="19"/>
  <c r="R12" i="19"/>
  <c r="Q12" i="19"/>
  <c r="P12" i="19"/>
  <c r="S11" i="19"/>
  <c r="S16" i="19" s="1"/>
  <c r="R11" i="19"/>
  <c r="Q11" i="19"/>
  <c r="Q16" i="19" s="1"/>
  <c r="P11" i="19"/>
  <c r="S10" i="19"/>
  <c r="R10" i="19"/>
  <c r="Q10" i="19"/>
  <c r="P10" i="19"/>
  <c r="S9" i="19"/>
  <c r="R9" i="19"/>
  <c r="Q9" i="19"/>
  <c r="P9" i="19"/>
  <c r="S8" i="19"/>
  <c r="R8" i="19"/>
  <c r="Q8" i="19"/>
  <c r="P8" i="19"/>
  <c r="Y68" i="17"/>
  <c r="Y56" i="17"/>
  <c r="Y44" i="17"/>
  <c r="Y32" i="17"/>
  <c r="Y20" i="17"/>
  <c r="Y8" i="17"/>
  <c r="Y68" i="1"/>
  <c r="Y56" i="1"/>
  <c r="Y44" i="1"/>
  <c r="Y32" i="1"/>
  <c r="Y20" i="1"/>
  <c r="Y8" i="1"/>
  <c r="S10" i="10"/>
  <c r="Q10" i="10"/>
  <c r="Q14" i="10"/>
  <c r="S14" i="10"/>
  <c r="Q11" i="10"/>
  <c r="S11" i="10"/>
  <c r="Q15" i="10"/>
  <c r="S15" i="10"/>
  <c r="Q12" i="10"/>
  <c r="S12" i="10"/>
  <c r="S13" i="10"/>
  <c r="Q13" i="10"/>
  <c r="S9" i="10"/>
  <c r="Q9" i="10"/>
  <c r="S8" i="10"/>
  <c r="Q8" i="10"/>
  <c r="P14" i="10"/>
  <c r="R14" i="10"/>
  <c r="P11" i="10"/>
  <c r="R11" i="10"/>
  <c r="P15" i="10"/>
  <c r="R15" i="10"/>
  <c r="P12" i="10"/>
  <c r="R12" i="10"/>
  <c r="R13" i="10"/>
  <c r="P13" i="10"/>
  <c r="P9" i="10"/>
  <c r="R10" i="10"/>
  <c r="R9" i="10"/>
  <c r="R8" i="10"/>
  <c r="P10" i="10"/>
  <c r="P8" i="10"/>
  <c r="N79" i="17"/>
  <c r="N78" i="17"/>
  <c r="M78" i="17"/>
  <c r="N77" i="17"/>
  <c r="M77" i="17"/>
  <c r="N76" i="17"/>
  <c r="M76" i="17"/>
  <c r="AC75" i="17"/>
  <c r="Y75" i="17"/>
  <c r="X75" i="17"/>
  <c r="N75" i="17"/>
  <c r="M75" i="17"/>
  <c r="AD74" i="17"/>
  <c r="N74" i="17"/>
  <c r="M74" i="17"/>
  <c r="AD73" i="17"/>
  <c r="N73" i="17"/>
  <c r="M73" i="17"/>
  <c r="AC72" i="17"/>
  <c r="N72" i="17"/>
  <c r="AC71" i="17"/>
  <c r="N71" i="17"/>
  <c r="M71" i="17"/>
  <c r="AC70" i="17"/>
  <c r="Y70" i="17"/>
  <c r="X70" i="17"/>
  <c r="N70" i="17"/>
  <c r="M70" i="17"/>
  <c r="AC69" i="17"/>
  <c r="Y69" i="17"/>
  <c r="X69" i="17"/>
  <c r="N69" i="17"/>
  <c r="M69" i="17"/>
  <c r="AC68" i="17"/>
  <c r="X68" i="17"/>
  <c r="N68" i="17"/>
  <c r="AJ67" i="17"/>
  <c r="AG67" i="17"/>
  <c r="W67" i="17"/>
  <c r="V67" i="17"/>
  <c r="U67" i="17"/>
  <c r="T67" i="17"/>
  <c r="N67" i="17"/>
  <c r="M67" i="17"/>
  <c r="AH67" i="17" s="1"/>
  <c r="AK67" i="17" s="1"/>
  <c r="AJ66" i="17"/>
  <c r="AG66" i="17"/>
  <c r="W66" i="17"/>
  <c r="V66" i="17"/>
  <c r="U66" i="17"/>
  <c r="T66" i="17"/>
  <c r="N66" i="17"/>
  <c r="M66" i="17"/>
  <c r="AH66" i="17" s="1"/>
  <c r="AK66" i="17" s="1"/>
  <c r="AJ65" i="17"/>
  <c r="AG65" i="17"/>
  <c r="W65" i="17"/>
  <c r="V65" i="17"/>
  <c r="U65" i="17"/>
  <c r="T65" i="17"/>
  <c r="AL65" i="17" s="1"/>
  <c r="N65" i="17"/>
  <c r="M65" i="17"/>
  <c r="AH65" i="17" s="1"/>
  <c r="AK65" i="17" s="1"/>
  <c r="AJ64" i="17"/>
  <c r="AG64" i="17"/>
  <c r="W64" i="17"/>
  <c r="V64" i="17"/>
  <c r="U64" i="17"/>
  <c r="T64" i="17"/>
  <c r="AL64" i="17" s="1"/>
  <c r="N64" i="17"/>
  <c r="M64" i="17"/>
  <c r="AH64" i="17" s="1"/>
  <c r="AK64" i="17" s="1"/>
  <c r="AJ63" i="17"/>
  <c r="AG63" i="17"/>
  <c r="AC63" i="17"/>
  <c r="Y63" i="17"/>
  <c r="X63" i="17"/>
  <c r="W63" i="17"/>
  <c r="V63" i="17"/>
  <c r="U63" i="17"/>
  <c r="T63" i="17"/>
  <c r="AL63" i="17" s="1"/>
  <c r="N63" i="17"/>
  <c r="M63" i="17"/>
  <c r="AH63" i="17" s="1"/>
  <c r="AK63" i="17" s="1"/>
  <c r="AJ62" i="17"/>
  <c r="AD62" i="17"/>
  <c r="Z62" i="17"/>
  <c r="AG62" i="17" s="1"/>
  <c r="W62" i="17"/>
  <c r="V62" i="17"/>
  <c r="U62" i="17"/>
  <c r="T62" i="17"/>
  <c r="N62" i="17"/>
  <c r="M62" i="17"/>
  <c r="AH62" i="17" s="1"/>
  <c r="AJ61" i="17"/>
  <c r="AG61" i="17"/>
  <c r="AD61" i="17"/>
  <c r="W61" i="17"/>
  <c r="V61" i="17"/>
  <c r="U61" i="17"/>
  <c r="T61" i="17"/>
  <c r="N61" i="17"/>
  <c r="M61" i="17"/>
  <c r="AH61" i="17" s="1"/>
  <c r="AK61" i="17" s="1"/>
  <c r="AJ60" i="17"/>
  <c r="AG60" i="17"/>
  <c r="AC60" i="17"/>
  <c r="W60" i="17"/>
  <c r="V60" i="17"/>
  <c r="U60" i="17"/>
  <c r="T60" i="17"/>
  <c r="AL60" i="17" s="1"/>
  <c r="N60" i="17"/>
  <c r="M60" i="17" s="1"/>
  <c r="AH60" i="17" s="1"/>
  <c r="AK60" i="17" s="1"/>
  <c r="AJ59" i="17"/>
  <c r="AG59" i="17"/>
  <c r="AC59" i="17"/>
  <c r="W59" i="17"/>
  <c r="V59" i="17"/>
  <c r="U59" i="17"/>
  <c r="T59" i="17"/>
  <c r="N59" i="17"/>
  <c r="M59" i="17"/>
  <c r="AH59" i="17" s="1"/>
  <c r="AK59" i="17" s="1"/>
  <c r="AJ58" i="17"/>
  <c r="AG58" i="17"/>
  <c r="AC58" i="17"/>
  <c r="Y58" i="17"/>
  <c r="X58" i="17"/>
  <c r="W58" i="17"/>
  <c r="V58" i="17"/>
  <c r="U58" i="17"/>
  <c r="T58" i="17"/>
  <c r="N58" i="17"/>
  <c r="M58" i="17"/>
  <c r="AH58" i="17" s="1"/>
  <c r="AK58" i="17" s="1"/>
  <c r="AJ57" i="17"/>
  <c r="AG57" i="17"/>
  <c r="AC57" i="17"/>
  <c r="Y57" i="17"/>
  <c r="X57" i="17"/>
  <c r="W57" i="17"/>
  <c r="V57" i="17"/>
  <c r="U57" i="17"/>
  <c r="T57" i="17"/>
  <c r="AL57" i="17" s="1"/>
  <c r="N57" i="17"/>
  <c r="M57" i="17"/>
  <c r="AH57" i="17" s="1"/>
  <c r="AK57" i="17" s="1"/>
  <c r="AJ56" i="17"/>
  <c r="AG56" i="17"/>
  <c r="AC56" i="17"/>
  <c r="AF56" i="17" s="1"/>
  <c r="X56" i="17"/>
  <c r="W56" i="17"/>
  <c r="V56" i="17"/>
  <c r="U56" i="17"/>
  <c r="T56" i="17"/>
  <c r="N56" i="17"/>
  <c r="M56" i="17"/>
  <c r="AH56" i="17" s="1"/>
  <c r="AK56" i="17" s="1"/>
  <c r="AG55" i="17"/>
  <c r="W55" i="17"/>
  <c r="V55" i="17"/>
  <c r="U55" i="17"/>
  <c r="T55" i="17"/>
  <c r="N55" i="17"/>
  <c r="M55" i="17" s="1"/>
  <c r="AH55" i="17" s="1"/>
  <c r="AG54" i="17"/>
  <c r="W54" i="17"/>
  <c r="V54" i="17"/>
  <c r="U54" i="17"/>
  <c r="T54" i="17"/>
  <c r="AL54" i="17" s="1"/>
  <c r="N54" i="17"/>
  <c r="M54" i="17"/>
  <c r="AH54" i="17" s="1"/>
  <c r="AG53" i="17"/>
  <c r="W53" i="17"/>
  <c r="V53" i="17"/>
  <c r="U53" i="17"/>
  <c r="T53" i="17"/>
  <c r="N53" i="17"/>
  <c r="M53" i="17"/>
  <c r="AH53" i="17" s="1"/>
  <c r="AG52" i="17"/>
  <c r="W52" i="17"/>
  <c r="V52" i="17"/>
  <c r="U52" i="17"/>
  <c r="T52" i="17"/>
  <c r="N52" i="17"/>
  <c r="M52" i="17"/>
  <c r="AH52" i="17" s="1"/>
  <c r="AG51" i="17"/>
  <c r="AC51" i="17"/>
  <c r="Y51" i="17"/>
  <c r="X51" i="17"/>
  <c r="W51" i="17"/>
  <c r="V51" i="17"/>
  <c r="U51" i="17"/>
  <c r="T51" i="17"/>
  <c r="N51" i="17"/>
  <c r="M51" i="17"/>
  <c r="AH51" i="17" s="1"/>
  <c r="AD50" i="17"/>
  <c r="Z50" i="17"/>
  <c r="AG50" i="17" s="1"/>
  <c r="W50" i="17"/>
  <c r="V50" i="17"/>
  <c r="U50" i="17"/>
  <c r="T50" i="17"/>
  <c r="N50" i="17"/>
  <c r="M50" i="17"/>
  <c r="AG49" i="17"/>
  <c r="AD49" i="17"/>
  <c r="W49" i="17"/>
  <c r="V49" i="17"/>
  <c r="U49" i="17"/>
  <c r="T49" i="17"/>
  <c r="N49" i="17"/>
  <c r="M49" i="17"/>
  <c r="AH49" i="17" s="1"/>
  <c r="AG48" i="17"/>
  <c r="AC48" i="17"/>
  <c r="W48" i="17"/>
  <c r="V48" i="17"/>
  <c r="U48" i="17"/>
  <c r="T48" i="17"/>
  <c r="AL48" i="17" s="1"/>
  <c r="N48" i="17"/>
  <c r="M48" i="17"/>
  <c r="AH48" i="17" s="1"/>
  <c r="AG47" i="17"/>
  <c r="AC47" i="17"/>
  <c r="W47" i="17"/>
  <c r="V47" i="17"/>
  <c r="U47" i="17"/>
  <c r="T47" i="17"/>
  <c r="AL47" i="17" s="1"/>
  <c r="N47" i="17"/>
  <c r="M47" i="17"/>
  <c r="AH47" i="17" s="1"/>
  <c r="AG46" i="17"/>
  <c r="AC46" i="17"/>
  <c r="Y46" i="17"/>
  <c r="X46" i="17"/>
  <c r="W46" i="17"/>
  <c r="V46" i="17"/>
  <c r="U46" i="17"/>
  <c r="T46" i="17"/>
  <c r="N46" i="17"/>
  <c r="M46" i="17"/>
  <c r="AH46" i="17" s="1"/>
  <c r="AG45" i="17"/>
  <c r="AC45" i="17"/>
  <c r="Y45" i="17"/>
  <c r="X45" i="17"/>
  <c r="W45" i="17"/>
  <c r="V45" i="17"/>
  <c r="U45" i="17"/>
  <c r="T45" i="17"/>
  <c r="N45" i="17"/>
  <c r="M45" i="17"/>
  <c r="AH45" i="17" s="1"/>
  <c r="AG44" i="17"/>
  <c r="AC44" i="17"/>
  <c r="AF44" i="17" s="1"/>
  <c r="X44" i="17"/>
  <c r="W44" i="17"/>
  <c r="V44" i="17"/>
  <c r="U44" i="17"/>
  <c r="T44" i="17"/>
  <c r="N44" i="17"/>
  <c r="M44" i="17"/>
  <c r="AH44" i="17" s="1"/>
  <c r="AG43" i="17"/>
  <c r="W43" i="17"/>
  <c r="V43" i="17"/>
  <c r="U43" i="17"/>
  <c r="T43" i="17"/>
  <c r="N43" i="17"/>
  <c r="M43" i="17"/>
  <c r="AH43" i="17" s="1"/>
  <c r="AG42" i="17"/>
  <c r="W42" i="17"/>
  <c r="V42" i="17"/>
  <c r="U42" i="17"/>
  <c r="T42" i="17"/>
  <c r="N42" i="17"/>
  <c r="M42" i="17"/>
  <c r="AH42" i="17" s="1"/>
  <c r="AG41" i="17"/>
  <c r="W41" i="17"/>
  <c r="V41" i="17"/>
  <c r="U41" i="17"/>
  <c r="T41" i="17"/>
  <c r="N41" i="17"/>
  <c r="M41" i="17"/>
  <c r="AH41" i="17" s="1"/>
  <c r="AG40" i="17"/>
  <c r="W40" i="17"/>
  <c r="V40" i="17"/>
  <c r="U40" i="17"/>
  <c r="T40" i="17"/>
  <c r="N40" i="17"/>
  <c r="M40" i="17"/>
  <c r="AH40" i="17" s="1"/>
  <c r="AG39" i="17"/>
  <c r="AC39" i="17"/>
  <c r="Y39" i="17"/>
  <c r="X39" i="17"/>
  <c r="W39" i="17"/>
  <c r="V39" i="17"/>
  <c r="U39" i="17"/>
  <c r="T39" i="17"/>
  <c r="N39" i="17"/>
  <c r="M39" i="17"/>
  <c r="AH39" i="17" s="1"/>
  <c r="AD38" i="17"/>
  <c r="Z38" i="17"/>
  <c r="AG38" i="17" s="1"/>
  <c r="W38" i="17"/>
  <c r="V38" i="17"/>
  <c r="U38" i="17"/>
  <c r="T38" i="17"/>
  <c r="N38" i="17"/>
  <c r="M38" i="17"/>
  <c r="AG37" i="17"/>
  <c r="AD37" i="17"/>
  <c r="W37" i="17"/>
  <c r="V37" i="17"/>
  <c r="U37" i="17"/>
  <c r="T37" i="17"/>
  <c r="N37" i="17"/>
  <c r="M37" i="17"/>
  <c r="AH37" i="17" s="1"/>
  <c r="AG36" i="17"/>
  <c r="AC36" i="17"/>
  <c r="W36" i="17"/>
  <c r="V36" i="17"/>
  <c r="U36" i="17"/>
  <c r="T36" i="17"/>
  <c r="N36" i="17"/>
  <c r="M36" i="17"/>
  <c r="AH36" i="17" s="1"/>
  <c r="AG35" i="17"/>
  <c r="AC35" i="17"/>
  <c r="W35" i="17"/>
  <c r="V35" i="17"/>
  <c r="U35" i="17"/>
  <c r="T35" i="17"/>
  <c r="N35" i="17"/>
  <c r="M35" i="17"/>
  <c r="AH35" i="17" s="1"/>
  <c r="AG34" i="17"/>
  <c r="AC34" i="17"/>
  <c r="Y34" i="17"/>
  <c r="X34" i="17"/>
  <c r="W34" i="17"/>
  <c r="V34" i="17"/>
  <c r="U34" i="17"/>
  <c r="T34" i="17"/>
  <c r="N34" i="17"/>
  <c r="M34" i="17"/>
  <c r="AH34" i="17" s="1"/>
  <c r="AG33" i="17"/>
  <c r="AC33" i="17"/>
  <c r="Y33" i="17"/>
  <c r="X33" i="17"/>
  <c r="W33" i="17"/>
  <c r="V33" i="17"/>
  <c r="U33" i="17"/>
  <c r="T33" i="17"/>
  <c r="AL33" i="17" s="1"/>
  <c r="N33" i="17"/>
  <c r="M33" i="17"/>
  <c r="AH33" i="17" s="1"/>
  <c r="AG32" i="17"/>
  <c r="AC32" i="17"/>
  <c r="AF32" i="17" s="1"/>
  <c r="X32" i="17"/>
  <c r="W32" i="17"/>
  <c r="V32" i="17"/>
  <c r="U32" i="17"/>
  <c r="T32" i="17"/>
  <c r="N32" i="17"/>
  <c r="M32" i="17"/>
  <c r="AJ31" i="17"/>
  <c r="AG31" i="17"/>
  <c r="W31" i="17"/>
  <c r="V31" i="17"/>
  <c r="U31" i="17"/>
  <c r="T31" i="17"/>
  <c r="N31" i="17"/>
  <c r="M31" i="17"/>
  <c r="AH31" i="17" s="1"/>
  <c r="AK31" i="17" s="1"/>
  <c r="AJ30" i="17"/>
  <c r="AG30" i="17"/>
  <c r="W30" i="17"/>
  <c r="V30" i="17"/>
  <c r="U30" i="17"/>
  <c r="T30" i="17"/>
  <c r="N30" i="17"/>
  <c r="M30" i="17"/>
  <c r="AH30" i="17" s="1"/>
  <c r="AJ29" i="17"/>
  <c r="AG29" i="17"/>
  <c r="W29" i="17"/>
  <c r="V29" i="17"/>
  <c r="U29" i="17"/>
  <c r="T29" i="17"/>
  <c r="N29" i="17"/>
  <c r="M29" i="17"/>
  <c r="AH29" i="17" s="1"/>
  <c r="AK29" i="17" s="1"/>
  <c r="AJ28" i="17"/>
  <c r="AG28" i="17"/>
  <c r="W28" i="17"/>
  <c r="V28" i="17"/>
  <c r="U28" i="17"/>
  <c r="T28" i="17"/>
  <c r="AL28" i="17" s="1"/>
  <c r="N28" i="17"/>
  <c r="M28" i="17"/>
  <c r="AH28" i="17" s="1"/>
  <c r="AJ27" i="17"/>
  <c r="AG27" i="17"/>
  <c r="AC27" i="17"/>
  <c r="Y27" i="17"/>
  <c r="X27" i="17"/>
  <c r="W27" i="17"/>
  <c r="V27" i="17"/>
  <c r="U27" i="17"/>
  <c r="T27" i="17"/>
  <c r="N27" i="17"/>
  <c r="M27" i="17"/>
  <c r="AH27" i="17" s="1"/>
  <c r="AK27" i="17" s="1"/>
  <c r="AJ26" i="17"/>
  <c r="AD26" i="17"/>
  <c r="Z26" i="17"/>
  <c r="AG26" i="17" s="1"/>
  <c r="W26" i="17"/>
  <c r="V26" i="17"/>
  <c r="U26" i="17"/>
  <c r="T26" i="17"/>
  <c r="N26" i="17"/>
  <c r="M26" i="17"/>
  <c r="AH26" i="17" s="1"/>
  <c r="AK26" i="17" s="1"/>
  <c r="AJ25" i="17"/>
  <c r="AG25" i="17"/>
  <c r="AD25" i="17"/>
  <c r="W25" i="17"/>
  <c r="V25" i="17"/>
  <c r="U25" i="17"/>
  <c r="T25" i="17"/>
  <c r="AL25" i="17" s="1"/>
  <c r="N25" i="17"/>
  <c r="M25" i="17"/>
  <c r="AH25" i="17" s="1"/>
  <c r="AK25" i="17" s="1"/>
  <c r="AJ24" i="17"/>
  <c r="AG24" i="17"/>
  <c r="AC24" i="17"/>
  <c r="W24" i="17"/>
  <c r="V24" i="17"/>
  <c r="U24" i="17"/>
  <c r="T24" i="17"/>
  <c r="AL24" i="17" s="1"/>
  <c r="N24" i="17"/>
  <c r="M24" i="17"/>
  <c r="AH24" i="17" s="1"/>
  <c r="AJ23" i="17"/>
  <c r="AG23" i="17"/>
  <c r="AC23" i="17"/>
  <c r="W23" i="17"/>
  <c r="V23" i="17"/>
  <c r="U23" i="17"/>
  <c r="T23" i="17"/>
  <c r="AL23" i="17" s="1"/>
  <c r="N23" i="17"/>
  <c r="M23" i="17"/>
  <c r="AH23" i="17" s="1"/>
  <c r="AK23" i="17" s="1"/>
  <c r="AJ22" i="17"/>
  <c r="AG22" i="17"/>
  <c r="AC22" i="17"/>
  <c r="Y22" i="17"/>
  <c r="X22" i="17"/>
  <c r="W22" i="17"/>
  <c r="V22" i="17"/>
  <c r="U22" i="17"/>
  <c r="T22" i="17"/>
  <c r="N22" i="17"/>
  <c r="M22" i="17"/>
  <c r="AH22" i="17" s="1"/>
  <c r="AK22" i="17" s="1"/>
  <c r="AJ21" i="17"/>
  <c r="AG21" i="17"/>
  <c r="AC21" i="17"/>
  <c r="Y21" i="17"/>
  <c r="X21" i="17"/>
  <c r="W21" i="17"/>
  <c r="V21" i="17"/>
  <c r="U21" i="17"/>
  <c r="T21" i="17"/>
  <c r="N21" i="17"/>
  <c r="M21" i="17"/>
  <c r="AH21" i="17" s="1"/>
  <c r="AK21" i="17" s="1"/>
  <c r="AJ20" i="17"/>
  <c r="AG20" i="17"/>
  <c r="AC20" i="17"/>
  <c r="AF20" i="17" s="1"/>
  <c r="X20" i="17"/>
  <c r="W20" i="17"/>
  <c r="V20" i="17"/>
  <c r="U20" i="17"/>
  <c r="T20" i="17"/>
  <c r="N20" i="17"/>
  <c r="M20" i="17"/>
  <c r="AH20" i="17" s="1"/>
  <c r="AK20" i="17" s="1"/>
  <c r="AG19" i="17"/>
  <c r="W19" i="17"/>
  <c r="V19" i="17"/>
  <c r="U19" i="17"/>
  <c r="T19" i="17"/>
  <c r="N19" i="17"/>
  <c r="M19" i="17"/>
  <c r="AH19" i="17" s="1"/>
  <c r="AJ18" i="17"/>
  <c r="AG18" i="17"/>
  <c r="W18" i="17"/>
  <c r="V18" i="17"/>
  <c r="U18" i="17"/>
  <c r="T18" i="17"/>
  <c r="N18" i="17"/>
  <c r="M18" i="17"/>
  <c r="AH18" i="17" s="1"/>
  <c r="AJ17" i="17"/>
  <c r="AG17" i="17"/>
  <c r="W17" i="17"/>
  <c r="V17" i="17"/>
  <c r="U17" i="17"/>
  <c r="T17" i="17"/>
  <c r="N17" i="17"/>
  <c r="M17" i="17"/>
  <c r="AH17" i="17" s="1"/>
  <c r="AJ16" i="17"/>
  <c r="AG16" i="17"/>
  <c r="W16" i="17"/>
  <c r="V16" i="17"/>
  <c r="U16" i="17"/>
  <c r="T16" i="17"/>
  <c r="N16" i="17"/>
  <c r="M16" i="17"/>
  <c r="AH16" i="17" s="1"/>
  <c r="AK16" i="17" s="1"/>
  <c r="AJ15" i="17"/>
  <c r="AG15" i="17"/>
  <c r="AC15" i="17"/>
  <c r="Y15" i="17"/>
  <c r="X15" i="17"/>
  <c r="W15" i="17"/>
  <c r="V15" i="17"/>
  <c r="U15" i="17"/>
  <c r="T15" i="17"/>
  <c r="N15" i="17"/>
  <c r="M15" i="17"/>
  <c r="AH15" i="17" s="1"/>
  <c r="AK15" i="17" s="1"/>
  <c r="AJ14" i="17"/>
  <c r="AD14" i="17"/>
  <c r="Z14" i="17"/>
  <c r="AG14" i="17" s="1"/>
  <c r="W14" i="17"/>
  <c r="V14" i="17"/>
  <c r="U14" i="17"/>
  <c r="T14" i="17"/>
  <c r="N14" i="17"/>
  <c r="M14" i="17"/>
  <c r="AH14" i="17" s="1"/>
  <c r="AK14" i="17" s="1"/>
  <c r="AJ13" i="17"/>
  <c r="AG13" i="17"/>
  <c r="AD13" i="17"/>
  <c r="W13" i="17"/>
  <c r="V13" i="17"/>
  <c r="U13" i="17"/>
  <c r="T13" i="17"/>
  <c r="N13" i="17"/>
  <c r="M13" i="17"/>
  <c r="AH13" i="17" s="1"/>
  <c r="AK13" i="17" s="1"/>
  <c r="AJ12" i="17"/>
  <c r="AG12" i="17"/>
  <c r="AC12" i="17"/>
  <c r="W12" i="17"/>
  <c r="V12" i="17"/>
  <c r="U12" i="17"/>
  <c r="T12" i="17"/>
  <c r="N12" i="17"/>
  <c r="M12" i="17" s="1"/>
  <c r="AH12" i="17" s="1"/>
  <c r="AJ11" i="17"/>
  <c r="AG11" i="17"/>
  <c r="AC11" i="17"/>
  <c r="W11" i="17"/>
  <c r="V11" i="17"/>
  <c r="U11" i="17"/>
  <c r="T11" i="17"/>
  <c r="N11" i="17"/>
  <c r="M11" i="17"/>
  <c r="AH11" i="17" s="1"/>
  <c r="AK11" i="17" s="1"/>
  <c r="AJ10" i="17"/>
  <c r="AG10" i="17"/>
  <c r="AC10" i="17"/>
  <c r="Y10" i="17"/>
  <c r="X10" i="17"/>
  <c r="W10" i="17"/>
  <c r="V10" i="17"/>
  <c r="U10" i="17"/>
  <c r="T10" i="17"/>
  <c r="N10" i="17"/>
  <c r="M10" i="17"/>
  <c r="AH10" i="17" s="1"/>
  <c r="AK10" i="17" s="1"/>
  <c r="AJ9" i="17"/>
  <c r="AG9" i="17"/>
  <c r="AC9" i="17"/>
  <c r="Y9" i="17"/>
  <c r="X9" i="17"/>
  <c r="W9" i="17"/>
  <c r="V9" i="17"/>
  <c r="U9" i="17"/>
  <c r="T9" i="17"/>
  <c r="N9" i="17"/>
  <c r="M9" i="17"/>
  <c r="AH9" i="17" s="1"/>
  <c r="AG8" i="17"/>
  <c r="AC8" i="17"/>
  <c r="X8" i="17"/>
  <c r="AF8" i="17" s="1"/>
  <c r="W8" i="17"/>
  <c r="V8" i="17"/>
  <c r="U8" i="17"/>
  <c r="T8" i="17"/>
  <c r="N8" i="17"/>
  <c r="M8" i="17"/>
  <c r="AH8" i="17" s="1"/>
  <c r="T57" i="1"/>
  <c r="AL57" i="1" s="1"/>
  <c r="T58" i="1"/>
  <c r="AL58" i="1" s="1"/>
  <c r="T59" i="1"/>
  <c r="AL59" i="1" s="1"/>
  <c r="T60" i="1"/>
  <c r="AL60" i="1" s="1"/>
  <c r="T61" i="1"/>
  <c r="AL61" i="1" s="1"/>
  <c r="T62" i="1"/>
  <c r="AL62" i="1" s="1"/>
  <c r="T63" i="1"/>
  <c r="AL63" i="1" s="1"/>
  <c r="T64" i="1"/>
  <c r="AL64" i="1" s="1"/>
  <c r="T65" i="1"/>
  <c r="AL65" i="1" s="1"/>
  <c r="T66" i="1"/>
  <c r="AL66" i="1" s="1"/>
  <c r="T67" i="1"/>
  <c r="AL67" i="1" s="1"/>
  <c r="T56" i="1"/>
  <c r="AL56" i="1" s="1"/>
  <c r="T45" i="1"/>
  <c r="AL45" i="1" s="1"/>
  <c r="T46" i="1"/>
  <c r="AL46" i="1" s="1"/>
  <c r="T47" i="1"/>
  <c r="AL47" i="1" s="1"/>
  <c r="T48" i="1"/>
  <c r="AL48" i="1" s="1"/>
  <c r="T49" i="1"/>
  <c r="AL49" i="1" s="1"/>
  <c r="T50" i="1"/>
  <c r="AL50" i="1" s="1"/>
  <c r="T51" i="1"/>
  <c r="AL51" i="1" s="1"/>
  <c r="T52" i="1"/>
  <c r="AL52" i="1" s="1"/>
  <c r="T53" i="1"/>
  <c r="AL53" i="1" s="1"/>
  <c r="T54" i="1"/>
  <c r="AL54" i="1" s="1"/>
  <c r="U78" i="1"/>
  <c r="T55" i="1"/>
  <c r="AL55" i="1" s="1"/>
  <c r="U79" i="1"/>
  <c r="T44" i="1"/>
  <c r="AL44" i="1" s="1"/>
  <c r="T33" i="1"/>
  <c r="T34" i="1"/>
  <c r="T35" i="1"/>
  <c r="T36" i="1"/>
  <c r="T37" i="1"/>
  <c r="T38" i="1"/>
  <c r="AL38" i="1" s="1"/>
  <c r="T39" i="1"/>
  <c r="AL39" i="1" s="1"/>
  <c r="T40" i="1"/>
  <c r="AL40" i="1" s="1"/>
  <c r="T41" i="1"/>
  <c r="AL41" i="1" s="1"/>
  <c r="T42" i="1"/>
  <c r="AL42" i="1" s="1"/>
  <c r="T43" i="1"/>
  <c r="AL43" i="1" s="1"/>
  <c r="T32" i="1"/>
  <c r="AL32" i="1" s="1"/>
  <c r="T21" i="1"/>
  <c r="T22" i="1"/>
  <c r="T23" i="1"/>
  <c r="T24" i="1"/>
  <c r="T25" i="1"/>
  <c r="T26" i="1"/>
  <c r="T27" i="1"/>
  <c r="AL27" i="1" s="1"/>
  <c r="T28" i="1"/>
  <c r="T29" i="1"/>
  <c r="T30" i="1"/>
  <c r="AL30" i="1" s="1"/>
  <c r="T31" i="1"/>
  <c r="T20" i="1"/>
  <c r="T9" i="1"/>
  <c r="AL9" i="1" s="1"/>
  <c r="T10" i="1"/>
  <c r="T11" i="1"/>
  <c r="T12" i="1"/>
  <c r="T13" i="1"/>
  <c r="AL13" i="1" s="1"/>
  <c r="T14" i="1"/>
  <c r="T15" i="1"/>
  <c r="AL15" i="1" s="1"/>
  <c r="T16" i="1"/>
  <c r="T17" i="1"/>
  <c r="T18" i="1"/>
  <c r="T19" i="1"/>
  <c r="T8" i="1"/>
  <c r="AL10" i="1"/>
  <c r="AL11" i="1"/>
  <c r="AL12" i="1"/>
  <c r="AL14" i="1"/>
  <c r="AL16" i="1"/>
  <c r="AL17" i="1"/>
  <c r="AL18" i="1"/>
  <c r="AL19" i="1"/>
  <c r="AL20" i="1"/>
  <c r="AL21" i="1"/>
  <c r="AL22" i="1"/>
  <c r="AL23" i="1"/>
  <c r="AL24" i="1"/>
  <c r="AL25" i="1"/>
  <c r="AL26" i="1"/>
  <c r="AL28" i="1"/>
  <c r="AL29" i="1"/>
  <c r="AL31" i="1"/>
  <c r="AL33" i="1"/>
  <c r="AL34" i="1"/>
  <c r="AL35" i="1"/>
  <c r="AL36" i="1"/>
  <c r="AL37" i="1"/>
  <c r="AI67" i="1"/>
  <c r="AJ67" i="1" s="1"/>
  <c r="AG67" i="1"/>
  <c r="AI66" i="1"/>
  <c r="AJ66" i="1" s="1"/>
  <c r="AG66" i="1"/>
  <c r="AI65" i="1"/>
  <c r="AJ65" i="1" s="1"/>
  <c r="AG65" i="1"/>
  <c r="AI64" i="1"/>
  <c r="AJ64" i="1" s="1"/>
  <c r="AG64" i="1"/>
  <c r="AI63" i="1"/>
  <c r="AJ63" i="1" s="1"/>
  <c r="AG63" i="1"/>
  <c r="AI62" i="1"/>
  <c r="AJ62" i="1" s="1"/>
  <c r="Z62" i="1"/>
  <c r="AG62" i="1" s="1"/>
  <c r="AI61" i="1"/>
  <c r="AJ61" i="1" s="1"/>
  <c r="AG61" i="1"/>
  <c r="AI60" i="1"/>
  <c r="AJ60" i="1" s="1"/>
  <c r="AG60" i="1"/>
  <c r="AI59" i="1"/>
  <c r="AJ59" i="1" s="1"/>
  <c r="AG59" i="1"/>
  <c r="AI58" i="1"/>
  <c r="AJ58" i="1" s="1"/>
  <c r="AG58" i="1"/>
  <c r="AI57" i="1"/>
  <c r="AJ57" i="1" s="1"/>
  <c r="AG57" i="1"/>
  <c r="AI56" i="1"/>
  <c r="AJ56" i="1" s="1"/>
  <c r="AG56" i="1"/>
  <c r="AI55" i="1"/>
  <c r="AJ55" i="1" s="1"/>
  <c r="AG55" i="1"/>
  <c r="AI54" i="1"/>
  <c r="AJ54" i="1" s="1"/>
  <c r="AG54" i="1"/>
  <c r="AI53" i="1"/>
  <c r="AJ53" i="1" s="1"/>
  <c r="AG53" i="1"/>
  <c r="AI52" i="1"/>
  <c r="AJ52" i="1" s="1"/>
  <c r="AG52" i="1"/>
  <c r="AI51" i="1"/>
  <c r="AJ51" i="1" s="1"/>
  <c r="AG51" i="1"/>
  <c r="AI50" i="1"/>
  <c r="AJ50" i="1" s="1"/>
  <c r="Z50" i="1"/>
  <c r="AG50" i="1" s="1"/>
  <c r="AI49" i="1"/>
  <c r="AJ49" i="1" s="1"/>
  <c r="AG49" i="1"/>
  <c r="AI48" i="1"/>
  <c r="AJ48" i="1" s="1"/>
  <c r="AG48" i="1"/>
  <c r="AI47" i="1"/>
  <c r="AJ47" i="1" s="1"/>
  <c r="AG47" i="1"/>
  <c r="AI46" i="1"/>
  <c r="AJ46" i="1" s="1"/>
  <c r="AG46" i="1"/>
  <c r="AI45" i="1"/>
  <c r="AJ45" i="1" s="1"/>
  <c r="AG45" i="1"/>
  <c r="AI44" i="1"/>
  <c r="AJ44" i="1" s="1"/>
  <c r="AG44" i="1"/>
  <c r="AI43" i="1"/>
  <c r="AJ43" i="1" s="1"/>
  <c r="AG43" i="1"/>
  <c r="AI42" i="1"/>
  <c r="AJ42" i="1" s="1"/>
  <c r="AG42" i="1"/>
  <c r="AI41" i="1"/>
  <c r="AJ41" i="1" s="1"/>
  <c r="AG41" i="1"/>
  <c r="AI40" i="1"/>
  <c r="AJ40" i="1" s="1"/>
  <c r="AG40" i="1"/>
  <c r="AI39" i="1"/>
  <c r="AJ39" i="1" s="1"/>
  <c r="AG39" i="1"/>
  <c r="AI38" i="1"/>
  <c r="AJ38" i="1" s="1"/>
  <c r="Z38" i="1"/>
  <c r="AG38" i="1" s="1"/>
  <c r="AI37" i="1"/>
  <c r="AJ37" i="1" s="1"/>
  <c r="AG37" i="1"/>
  <c r="AI36" i="1"/>
  <c r="AJ36" i="1" s="1"/>
  <c r="AG36" i="1"/>
  <c r="AI35" i="1"/>
  <c r="AJ35" i="1" s="1"/>
  <c r="AG35" i="1"/>
  <c r="AI34" i="1"/>
  <c r="AJ34" i="1" s="1"/>
  <c r="AG34" i="1"/>
  <c r="AI33" i="1"/>
  <c r="AJ33" i="1" s="1"/>
  <c r="AG33" i="1"/>
  <c r="AI32" i="1"/>
  <c r="AJ32" i="1" s="1"/>
  <c r="AG32" i="1"/>
  <c r="AI31" i="1"/>
  <c r="AJ31" i="1" s="1"/>
  <c r="AG31" i="1"/>
  <c r="AI30" i="1"/>
  <c r="AJ30" i="1" s="1"/>
  <c r="AG30" i="1"/>
  <c r="AI29" i="1"/>
  <c r="AJ29" i="1" s="1"/>
  <c r="AG29" i="1"/>
  <c r="AI28" i="1"/>
  <c r="AJ28" i="1" s="1"/>
  <c r="AG28" i="1"/>
  <c r="AI27" i="1"/>
  <c r="AJ27" i="1" s="1"/>
  <c r="AG27" i="1"/>
  <c r="AI26" i="1"/>
  <c r="AJ26" i="1" s="1"/>
  <c r="Z26" i="1"/>
  <c r="AG26" i="1" s="1"/>
  <c r="AI25" i="1"/>
  <c r="AJ25" i="1" s="1"/>
  <c r="AG25" i="1"/>
  <c r="AI24" i="1"/>
  <c r="AJ24" i="1" s="1"/>
  <c r="AG24" i="1"/>
  <c r="AI23" i="1"/>
  <c r="AJ23" i="1" s="1"/>
  <c r="AG23" i="1"/>
  <c r="AI22" i="1"/>
  <c r="AJ22" i="1" s="1"/>
  <c r="AG22" i="1"/>
  <c r="AI21" i="1"/>
  <c r="AJ21" i="1" s="1"/>
  <c r="AG21" i="1"/>
  <c r="AI20" i="1"/>
  <c r="AJ20" i="1" s="1"/>
  <c r="AG20" i="1"/>
  <c r="AI9" i="1"/>
  <c r="AJ9" i="1" s="1"/>
  <c r="AI10" i="1"/>
  <c r="AJ10" i="1" s="1"/>
  <c r="AI11" i="1"/>
  <c r="AJ11" i="1" s="1"/>
  <c r="AI12" i="1"/>
  <c r="AJ12" i="1" s="1"/>
  <c r="AI13" i="1"/>
  <c r="AJ13" i="1" s="1"/>
  <c r="AI14" i="1"/>
  <c r="AJ14" i="1" s="1"/>
  <c r="AI15" i="1"/>
  <c r="AJ15" i="1" s="1"/>
  <c r="AI16" i="1"/>
  <c r="AJ16" i="1" s="1"/>
  <c r="AI17" i="1"/>
  <c r="AJ17" i="1" s="1"/>
  <c r="AI18" i="1"/>
  <c r="AJ18" i="1" s="1"/>
  <c r="AI19" i="1"/>
  <c r="AJ19" i="1" s="1"/>
  <c r="AI8" i="1"/>
  <c r="AJ8" i="1" s="1"/>
  <c r="AG9" i="1"/>
  <c r="AG10" i="1"/>
  <c r="AG11" i="1"/>
  <c r="AG12" i="1"/>
  <c r="AG13" i="1"/>
  <c r="AG15" i="1"/>
  <c r="AG16" i="1"/>
  <c r="AG17" i="1"/>
  <c r="AG18" i="1"/>
  <c r="AG19" i="1"/>
  <c r="AG8" i="1"/>
  <c r="N12" i="1"/>
  <c r="M12" i="1" s="1"/>
  <c r="Y75" i="1"/>
  <c r="X75" i="1"/>
  <c r="AC75" i="1"/>
  <c r="AD74" i="1"/>
  <c r="AD73" i="1"/>
  <c r="AC72" i="1"/>
  <c r="AC71" i="1"/>
  <c r="Y70" i="1"/>
  <c r="X70" i="1"/>
  <c r="AC70" i="1"/>
  <c r="Y69" i="1"/>
  <c r="X69" i="1"/>
  <c r="AC69" i="1"/>
  <c r="X68" i="1"/>
  <c r="AC68" i="1"/>
  <c r="Y63" i="1"/>
  <c r="X63" i="1"/>
  <c r="AC63" i="1"/>
  <c r="AD62" i="1"/>
  <c r="AD61" i="1"/>
  <c r="AC60" i="1"/>
  <c r="AC59" i="1"/>
  <c r="Y58" i="1"/>
  <c r="X58" i="1"/>
  <c r="AC58" i="1"/>
  <c r="Y57" i="1"/>
  <c r="X57" i="1"/>
  <c r="AC57" i="1"/>
  <c r="X56" i="1"/>
  <c r="AC56" i="1"/>
  <c r="Y51" i="1"/>
  <c r="X51" i="1"/>
  <c r="AC51" i="1"/>
  <c r="AD50" i="1"/>
  <c r="AD49" i="1"/>
  <c r="AC48" i="1"/>
  <c r="AC47" i="1"/>
  <c r="Y46" i="1"/>
  <c r="X46" i="1"/>
  <c r="AC46" i="1"/>
  <c r="Y45" i="1"/>
  <c r="X45" i="1"/>
  <c r="AC45" i="1"/>
  <c r="X44" i="1"/>
  <c r="AC44" i="1"/>
  <c r="Y39" i="1"/>
  <c r="X39" i="1"/>
  <c r="AC39" i="1"/>
  <c r="AD38" i="1"/>
  <c r="AD37" i="1"/>
  <c r="AC36" i="1"/>
  <c r="AC35" i="1"/>
  <c r="Y34" i="1"/>
  <c r="X34" i="1"/>
  <c r="AC34" i="1"/>
  <c r="Y33" i="1"/>
  <c r="X33" i="1"/>
  <c r="AC33" i="1"/>
  <c r="X32" i="1"/>
  <c r="AC32" i="1"/>
  <c r="Y27" i="1"/>
  <c r="X27" i="1"/>
  <c r="AC27" i="1"/>
  <c r="AD26" i="1"/>
  <c r="AD25" i="1"/>
  <c r="AC24" i="1"/>
  <c r="AC23" i="1"/>
  <c r="Y22" i="1"/>
  <c r="X22" i="1"/>
  <c r="AC22" i="1"/>
  <c r="Y21" i="1"/>
  <c r="X21" i="1"/>
  <c r="AC21" i="1"/>
  <c r="X20" i="1"/>
  <c r="AC20" i="1"/>
  <c r="X15" i="1"/>
  <c r="AC9" i="1"/>
  <c r="Y15" i="1"/>
  <c r="AE15" i="1" s="1"/>
  <c r="Y10" i="1"/>
  <c r="Y9" i="1"/>
  <c r="X10" i="1"/>
  <c r="X9" i="1"/>
  <c r="X8" i="1"/>
  <c r="AD13" i="1"/>
  <c r="AC8" i="1"/>
  <c r="N79" i="1"/>
  <c r="N67" i="1"/>
  <c r="M67" i="1" s="1"/>
  <c r="N55" i="1"/>
  <c r="M55" i="1" s="1"/>
  <c r="N43" i="1"/>
  <c r="M43" i="1" s="1"/>
  <c r="N31" i="1"/>
  <c r="M31" i="1" s="1"/>
  <c r="N78" i="1"/>
  <c r="M78" i="1"/>
  <c r="N66" i="1"/>
  <c r="M66" i="1"/>
  <c r="N54" i="1"/>
  <c r="M54" i="1"/>
  <c r="N42" i="1"/>
  <c r="M42" i="1"/>
  <c r="N30" i="1"/>
  <c r="M30" i="1"/>
  <c r="N77" i="1"/>
  <c r="M77" i="1"/>
  <c r="N65" i="1"/>
  <c r="M65" i="1"/>
  <c r="N53" i="1"/>
  <c r="M53" i="1"/>
  <c r="N41" i="1"/>
  <c r="M41" i="1"/>
  <c r="N29" i="1"/>
  <c r="M29" i="1"/>
  <c r="N76" i="1"/>
  <c r="M76" i="1"/>
  <c r="N64" i="1"/>
  <c r="M64" i="1"/>
  <c r="N52" i="1"/>
  <c r="M52" i="1"/>
  <c r="N40" i="1"/>
  <c r="M40" i="1"/>
  <c r="N28" i="1"/>
  <c r="M28" i="1"/>
  <c r="N75" i="1"/>
  <c r="M75" i="1"/>
  <c r="N63" i="1"/>
  <c r="M63" i="1"/>
  <c r="N51" i="1"/>
  <c r="M51" i="1"/>
  <c r="N39" i="1"/>
  <c r="M39" i="1"/>
  <c r="N27" i="1"/>
  <c r="M27" i="1"/>
  <c r="N74" i="1"/>
  <c r="M74" i="1"/>
  <c r="N62" i="1"/>
  <c r="M62" i="1"/>
  <c r="N50" i="1"/>
  <c r="M50" i="1"/>
  <c r="N38" i="1"/>
  <c r="M38" i="1"/>
  <c r="N26" i="1"/>
  <c r="M26" i="1"/>
  <c r="N73" i="1"/>
  <c r="M73" i="1"/>
  <c r="N61" i="1"/>
  <c r="M61" i="1"/>
  <c r="N49" i="1"/>
  <c r="M49" i="1"/>
  <c r="N37" i="1"/>
  <c r="M37" i="1"/>
  <c r="N25" i="1"/>
  <c r="M25" i="1"/>
  <c r="N72" i="1"/>
  <c r="N60" i="1"/>
  <c r="M60" i="1" s="1"/>
  <c r="N48" i="1"/>
  <c r="M48" i="1" s="1"/>
  <c r="N36" i="1"/>
  <c r="M36" i="1" s="1"/>
  <c r="N24" i="1"/>
  <c r="M24" i="1" s="1"/>
  <c r="N71" i="1"/>
  <c r="M71" i="1"/>
  <c r="N59" i="1"/>
  <c r="M59" i="1"/>
  <c r="N47" i="1"/>
  <c r="M47" i="1"/>
  <c r="N35" i="1"/>
  <c r="M35" i="1"/>
  <c r="N23" i="1"/>
  <c r="M23" i="1"/>
  <c r="N70" i="1"/>
  <c r="M70" i="1"/>
  <c r="N58" i="1"/>
  <c r="M58" i="1"/>
  <c r="N46" i="1"/>
  <c r="M46" i="1"/>
  <c r="N34" i="1"/>
  <c r="M34" i="1"/>
  <c r="N22" i="1"/>
  <c r="M22" i="1"/>
  <c r="N69" i="1"/>
  <c r="M69" i="1"/>
  <c r="N57" i="1"/>
  <c r="M57" i="1"/>
  <c r="N45" i="1"/>
  <c r="M45" i="1"/>
  <c r="N33" i="1"/>
  <c r="M33" i="1"/>
  <c r="N21" i="1"/>
  <c r="M21" i="1"/>
  <c r="R8" i="11"/>
  <c r="R7" i="11"/>
  <c r="N8" i="11"/>
  <c r="N9" i="11"/>
  <c r="N10" i="11"/>
  <c r="N11" i="11"/>
  <c r="N12" i="11"/>
  <c r="N13" i="11"/>
  <c r="N14" i="11"/>
  <c r="N15" i="11"/>
  <c r="N16" i="11"/>
  <c r="N17" i="11"/>
  <c r="N18" i="11"/>
  <c r="N7" i="11"/>
  <c r="N19" i="1"/>
  <c r="M19" i="1" s="1"/>
  <c r="N18" i="1"/>
  <c r="N17" i="1"/>
  <c r="N16" i="1"/>
  <c r="N15" i="1"/>
  <c r="N14" i="1"/>
  <c r="N13" i="1"/>
  <c r="N11" i="1"/>
  <c r="N10" i="1"/>
  <c r="N9" i="1"/>
  <c r="N32" i="1"/>
  <c r="N44" i="1"/>
  <c r="N56" i="1"/>
  <c r="N68" i="1"/>
  <c r="N20" i="1"/>
  <c r="N8" i="1"/>
  <c r="M18" i="1"/>
  <c r="M17" i="1"/>
  <c r="M16" i="1"/>
  <c r="M15" i="1"/>
  <c r="M14" i="1"/>
  <c r="M13" i="1"/>
  <c r="M11" i="1"/>
  <c r="M10" i="1"/>
  <c r="M9" i="1"/>
  <c r="M56" i="1"/>
  <c r="M44" i="1"/>
  <c r="M32" i="1"/>
  <c r="M20" i="1"/>
  <c r="M8" i="1"/>
  <c r="Z14" i="1"/>
  <c r="AG14" i="1" s="1"/>
  <c r="AL20" i="17" l="1"/>
  <c r="AL44" i="17"/>
  <c r="AL32" i="17"/>
  <c r="AL66" i="17"/>
  <c r="AL61" i="17"/>
  <c r="AL56" i="17"/>
  <c r="AL22" i="17"/>
  <c r="AL30" i="17"/>
  <c r="AL59" i="17"/>
  <c r="AL40" i="17"/>
  <c r="AL46" i="17"/>
  <c r="R27" i="21"/>
  <c r="AC27" i="21" s="1"/>
  <c r="R23" i="21"/>
  <c r="AC23" i="21" s="1"/>
  <c r="R19" i="21"/>
  <c r="AC19" i="21" s="1"/>
  <c r="R15" i="21"/>
  <c r="R26" i="21"/>
  <c r="AC26" i="21" s="1"/>
  <c r="R18" i="21"/>
  <c r="AC18" i="21" s="1"/>
  <c r="R22" i="21"/>
  <c r="AC22" i="21" s="1"/>
  <c r="R14" i="21"/>
  <c r="R21" i="21"/>
  <c r="AC21" i="21" s="1"/>
  <c r="R13" i="21"/>
  <c r="R25" i="21"/>
  <c r="AC25" i="21" s="1"/>
  <c r="R17" i="21"/>
  <c r="AC17" i="21" s="1"/>
  <c r="R24" i="21"/>
  <c r="AC24" i="21" s="1"/>
  <c r="R20" i="21"/>
  <c r="AC20" i="21" s="1"/>
  <c r="R16" i="21"/>
  <c r="AC16" i="21" s="1"/>
  <c r="R12" i="21"/>
  <c r="R15" i="20"/>
  <c r="AC15" i="20" s="1"/>
  <c r="R19" i="20"/>
  <c r="R23" i="20"/>
  <c r="AC23" i="20" s="1"/>
  <c r="R27" i="20"/>
  <c r="AC27" i="20" s="1"/>
  <c r="R31" i="20"/>
  <c r="R14" i="20"/>
  <c r="AC14" i="20" s="1"/>
  <c r="R22" i="20"/>
  <c r="AC22" i="20" s="1"/>
  <c r="R18" i="20"/>
  <c r="R26" i="20"/>
  <c r="AC26" i="20" s="1"/>
  <c r="R13" i="20"/>
  <c r="R17" i="20"/>
  <c r="AC17" i="20" s="1"/>
  <c r="R21" i="20"/>
  <c r="AC21" i="20" s="1"/>
  <c r="R25" i="20"/>
  <c r="AC25" i="20" s="1"/>
  <c r="R16" i="20"/>
  <c r="AC16" i="20" s="1"/>
  <c r="R12" i="20"/>
  <c r="AC12" i="20" s="1"/>
  <c r="R20" i="20"/>
  <c r="R24" i="20"/>
  <c r="AC24" i="20" s="1"/>
  <c r="Q17" i="21"/>
  <c r="Q13" i="21"/>
  <c r="Q21" i="21"/>
  <c r="Q25" i="21"/>
  <c r="Q26" i="21"/>
  <c r="Q18" i="21"/>
  <c r="Q22" i="21"/>
  <c r="Q14" i="21"/>
  <c r="Q15" i="21"/>
  <c r="Q19" i="21"/>
  <c r="Q23" i="21"/>
  <c r="Q27" i="21"/>
  <c r="Q16" i="21"/>
  <c r="Q20" i="21"/>
  <c r="Q12" i="21"/>
  <c r="Q24" i="21"/>
  <c r="AL21" i="17"/>
  <c r="AL39" i="17"/>
  <c r="AL67" i="17"/>
  <c r="AL45" i="17"/>
  <c r="AL43" i="17"/>
  <c r="AL37" i="17"/>
  <c r="AL27" i="17"/>
  <c r="AL51" i="17"/>
  <c r="AL53" i="17"/>
  <c r="AL35" i="17"/>
  <c r="AL42" i="17"/>
  <c r="AL29" i="17"/>
  <c r="U77" i="17"/>
  <c r="W76" i="17"/>
  <c r="V76" i="17"/>
  <c r="U76" i="17"/>
  <c r="W75" i="17"/>
  <c r="U75" i="17"/>
  <c r="W74" i="17"/>
  <c r="V74" i="17"/>
  <c r="U74" i="17"/>
  <c r="W73" i="17"/>
  <c r="V73" i="17"/>
  <c r="U73" i="17"/>
  <c r="W72" i="17"/>
  <c r="V72" i="17"/>
  <c r="U72" i="17"/>
  <c r="W71" i="17"/>
  <c r="V71" i="17"/>
  <c r="U71" i="17"/>
  <c r="W70" i="17"/>
  <c r="V70" i="17"/>
  <c r="U70" i="17"/>
  <c r="W69" i="17"/>
  <c r="V69" i="17"/>
  <c r="U69" i="17"/>
  <c r="W68" i="17"/>
  <c r="V68" i="17"/>
  <c r="U68" i="17"/>
  <c r="AL41" i="17"/>
  <c r="AL49" i="17"/>
  <c r="AL26" i="17"/>
  <c r="V75" i="17"/>
  <c r="AL52" i="17"/>
  <c r="AL38" i="17"/>
  <c r="AL36" i="17"/>
  <c r="AL31" i="17"/>
  <c r="Z11" i="21"/>
  <c r="Z31" i="21" s="1"/>
  <c r="Y31" i="21"/>
  <c r="P31" i="21"/>
  <c r="AA11" i="21"/>
  <c r="AA30" i="21"/>
  <c r="AB10" i="21"/>
  <c r="Y30" i="21"/>
  <c r="Z10" i="21"/>
  <c r="Z30" i="21" s="1"/>
  <c r="AB9" i="21"/>
  <c r="AA29" i="21"/>
  <c r="Y29" i="21"/>
  <c r="Z9" i="21"/>
  <c r="Z29" i="21" s="1"/>
  <c r="AB8" i="21"/>
  <c r="AA28" i="21"/>
  <c r="Z8" i="21"/>
  <c r="Z28" i="21" s="1"/>
  <c r="Y28" i="21"/>
  <c r="AA28" i="20"/>
  <c r="AB8" i="20"/>
  <c r="AC8" i="20" s="1"/>
  <c r="AB9" i="20"/>
  <c r="AC9" i="20" s="1"/>
  <c r="AA29" i="20"/>
  <c r="AB10" i="20"/>
  <c r="AC10" i="20" s="1"/>
  <c r="AA30" i="20"/>
  <c r="P31" i="20"/>
  <c r="AA11" i="20"/>
  <c r="T27" i="20"/>
  <c r="U27" i="20"/>
  <c r="T23" i="20"/>
  <c r="U23" i="20"/>
  <c r="T19" i="20"/>
  <c r="U19" i="20"/>
  <c r="T15" i="20"/>
  <c r="U15" i="20"/>
  <c r="T11" i="20"/>
  <c r="U11" i="20"/>
  <c r="AB19" i="20"/>
  <c r="AB29" i="20"/>
  <c r="AB30" i="20"/>
  <c r="AB28" i="20"/>
  <c r="AK17" i="17"/>
  <c r="Q31" i="20"/>
  <c r="Z9" i="20"/>
  <c r="Z29" i="20" s="1"/>
  <c r="Y29" i="20"/>
  <c r="Z10" i="20"/>
  <c r="Z30" i="20" s="1"/>
  <c r="Y30" i="20"/>
  <c r="Z11" i="20"/>
  <c r="Z31" i="20" s="1"/>
  <c r="Y31" i="20"/>
  <c r="Y28" i="20"/>
  <c r="Z8" i="20"/>
  <c r="Z28" i="20" s="1"/>
  <c r="AL58" i="17"/>
  <c r="AL62" i="17"/>
  <c r="V79" i="17"/>
  <c r="W78" i="17"/>
  <c r="W77" i="17"/>
  <c r="W79" i="17"/>
  <c r="U79" i="17"/>
  <c r="V78" i="17"/>
  <c r="U78" i="17"/>
  <c r="V77" i="17"/>
  <c r="S31" i="20"/>
  <c r="S30" i="20"/>
  <c r="S29" i="20"/>
  <c r="S28" i="20"/>
  <c r="Q16" i="10"/>
  <c r="S16" i="10"/>
  <c r="AE68" i="17"/>
  <c r="AE51" i="17"/>
  <c r="AE32" i="17"/>
  <c r="AE21" i="17"/>
  <c r="AE15" i="17"/>
  <c r="AE10" i="17"/>
  <c r="AE9" i="17"/>
  <c r="AE75" i="17"/>
  <c r="AE70" i="17"/>
  <c r="AE69" i="17"/>
  <c r="AE63" i="17"/>
  <c r="AK62" i="17"/>
  <c r="AE58" i="17"/>
  <c r="AE57" i="17"/>
  <c r="AL55" i="17"/>
  <c r="AL34" i="17"/>
  <c r="AE20" i="17"/>
  <c r="AE56" i="17"/>
  <c r="AH50" i="17"/>
  <c r="AK50" i="17" s="1"/>
  <c r="AL50" i="17"/>
  <c r="AE34" i="17"/>
  <c r="AE8" i="17"/>
  <c r="AK49" i="17"/>
  <c r="AE46" i="17"/>
  <c r="AE45" i="17"/>
  <c r="AE44" i="17"/>
  <c r="AE39" i="17"/>
  <c r="AH38" i="17"/>
  <c r="AE33" i="17"/>
  <c r="AK18" i="17"/>
  <c r="AK9" i="17"/>
  <c r="AH32" i="17"/>
  <c r="AE27" i="17"/>
  <c r="AE22" i="17"/>
  <c r="AH48" i="1"/>
  <c r="AK48" i="1" s="1"/>
  <c r="AH9" i="1"/>
  <c r="AK9" i="1" s="1"/>
  <c r="T79" i="17"/>
  <c r="AL19" i="17"/>
  <c r="AL18" i="17"/>
  <c r="T78" i="17"/>
  <c r="AL17" i="17"/>
  <c r="T77" i="17"/>
  <c r="T76" i="17"/>
  <c r="AL16" i="17"/>
  <c r="AL15" i="17"/>
  <c r="T75" i="17"/>
  <c r="AL14" i="17"/>
  <c r="T74" i="17"/>
  <c r="T73" i="17"/>
  <c r="AL13" i="17"/>
  <c r="AL12" i="17"/>
  <c r="T72" i="17"/>
  <c r="T71" i="17"/>
  <c r="AL11" i="17"/>
  <c r="T70" i="17"/>
  <c r="AL10" i="17"/>
  <c r="T69" i="17"/>
  <c r="AL9" i="17"/>
  <c r="AL8" i="17"/>
  <c r="T68" i="17"/>
  <c r="AK45" i="17"/>
  <c r="AK40" i="17"/>
  <c r="AK38" i="17"/>
  <c r="AK36" i="17"/>
  <c r="AK30" i="17"/>
  <c r="AK28" i="17"/>
  <c r="AK24" i="17"/>
  <c r="AK12" i="17"/>
  <c r="U69" i="1"/>
  <c r="U70" i="1"/>
  <c r="U71" i="1"/>
  <c r="U72" i="1"/>
  <c r="U74" i="1"/>
  <c r="U75" i="1"/>
  <c r="U76" i="1"/>
  <c r="U77" i="1"/>
  <c r="U73" i="1"/>
  <c r="V68" i="1"/>
  <c r="AL8" i="1"/>
  <c r="U68" i="1"/>
  <c r="T68" i="1"/>
  <c r="AH67" i="1"/>
  <c r="AK67" i="1" s="1"/>
  <c r="AH60" i="1"/>
  <c r="AK60" i="1" s="1"/>
  <c r="AH17" i="1"/>
  <c r="AK17" i="1" s="1"/>
  <c r="AH16" i="1"/>
  <c r="AK16" i="1" s="1"/>
  <c r="AH15" i="1"/>
  <c r="AK15" i="1" s="1"/>
  <c r="AH13" i="1"/>
  <c r="AK13" i="1" s="1"/>
  <c r="AH11" i="1"/>
  <c r="AK11" i="1" s="1"/>
  <c r="AH8" i="1"/>
  <c r="AK8" i="1" s="1"/>
  <c r="AH42" i="1"/>
  <c r="AK42" i="1" s="1"/>
  <c r="AH23" i="1"/>
  <c r="AK23" i="1" s="1"/>
  <c r="AH22" i="1"/>
  <c r="AK22" i="1" s="1"/>
  <c r="AH21" i="1"/>
  <c r="AK21" i="1" s="1"/>
  <c r="T79" i="1"/>
  <c r="AH40" i="1"/>
  <c r="AK40" i="1" s="1"/>
  <c r="AH39" i="1"/>
  <c r="AK39" i="1" s="1"/>
  <c r="AH38" i="1"/>
  <c r="AK38" i="1" s="1"/>
  <c r="AH37" i="1"/>
  <c r="AK37" i="1" s="1"/>
  <c r="AH35" i="1"/>
  <c r="AK35" i="1" s="1"/>
  <c r="AH34" i="1"/>
  <c r="AH33" i="1"/>
  <c r="AK33" i="1" s="1"/>
  <c r="AH29" i="1"/>
  <c r="AK29" i="1" s="1"/>
  <c r="AH28" i="1"/>
  <c r="AK28" i="1" s="1"/>
  <c r="AH27" i="1"/>
  <c r="AK27" i="1" s="1"/>
  <c r="AH26" i="1"/>
  <c r="AK26" i="1" s="1"/>
  <c r="AH25" i="1"/>
  <c r="AK25" i="1" s="1"/>
  <c r="AH20" i="1"/>
  <c r="AH10" i="1"/>
  <c r="AK10" i="1" s="1"/>
  <c r="AH18" i="1"/>
  <c r="AK18" i="1" s="1"/>
  <c r="AH12" i="1"/>
  <c r="AK12" i="1" s="1"/>
  <c r="AH14" i="1"/>
  <c r="AK14" i="1" s="1"/>
  <c r="AH64" i="1"/>
  <c r="AK64" i="1" s="1"/>
  <c r="AH63" i="1"/>
  <c r="AK63" i="1" s="1"/>
  <c r="AH62" i="1"/>
  <c r="AK62" i="1" s="1"/>
  <c r="AH61" i="1"/>
  <c r="AK61" i="1" s="1"/>
  <c r="AH52" i="1"/>
  <c r="AK52" i="1" s="1"/>
  <c r="AH50" i="1"/>
  <c r="AK50" i="1" s="1"/>
  <c r="AH49" i="1"/>
  <c r="AK49" i="1" s="1"/>
  <c r="AH47" i="1"/>
  <c r="AK47" i="1" s="1"/>
  <c r="AH46" i="1"/>
  <c r="AK46" i="1" s="1"/>
  <c r="AH45" i="1"/>
  <c r="AK45" i="1" s="1"/>
  <c r="AH32" i="1"/>
  <c r="AK32" i="1" s="1"/>
  <c r="AH55" i="1"/>
  <c r="AK55" i="1" s="1"/>
  <c r="AH43" i="1"/>
  <c r="AK43" i="1" s="1"/>
  <c r="AH31" i="1"/>
  <c r="AK31" i="1" s="1"/>
  <c r="AH36" i="1"/>
  <c r="AK36" i="1" s="1"/>
  <c r="AH24" i="1"/>
  <c r="AK24" i="1" s="1"/>
  <c r="AH59" i="1"/>
  <c r="AK59" i="1" s="1"/>
  <c r="AH58" i="1"/>
  <c r="AK58" i="1" s="1"/>
  <c r="AH57" i="1"/>
  <c r="AK57" i="1" s="1"/>
  <c r="AH56" i="1"/>
  <c r="AK56" i="1" s="1"/>
  <c r="AH54" i="1"/>
  <c r="AK54" i="1" s="1"/>
  <c r="AH53" i="1"/>
  <c r="AK53" i="1" s="1"/>
  <c r="AH44" i="1"/>
  <c r="AK44" i="1" s="1"/>
  <c r="AK34" i="1"/>
  <c r="AK20" i="1"/>
  <c r="AF8" i="1"/>
  <c r="AH51" i="1"/>
  <c r="AK51" i="1" s="1"/>
  <c r="AH41" i="1"/>
  <c r="AK41" i="1" s="1"/>
  <c r="AH65" i="1"/>
  <c r="AK65" i="1" s="1"/>
  <c r="AH66" i="1"/>
  <c r="AK66" i="1" s="1"/>
  <c r="AH30" i="1"/>
  <c r="AK30" i="1" s="1"/>
  <c r="AH19" i="1"/>
  <c r="AK19" i="1" s="1"/>
  <c r="AE75" i="1"/>
  <c r="AE70" i="1"/>
  <c r="AE69" i="1"/>
  <c r="AE68" i="1"/>
  <c r="AE45" i="1"/>
  <c r="AE10" i="1"/>
  <c r="AE9" i="1"/>
  <c r="AE63" i="1"/>
  <c r="AE58" i="1"/>
  <c r="AE57" i="1"/>
  <c r="AE56" i="1"/>
  <c r="AE51" i="1"/>
  <c r="AE46" i="1"/>
  <c r="AE44" i="1"/>
  <c r="AE39" i="1"/>
  <c r="AE34" i="1"/>
  <c r="AE33" i="1"/>
  <c r="AE32" i="1"/>
  <c r="AE27" i="1"/>
  <c r="AE22" i="1"/>
  <c r="AE21" i="1"/>
  <c r="AE20" i="1"/>
  <c r="AE8" i="1"/>
  <c r="W68" i="1"/>
  <c r="T69" i="1"/>
  <c r="T71" i="1"/>
  <c r="T72" i="1"/>
  <c r="T73" i="1"/>
  <c r="T74" i="1"/>
  <c r="T76" i="1"/>
  <c r="T78" i="1"/>
  <c r="T70" i="1"/>
  <c r="T75" i="1"/>
  <c r="T77" i="1"/>
  <c r="V69" i="1"/>
  <c r="W69" i="1"/>
  <c r="V70" i="1"/>
  <c r="W70" i="1"/>
  <c r="V71" i="1"/>
  <c r="W71" i="1"/>
  <c r="V72" i="1"/>
  <c r="W72" i="1"/>
  <c r="V73" i="1"/>
  <c r="W73" i="1"/>
  <c r="V74" i="1"/>
  <c r="W74" i="1"/>
  <c r="V75" i="1"/>
  <c r="W75" i="1"/>
  <c r="V76" i="1"/>
  <c r="W76" i="1"/>
  <c r="V77" i="1"/>
  <c r="W77" i="1"/>
  <c r="V78" i="1"/>
  <c r="W78" i="1"/>
  <c r="V79" i="1"/>
  <c r="W79" i="1"/>
  <c r="Q30" i="21" l="1"/>
  <c r="Q31" i="21"/>
  <c r="AL68" i="17"/>
  <c r="R29" i="20"/>
  <c r="AC13" i="20"/>
  <c r="AC29" i="20" s="1"/>
  <c r="Q29" i="21"/>
  <c r="Q28" i="21"/>
  <c r="AC19" i="20"/>
  <c r="R31" i="21"/>
  <c r="AC15" i="21"/>
  <c r="R30" i="21"/>
  <c r="AC14" i="21"/>
  <c r="R29" i="21"/>
  <c r="AC13" i="21"/>
  <c r="R28" i="21"/>
  <c r="AC12" i="21"/>
  <c r="AC18" i="20"/>
  <c r="AC30" i="20" s="1"/>
  <c r="R30" i="20"/>
  <c r="AC20" i="20"/>
  <c r="AC28" i="20" s="1"/>
  <c r="R28" i="20"/>
  <c r="AL75" i="17"/>
  <c r="AL69" i="17"/>
  <c r="AL77" i="17"/>
  <c r="AL78" i="17"/>
  <c r="AL73" i="17"/>
  <c r="AL71" i="17"/>
  <c r="AL76" i="17"/>
  <c r="AL72" i="17"/>
  <c r="AL70" i="17"/>
  <c r="AB11" i="21"/>
  <c r="AA31" i="21"/>
  <c r="AC10" i="21"/>
  <c r="AB30" i="21"/>
  <c r="AC9" i="21"/>
  <c r="AB29" i="21"/>
  <c r="AC8" i="21"/>
  <c r="AB28" i="21"/>
  <c r="AA31" i="20"/>
  <c r="AB11" i="20"/>
  <c r="AC11" i="20" s="1"/>
  <c r="T31" i="20"/>
  <c r="U31" i="20"/>
  <c r="T30" i="20"/>
  <c r="U30" i="20"/>
  <c r="T29" i="20"/>
  <c r="U29" i="20"/>
  <c r="T28" i="20"/>
  <c r="U28" i="20"/>
  <c r="AL79" i="17"/>
  <c r="AL74" i="17"/>
  <c r="AD14" i="1"/>
  <c r="AC15" i="1"/>
  <c r="AC12" i="1"/>
  <c r="AC11" i="1"/>
  <c r="AC10" i="1"/>
  <c r="AC29" i="21" l="1"/>
  <c r="AC30" i="21"/>
  <c r="AC28" i="21"/>
  <c r="AC11" i="21"/>
  <c r="AC31" i="21" s="1"/>
  <c r="AB31" i="21"/>
  <c r="AB31" i="20"/>
  <c r="AC31" i="20"/>
  <c r="AF20" i="1" l="1"/>
  <c r="AF32" i="1"/>
  <c r="AF44" i="1"/>
  <c r="AF56" i="1"/>
  <c r="G65" i="6" l="1"/>
  <c r="F65" i="6"/>
  <c r="D65" i="6" s="1"/>
  <c r="G64" i="6"/>
  <c r="F64" i="6"/>
  <c r="D64" i="6" s="1"/>
  <c r="G63" i="6"/>
  <c r="F63" i="6"/>
  <c r="D63" i="6" s="1"/>
  <c r="G62" i="6"/>
  <c r="D62" i="6" s="1"/>
  <c r="F62" i="6"/>
  <c r="G61" i="6"/>
  <c r="F61" i="6"/>
  <c r="D61" i="6" s="1"/>
  <c r="AC61" i="6" s="1"/>
  <c r="G60" i="6"/>
  <c r="F60" i="6"/>
  <c r="D60" i="6" s="1"/>
  <c r="G59" i="6"/>
  <c r="F59" i="6"/>
  <c r="D59" i="6" s="1"/>
  <c r="G58" i="6"/>
  <c r="F58" i="6"/>
  <c r="D58" i="6"/>
  <c r="G57" i="6"/>
  <c r="F57" i="6"/>
  <c r="G56" i="6"/>
  <c r="F56" i="6"/>
  <c r="D56" i="6" s="1"/>
  <c r="AC56" i="6" s="1"/>
  <c r="G55" i="6"/>
  <c r="F55" i="6"/>
  <c r="D55" i="6"/>
  <c r="G54" i="6"/>
  <c r="F54" i="6"/>
  <c r="D54" i="6" s="1"/>
  <c r="AC54" i="6" s="1"/>
  <c r="G53" i="6"/>
  <c r="F53" i="6"/>
  <c r="D53" i="6" s="1"/>
  <c r="G52" i="6"/>
  <c r="F52" i="6"/>
  <c r="D52" i="6"/>
  <c r="I51" i="6"/>
  <c r="J51" i="6" s="1"/>
  <c r="K51" i="6" s="1"/>
  <c r="L51" i="6" s="1"/>
  <c r="M51" i="6" s="1"/>
  <c r="N51" i="6" s="1"/>
  <c r="O51" i="6" s="1"/>
  <c r="P51" i="6" s="1"/>
  <c r="Q51" i="6" s="1"/>
  <c r="R51" i="6" s="1"/>
  <c r="S51" i="6" s="1"/>
  <c r="T51" i="6" s="1"/>
  <c r="U51" i="6" s="1"/>
  <c r="V51" i="6" s="1"/>
  <c r="W51" i="6" s="1"/>
  <c r="X51" i="6" s="1"/>
  <c r="Y51" i="6" s="1"/>
  <c r="Z51" i="6" s="1"/>
  <c r="AA51" i="6" s="1"/>
  <c r="X33" i="6"/>
  <c r="W33" i="6"/>
  <c r="V33" i="6"/>
  <c r="T33" i="6"/>
  <c r="R33" i="6"/>
  <c r="P33" i="6"/>
  <c r="N33" i="6"/>
  <c r="C33" i="6"/>
  <c r="X32" i="6"/>
  <c r="W32" i="6"/>
  <c r="V32" i="6"/>
  <c r="T32" i="6"/>
  <c r="R32" i="6"/>
  <c r="P32" i="6"/>
  <c r="N32" i="6"/>
  <c r="C32" i="6"/>
  <c r="X31" i="6"/>
  <c r="W31" i="6"/>
  <c r="V31" i="6"/>
  <c r="T31" i="6"/>
  <c r="R31" i="6"/>
  <c r="P31" i="6"/>
  <c r="N31" i="6"/>
  <c r="C31" i="6"/>
  <c r="X30" i="6"/>
  <c r="W30" i="6"/>
  <c r="V30" i="6"/>
  <c r="T30" i="6"/>
  <c r="R30" i="6"/>
  <c r="P30" i="6"/>
  <c r="N30" i="6"/>
  <c r="C30" i="6"/>
  <c r="X29" i="6"/>
  <c r="W29" i="6"/>
  <c r="V29" i="6"/>
  <c r="T29" i="6"/>
  <c r="R29" i="6"/>
  <c r="P29" i="6"/>
  <c r="N29" i="6"/>
  <c r="C29" i="6"/>
  <c r="X28" i="6"/>
  <c r="W28" i="6"/>
  <c r="V28" i="6"/>
  <c r="T28" i="6"/>
  <c r="R28" i="6"/>
  <c r="P28" i="6"/>
  <c r="N28" i="6"/>
  <c r="C28" i="6"/>
  <c r="X27" i="6"/>
  <c r="W27" i="6"/>
  <c r="V27" i="6"/>
  <c r="T27" i="6"/>
  <c r="R27" i="6"/>
  <c r="P27" i="6"/>
  <c r="N27" i="6"/>
  <c r="C27" i="6"/>
  <c r="X26" i="6"/>
  <c r="W26" i="6"/>
  <c r="V26" i="6"/>
  <c r="T26" i="6"/>
  <c r="R26" i="6"/>
  <c r="P26" i="6"/>
  <c r="N26" i="6"/>
  <c r="C26" i="6"/>
  <c r="X25" i="6"/>
  <c r="W25" i="6"/>
  <c r="V25" i="6"/>
  <c r="T25" i="6"/>
  <c r="R25" i="6"/>
  <c r="P25" i="6"/>
  <c r="N25" i="6"/>
  <c r="C25" i="6"/>
  <c r="X24" i="6"/>
  <c r="W24" i="6"/>
  <c r="V24" i="6"/>
  <c r="T24" i="6"/>
  <c r="R24" i="6"/>
  <c r="P24" i="6"/>
  <c r="N24" i="6"/>
  <c r="C24" i="6"/>
  <c r="X23" i="6"/>
  <c r="W23" i="6"/>
  <c r="V23" i="6"/>
  <c r="T23" i="6"/>
  <c r="R23" i="6"/>
  <c r="P23" i="6"/>
  <c r="N23" i="6"/>
  <c r="C23" i="6"/>
  <c r="X22" i="6"/>
  <c r="W22" i="6"/>
  <c r="V22" i="6"/>
  <c r="T22" i="6"/>
  <c r="R22" i="6"/>
  <c r="P22" i="6"/>
  <c r="N22" i="6"/>
  <c r="C22" i="6"/>
  <c r="X21" i="6"/>
  <c r="W21" i="6"/>
  <c r="V21" i="6"/>
  <c r="T21" i="6"/>
  <c r="R21" i="6"/>
  <c r="P21" i="6"/>
  <c r="N21" i="6"/>
  <c r="C21" i="6"/>
  <c r="X20" i="6"/>
  <c r="W20" i="6"/>
  <c r="V20" i="6"/>
  <c r="T20" i="6"/>
  <c r="R20" i="6"/>
  <c r="P20" i="6"/>
  <c r="N20" i="6"/>
  <c r="C20" i="6"/>
  <c r="X19" i="6"/>
  <c r="W19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C14" i="6"/>
  <c r="B14" i="6"/>
  <c r="C11" i="6"/>
  <c r="B11" i="6"/>
  <c r="C16" i="6"/>
  <c r="B16" i="6"/>
  <c r="C12" i="6"/>
  <c r="B12" i="6"/>
  <c r="C15" i="6"/>
  <c r="B15" i="6"/>
  <c r="C13" i="6"/>
  <c r="B13" i="6"/>
  <c r="C10" i="6"/>
  <c r="B10" i="6"/>
  <c r="D57" i="6" l="1"/>
  <c r="Q63" i="6"/>
  <c r="H64" i="6"/>
  <c r="K59" i="6"/>
  <c r="O63" i="6"/>
  <c r="Q65" i="6"/>
  <c r="J54" i="6"/>
  <c r="K54" i="6"/>
  <c r="Q56" i="6"/>
  <c r="H59" i="6"/>
  <c r="H56" i="6"/>
  <c r="I59" i="6"/>
  <c r="Q61" i="6"/>
  <c r="K56" i="6"/>
  <c r="L56" i="6"/>
  <c r="AE56" i="6" s="1"/>
  <c r="P53" i="6"/>
  <c r="Q53" i="6"/>
  <c r="J61" i="6"/>
  <c r="M58" i="6"/>
  <c r="K63" i="6"/>
  <c r="L61" i="6"/>
  <c r="O58" i="6"/>
  <c r="M61" i="6"/>
  <c r="N61" i="6"/>
  <c r="M63" i="6"/>
  <c r="N63" i="6"/>
  <c r="Q59" i="6"/>
  <c r="P59" i="6"/>
  <c r="O59" i="6"/>
  <c r="N59" i="6"/>
  <c r="M59" i="6"/>
  <c r="L59" i="6"/>
  <c r="AE59" i="6" s="1"/>
  <c r="Q64" i="6"/>
  <c r="P64" i="6"/>
  <c r="O64" i="6"/>
  <c r="N64" i="6"/>
  <c r="M64" i="6"/>
  <c r="L64" i="6"/>
  <c r="AE64" i="6" s="1"/>
  <c r="K64" i="6"/>
  <c r="L53" i="6"/>
  <c r="I64" i="6"/>
  <c r="K58" i="6"/>
  <c r="M56" i="6"/>
  <c r="O55" i="6"/>
  <c r="L58" i="6"/>
  <c r="P55" i="6"/>
  <c r="Q55" i="6"/>
  <c r="Q54" i="6"/>
  <c r="P54" i="6"/>
  <c r="O54" i="6"/>
  <c r="N54" i="6"/>
  <c r="M54" i="6"/>
  <c r="L54" i="6"/>
  <c r="AE54" i="6" s="1"/>
  <c r="P58" i="6"/>
  <c r="L63" i="6"/>
  <c r="AE63" i="6" s="1"/>
  <c r="Q58" i="6"/>
  <c r="Q57" i="6"/>
  <c r="P57" i="6"/>
  <c r="O57" i="6"/>
  <c r="N57" i="6"/>
  <c r="M57" i="6"/>
  <c r="L57" i="6"/>
  <c r="K57" i="6"/>
  <c r="J57" i="6"/>
  <c r="I57" i="6"/>
  <c r="AC57" i="6"/>
  <c r="H57" i="6"/>
  <c r="H54" i="6"/>
  <c r="P60" i="6"/>
  <c r="Q62" i="6"/>
  <c r="P62" i="6"/>
  <c r="O62" i="6"/>
  <c r="N62" i="6"/>
  <c r="M62" i="6"/>
  <c r="L62" i="6"/>
  <c r="K62" i="6"/>
  <c r="J62" i="6"/>
  <c r="I62" i="6"/>
  <c r="AC62" i="6"/>
  <c r="H62" i="6"/>
  <c r="K53" i="6"/>
  <c r="J58" i="6"/>
  <c r="N55" i="6"/>
  <c r="J53" i="6"/>
  <c r="M65" i="6"/>
  <c r="I63" i="6"/>
  <c r="M60" i="6"/>
  <c r="I58" i="6"/>
  <c r="M55" i="6"/>
  <c r="I53" i="6"/>
  <c r="O61" i="6"/>
  <c r="I56" i="6"/>
  <c r="J59" i="6"/>
  <c r="J56" i="6"/>
  <c r="M53" i="6"/>
  <c r="N53" i="6"/>
  <c r="J64" i="6"/>
  <c r="O53" i="6"/>
  <c r="H61" i="6"/>
  <c r="N56" i="6"/>
  <c r="I61" i="6"/>
  <c r="O56" i="6"/>
  <c r="AC59" i="6"/>
  <c r="Q52" i="6"/>
  <c r="P52" i="6"/>
  <c r="O52" i="6"/>
  <c r="N52" i="6"/>
  <c r="M52" i="6"/>
  <c r="L52" i="6"/>
  <c r="K52" i="6"/>
  <c r="J52" i="6"/>
  <c r="I52" i="6"/>
  <c r="AC52" i="6"/>
  <c r="H52" i="6"/>
  <c r="K61" i="6"/>
  <c r="N58" i="6"/>
  <c r="AC64" i="6"/>
  <c r="O60" i="6"/>
  <c r="O65" i="6"/>
  <c r="I54" i="6"/>
  <c r="Q60" i="6"/>
  <c r="P63" i="6"/>
  <c r="P65" i="6"/>
  <c r="P56" i="6"/>
  <c r="P61" i="6"/>
  <c r="H55" i="6"/>
  <c r="AC55" i="6"/>
  <c r="H60" i="6"/>
  <c r="AC60" i="6"/>
  <c r="H65" i="6"/>
  <c r="AC65" i="6"/>
  <c r="I55" i="6"/>
  <c r="I60" i="6"/>
  <c r="I65" i="6"/>
  <c r="J55" i="6"/>
  <c r="J60" i="6"/>
  <c r="J65" i="6"/>
  <c r="K55" i="6"/>
  <c r="K60" i="6"/>
  <c r="K65" i="6"/>
  <c r="H53" i="6"/>
  <c r="AC53" i="6"/>
  <c r="L55" i="6"/>
  <c r="H58" i="6"/>
  <c r="AC58" i="6"/>
  <c r="L60" i="6"/>
  <c r="H63" i="6"/>
  <c r="AC63" i="6"/>
  <c r="L65" i="6"/>
  <c r="N60" i="6"/>
  <c r="J63" i="6"/>
  <c r="N65" i="6"/>
  <c r="AF63" i="6" l="1"/>
  <c r="AG63" i="6" s="1"/>
  <c r="AE57" i="6"/>
  <c r="AE61" i="6"/>
  <c r="AE60" i="6"/>
  <c r="AF55" i="6"/>
  <c r="AG55" i="6" s="1"/>
  <c r="AF61" i="6"/>
  <c r="AG61" i="6" s="1"/>
  <c r="AE58" i="6"/>
  <c r="AF56" i="6"/>
  <c r="AF65" i="6"/>
  <c r="AG65" i="6" s="1"/>
  <c r="H67" i="6"/>
  <c r="H68" i="6"/>
  <c r="AF64" i="6"/>
  <c r="AG64" i="6" s="1"/>
  <c r="AF62" i="6"/>
  <c r="AG62" i="6" s="1"/>
  <c r="AF57" i="6"/>
  <c r="AG57" i="6" s="1"/>
  <c r="I67" i="6"/>
  <c r="I68" i="6"/>
  <c r="K68" i="6"/>
  <c r="K67" i="6"/>
  <c r="AE65" i="6"/>
  <c r="AE52" i="6"/>
  <c r="L67" i="6"/>
  <c r="L68" i="6"/>
  <c r="AF60" i="6"/>
  <c r="AG60" i="6" s="1"/>
  <c r="AF54" i="6"/>
  <c r="AG54" i="6" s="1"/>
  <c r="O68" i="6"/>
  <c r="O67" i="6"/>
  <c r="Q68" i="6"/>
  <c r="Q67" i="6"/>
  <c r="AE55" i="6"/>
  <c r="AF53" i="6"/>
  <c r="AG53" i="6" s="1"/>
  <c r="M68" i="6"/>
  <c r="M67" i="6"/>
  <c r="AF52" i="6"/>
  <c r="AG52" i="6" s="1"/>
  <c r="AG56" i="6" s="1"/>
  <c r="P68" i="6"/>
  <c r="P67" i="6"/>
  <c r="AE53" i="6"/>
  <c r="AE62" i="6"/>
  <c r="AF58" i="6"/>
  <c r="AG58" i="6" s="1"/>
  <c r="J67" i="6"/>
  <c r="J68" i="6"/>
  <c r="N68" i="6"/>
  <c r="N67" i="6"/>
  <c r="AF59" i="6"/>
  <c r="AG59" i="6" s="1"/>
  <c r="AE67" i="6" l="1"/>
  <c r="AF67" i="6"/>
  <c r="R60" i="6" s="1"/>
  <c r="S60" i="6" s="1"/>
  <c r="T60" i="6" s="1"/>
  <c r="U60" i="6" s="1"/>
  <c r="V60" i="6" s="1"/>
  <c r="W60" i="6" s="1"/>
  <c r="X60" i="6" s="1"/>
  <c r="Y60" i="6" s="1"/>
  <c r="Z60" i="6" s="1"/>
  <c r="AA60" i="6" s="1"/>
  <c r="AI60" i="6" s="1"/>
  <c r="R56" i="6"/>
  <c r="S56" i="6" s="1"/>
  <c r="T56" i="6" s="1"/>
  <c r="U56" i="6" s="1"/>
  <c r="V56" i="6" s="1"/>
  <c r="W56" i="6" s="1"/>
  <c r="X56" i="6" s="1"/>
  <c r="Y56" i="6" s="1"/>
  <c r="Z56" i="6" s="1"/>
  <c r="AA56" i="6" s="1"/>
  <c r="AI56" i="6" s="1"/>
  <c r="R58" i="6" l="1"/>
  <c r="S58" i="6" s="1"/>
  <c r="T58" i="6" s="1"/>
  <c r="U58" i="6" s="1"/>
  <c r="V58" i="6" s="1"/>
  <c r="W58" i="6" s="1"/>
  <c r="X58" i="6" s="1"/>
  <c r="Y58" i="6" s="1"/>
  <c r="Z58" i="6" s="1"/>
  <c r="AA58" i="6" s="1"/>
  <c r="AI58" i="6" s="1"/>
  <c r="R62" i="6"/>
  <c r="S62" i="6" s="1"/>
  <c r="T62" i="6" s="1"/>
  <c r="U62" i="6" s="1"/>
  <c r="V62" i="6" s="1"/>
  <c r="W62" i="6" s="1"/>
  <c r="X62" i="6" s="1"/>
  <c r="Y62" i="6" s="1"/>
  <c r="Z62" i="6" s="1"/>
  <c r="AA62" i="6" s="1"/>
  <c r="AI62" i="6" s="1"/>
  <c r="R63" i="6"/>
  <c r="S63" i="6" s="1"/>
  <c r="T63" i="6" s="1"/>
  <c r="U63" i="6" s="1"/>
  <c r="V63" i="6" s="1"/>
  <c r="W63" i="6" s="1"/>
  <c r="X63" i="6" s="1"/>
  <c r="Y63" i="6" s="1"/>
  <c r="Z63" i="6" s="1"/>
  <c r="AA63" i="6" s="1"/>
  <c r="AI63" i="6" s="1"/>
  <c r="R54" i="6"/>
  <c r="S54" i="6" s="1"/>
  <c r="T54" i="6" s="1"/>
  <c r="U54" i="6" s="1"/>
  <c r="V54" i="6" s="1"/>
  <c r="W54" i="6" s="1"/>
  <c r="X54" i="6" s="1"/>
  <c r="Y54" i="6" s="1"/>
  <c r="Z54" i="6" s="1"/>
  <c r="AA54" i="6" s="1"/>
  <c r="AI54" i="6" s="1"/>
  <c r="R53" i="6"/>
  <c r="S53" i="6" s="1"/>
  <c r="T53" i="6" s="1"/>
  <c r="U53" i="6" s="1"/>
  <c r="V53" i="6" s="1"/>
  <c r="W53" i="6" s="1"/>
  <c r="X53" i="6" s="1"/>
  <c r="Y53" i="6" s="1"/>
  <c r="Z53" i="6" s="1"/>
  <c r="AA53" i="6" s="1"/>
  <c r="AI53" i="6" s="1"/>
  <c r="R65" i="6"/>
  <c r="S65" i="6" s="1"/>
  <c r="T65" i="6" s="1"/>
  <c r="U65" i="6" s="1"/>
  <c r="V65" i="6" s="1"/>
  <c r="W65" i="6" s="1"/>
  <c r="X65" i="6" s="1"/>
  <c r="Y65" i="6" s="1"/>
  <c r="Z65" i="6" s="1"/>
  <c r="AA65" i="6" s="1"/>
  <c r="AI65" i="6" s="1"/>
  <c r="R61" i="6"/>
  <c r="S61" i="6" s="1"/>
  <c r="T61" i="6" s="1"/>
  <c r="U61" i="6" s="1"/>
  <c r="V61" i="6" s="1"/>
  <c r="W61" i="6" s="1"/>
  <c r="X61" i="6" s="1"/>
  <c r="Y61" i="6" s="1"/>
  <c r="Z61" i="6" s="1"/>
  <c r="AA61" i="6" s="1"/>
  <c r="AI61" i="6" s="1"/>
  <c r="R55" i="6"/>
  <c r="S55" i="6" s="1"/>
  <c r="T55" i="6" s="1"/>
  <c r="U55" i="6" s="1"/>
  <c r="V55" i="6" s="1"/>
  <c r="W55" i="6" s="1"/>
  <c r="X55" i="6" s="1"/>
  <c r="Y55" i="6" s="1"/>
  <c r="Z55" i="6" s="1"/>
  <c r="AA55" i="6" s="1"/>
  <c r="AI55" i="6" s="1"/>
  <c r="R64" i="6"/>
  <c r="S64" i="6" s="1"/>
  <c r="T64" i="6" s="1"/>
  <c r="U64" i="6" s="1"/>
  <c r="V64" i="6" s="1"/>
  <c r="W64" i="6" s="1"/>
  <c r="X64" i="6" s="1"/>
  <c r="Y64" i="6" s="1"/>
  <c r="Z64" i="6" s="1"/>
  <c r="AA64" i="6" s="1"/>
  <c r="AI64" i="6" s="1"/>
  <c r="R57" i="6"/>
  <c r="S57" i="6" s="1"/>
  <c r="T57" i="6" s="1"/>
  <c r="U57" i="6" s="1"/>
  <c r="V57" i="6" s="1"/>
  <c r="W57" i="6" s="1"/>
  <c r="X57" i="6" s="1"/>
  <c r="Y57" i="6" s="1"/>
  <c r="Z57" i="6" s="1"/>
  <c r="AA57" i="6" s="1"/>
  <c r="AI57" i="6" s="1"/>
  <c r="R52" i="6"/>
  <c r="R59" i="6"/>
  <c r="S59" i="6" s="1"/>
  <c r="T59" i="6" s="1"/>
  <c r="U59" i="6" s="1"/>
  <c r="V59" i="6" s="1"/>
  <c r="W59" i="6" s="1"/>
  <c r="X59" i="6" s="1"/>
  <c r="Y59" i="6" s="1"/>
  <c r="Z59" i="6" s="1"/>
  <c r="AA59" i="6" s="1"/>
  <c r="AI59" i="6" s="1"/>
  <c r="S52" i="6" l="1"/>
  <c r="R67" i="6"/>
  <c r="R68" i="6"/>
  <c r="S67" i="6" l="1"/>
  <c r="S68" i="6"/>
  <c r="T52" i="6"/>
  <c r="T68" i="6" l="1"/>
  <c r="T67" i="6"/>
  <c r="U52" i="6"/>
  <c r="U68" i="6" l="1"/>
  <c r="U67" i="6"/>
  <c r="V52" i="6"/>
  <c r="V68" i="6" l="1"/>
  <c r="V67" i="6"/>
  <c r="W52" i="6"/>
  <c r="W68" i="6" l="1"/>
  <c r="W67" i="6"/>
  <c r="X52" i="6"/>
  <c r="X68" i="6" l="1"/>
  <c r="X67" i="6"/>
  <c r="Y52" i="6"/>
  <c r="Y68" i="6" l="1"/>
  <c r="Y67" i="6"/>
  <c r="Z52" i="6"/>
  <c r="Z68" i="6" l="1"/>
  <c r="Z67" i="6"/>
  <c r="AA52" i="6"/>
  <c r="AA68" i="6" l="1"/>
  <c r="AA67" i="6"/>
  <c r="AI67" i="6" s="1"/>
  <c r="AI52" i="6"/>
</calcChain>
</file>

<file path=xl/sharedStrings.xml><?xml version="1.0" encoding="utf-8"?>
<sst xmlns="http://schemas.openxmlformats.org/spreadsheetml/2006/main" count="3126" uniqueCount="429">
  <si>
    <t>EnergyConvTech</t>
  </si>
  <si>
    <t>ModelGeography</t>
  </si>
  <si>
    <t>SubGeography1</t>
  </si>
  <si>
    <t>Year</t>
  </si>
  <si>
    <t>ConvEff</t>
  </si>
  <si>
    <t>MaxAnnualUF</t>
  </si>
  <si>
    <t>INDIA</t>
  </si>
  <si>
    <t>EG_BIOMASS</t>
  </si>
  <si>
    <t>SR</t>
  </si>
  <si>
    <t>NER</t>
  </si>
  <si>
    <t>ER</t>
  </si>
  <si>
    <t>WR</t>
  </si>
  <si>
    <t>NR</t>
  </si>
  <si>
    <t>EG_COAL</t>
  </si>
  <si>
    <t>EG_CCGT</t>
  </si>
  <si>
    <t>EG_LH</t>
  </si>
  <si>
    <t>EG_OCGT</t>
  </si>
  <si>
    <t>EG_PHWR</t>
  </si>
  <si>
    <t>EG_SH</t>
  </si>
  <si>
    <t>EG_SOLARGM</t>
  </si>
  <si>
    <t>EG_SOLARRF</t>
  </si>
  <si>
    <t>EG_WINDON</t>
  </si>
  <si>
    <t>EG_SMR</t>
  </si>
  <si>
    <t>EG_WINDOFF</t>
  </si>
  <si>
    <t>GH_ELECTROLYSIS</t>
  </si>
  <si>
    <t>Lifetime</t>
  </si>
  <si>
    <t>SelfCons</t>
  </si>
  <si>
    <t>MaxRampUpRate</t>
  </si>
  <si>
    <t>MaxRampDownRate</t>
  </si>
  <si>
    <t>CapacityUnit</t>
  </si>
  <si>
    <t>InputEC</t>
  </si>
  <si>
    <t>OutputDEC</t>
  </si>
  <si>
    <t>AnnualOutputPerUnitCapacity</t>
  </si>
  <si>
    <t>THERMAL_COAL</t>
  </si>
  <si>
    <t>ELECTRICITY</t>
  </si>
  <si>
    <t>NATGAS</t>
  </si>
  <si>
    <t>ATOMIC</t>
  </si>
  <si>
    <t>HYDEL</t>
  </si>
  <si>
    <t>BIOMASS_WASTE</t>
  </si>
  <si>
    <t>SUNLIGHT</t>
  </si>
  <si>
    <t>WIND</t>
  </si>
  <si>
    <t>CRUDE</t>
  </si>
  <si>
    <t>MS</t>
  </si>
  <si>
    <t>HSD</t>
  </si>
  <si>
    <t>ATF</t>
  </si>
  <si>
    <t>LPG</t>
  </si>
  <si>
    <t>PP_OTHER</t>
  </si>
  <si>
    <t>PETCOKE</t>
  </si>
  <si>
    <t>EmissionType</t>
  </si>
  <si>
    <t>DomEmissionFactor</t>
  </si>
  <si>
    <t>ImpEmissionFactor</t>
  </si>
  <si>
    <t>GHG</t>
  </si>
  <si>
    <t>EnergyCarrier</t>
  </si>
  <si>
    <t>Remarks</t>
  </si>
  <si>
    <t>COKING_COAL</t>
  </si>
  <si>
    <t>20% reduction due to ethanol blending, assuming E20 is fully deployed beginning FY25</t>
  </si>
  <si>
    <t xml:space="preserve"> 5% reduction by FY41 from FY24-34 levels</t>
  </si>
  <si>
    <t>BIOGAS</t>
  </si>
  <si>
    <t>Density of biogas is assumed to be same as natural gas</t>
  </si>
  <si>
    <t>BIOMASS</t>
  </si>
  <si>
    <t>As only fugitive emissions are applicable to crude, emissions for imported crude is assumed as 0 for the ModelGeography</t>
  </si>
  <si>
    <t>BalancingArea</t>
  </si>
  <si>
    <t>BalancingTime</t>
  </si>
  <si>
    <t>PhysicalUnit</t>
  </si>
  <si>
    <t>EnergyUnit</t>
  </si>
  <si>
    <t>DomEnergyDensity</t>
  </si>
  <si>
    <t>ImpEnergyDensity</t>
  </si>
  <si>
    <t>SUBGEOGRAPHY1</t>
  </si>
  <si>
    <t>YEAR</t>
  </si>
  <si>
    <t>MT</t>
  </si>
  <si>
    <t>PJ</t>
  </si>
  <si>
    <t>MODELGEOGRAPHY</t>
  </si>
  <si>
    <t>BCM</t>
  </si>
  <si>
    <t>Row Labels</t>
  </si>
  <si>
    <t>Sum of MaxCapacity</t>
  </si>
  <si>
    <t>ModelGeographySrc</t>
  </si>
  <si>
    <t>SubGeography1Src</t>
  </si>
  <si>
    <t>ModelGeographyDest</t>
  </si>
  <si>
    <t>SubGeography1Dest</t>
  </si>
  <si>
    <t>TransitCost</t>
  </si>
  <si>
    <t>TransitLoss</t>
  </si>
  <si>
    <t>MaxTransit</t>
  </si>
  <si>
    <t>ALL</t>
  </si>
  <si>
    <t>Variable</t>
  </si>
  <si>
    <t>a</t>
  </si>
  <si>
    <t>b</t>
  </si>
  <si>
    <t>c</t>
  </si>
  <si>
    <t>d</t>
  </si>
  <si>
    <t>e</t>
  </si>
  <si>
    <t>f</t>
  </si>
  <si>
    <t>g</t>
  </si>
  <si>
    <t>h</t>
  </si>
  <si>
    <t>j</t>
  </si>
  <si>
    <t>aa</t>
  </si>
  <si>
    <t>bb</t>
  </si>
  <si>
    <t>cc</t>
  </si>
  <si>
    <t>dd</t>
  </si>
  <si>
    <t>ee</t>
  </si>
  <si>
    <t>Unit</t>
  </si>
  <si>
    <t>%</t>
  </si>
  <si>
    <t>years</t>
  </si>
  <si>
    <t>MWh</t>
  </si>
  <si>
    <t>given</t>
  </si>
  <si>
    <t>k</t>
  </si>
  <si>
    <t>m</t>
  </si>
  <si>
    <t>n</t>
  </si>
  <si>
    <t>EnergyStorTech</t>
  </si>
  <si>
    <t>StoredEC</t>
  </si>
  <si>
    <t>DomOrImp</t>
  </si>
  <si>
    <t>MaxChargeRate</t>
  </si>
  <si>
    <t>MaxDischargeRate</t>
  </si>
  <si>
    <t>StorPeriodicity</t>
  </si>
  <si>
    <t>TWOHR_BATTERY</t>
  </si>
  <si>
    <t>EC_DOM</t>
  </si>
  <si>
    <t>DAILY</t>
  </si>
  <si>
    <t>FOURHR_BATTERY</t>
  </si>
  <si>
    <t>SIXHR_BATTERY</t>
  </si>
  <si>
    <t>PUMPED_STOR</t>
  </si>
  <si>
    <t>CapacityDerating</t>
  </si>
  <si>
    <t>DepthOfDischarge</t>
  </si>
  <si>
    <t>Efficiency</t>
  </si>
  <si>
    <t>LegacyCapacity</t>
  </si>
  <si>
    <t>BalLifetime</t>
  </si>
  <si>
    <t>BalCycles</t>
  </si>
  <si>
    <t>LifetimeYears</t>
  </si>
  <si>
    <t>LifetimeCycles</t>
  </si>
  <si>
    <t>EST_Lifetime.csv</t>
  </si>
  <si>
    <t>EST_LegacyDetails.csv</t>
  </si>
  <si>
    <t>EST_EfficiencyCost.csv</t>
  </si>
  <si>
    <t>PIER2.0</t>
  </si>
  <si>
    <t>Notes:</t>
  </si>
  <si>
    <t xml:space="preserve">1. In this sheet data on capacity is taken from CTU Transmission Rolling plans, divided into bi-directional capacities in inter-regional corridors </t>
  </si>
  <si>
    <t xml:space="preserve">2. The same is used to project for future years post FY31 </t>
  </si>
  <si>
    <t>Central Transmission Utility (CTU): Rolling Plans</t>
  </si>
  <si>
    <t>FY22 data also in NEP-2024 Table 6.4</t>
  </si>
  <si>
    <t>https://www.ctuil.in/annual-rolling-plan/reports/</t>
  </si>
  <si>
    <t>Annex 2.11 (ISTS ROLLING PLAN 2026-27)</t>
  </si>
  <si>
    <t>Annex-11.11 (ISTS ROLLING PLAN 2027-28 (INTERIM REPORT))</t>
  </si>
  <si>
    <t>Annex 2.10 (ISTS ROLLING PLAN 2027-28)</t>
  </si>
  <si>
    <t>Annex 2.8 (ISTS ROLLING PLAN 2028-29 (INTERIM REPORT))</t>
  </si>
  <si>
    <t>Annex 3.10 (ISTS ROLLING PLAN 2028-29 (FINAL REPORT))</t>
  </si>
  <si>
    <t>Annex 3.10 (ISTS ROLLING PLAN 2029-30))</t>
  </si>
  <si>
    <t>Annex 3.3 (ISTS ROLLING PLAN 2030-31 (INTERIM REPORT))</t>
  </si>
  <si>
    <t>FY</t>
  </si>
  <si>
    <t>Direction1</t>
  </si>
  <si>
    <t>Direction2</t>
  </si>
  <si>
    <t>From</t>
  </si>
  <si>
    <t>To</t>
  </si>
  <si>
    <t>Capacity by 2026-27</t>
  </si>
  <si>
    <t>Capacity by 2027-28</t>
  </si>
  <si>
    <t>Capacity at
the end of
2029</t>
  </si>
  <si>
    <t>Capacity at the
End of 2030</t>
  </si>
  <si>
    <t>Capacity at
the End of 2031</t>
  </si>
  <si>
    <t>EAST - NORTH</t>
  </si>
  <si>
    <t>EAST - WEST</t>
  </si>
  <si>
    <t>EAST - SOUTH</t>
  </si>
  <si>
    <t>EAST - NORTH EAST</t>
  </si>
  <si>
    <t>NORTH EAST - NORTH</t>
  </si>
  <si>
    <t>WEST - NORTH</t>
  </si>
  <si>
    <t>WEST - SOUTH</t>
  </si>
  <si>
    <t>TOTAL</t>
  </si>
  <si>
    <t>Figure 3-34: Inter-Regional Transmission Capacity in 2026-27</t>
  </si>
  <si>
    <t>Figure 3-28: Inter-Regional Transmission Capacity in 2027-28</t>
  </si>
  <si>
    <t>Figure 3-28: Inter-Regional Transmission Capacity by 2027-28</t>
  </si>
  <si>
    <t>Figure 3-25: Inter-Regional Transmission Capacity by 2028-29</t>
  </si>
  <si>
    <t>Figure 3-26: Inter-Regional Transmission Capacity by 2028-29</t>
  </si>
  <si>
    <t>Figure 3-28: Inter-Regional Transmission Capacity by 2029-30</t>
  </si>
  <si>
    <t>Figure 3-11: Inter-Regional Transmission Capacity by 2030-31</t>
  </si>
  <si>
    <t>All directions have same values</t>
  </si>
  <si>
    <t>WR-NR-WR is higher than projected total?</t>
  </si>
  <si>
    <t>WR-NR is a typo?</t>
  </si>
  <si>
    <t>ER-NR is reduced</t>
  </si>
  <si>
    <t>Notes on treatment of birectional capacity</t>
  </si>
  <si>
    <t>1. Relative Capacity shares within an inter-regional corridor is first mentioned in 'Rolling plan 2027-28', and is applied for years FY22-FY28 due to lack of available data for these years</t>
  </si>
  <si>
    <t>2. As on Sept 2025 (i.e 2 QTRs of FY26), the Capacity was already ~120GW which is greater than FY2026-27 plan; therefore for FY26-27 the rolling plan is dirsregarded and FY26 data is considered as constant</t>
  </si>
  <si>
    <t>3. The WR-NR capacity in FY27-28 Rolling plan gets downgraded from 50.9GW to 46.7GW until FY29-30 plan. Since it is not reasonable to expect a higher capacity in an earlier year and lower in the subsequent years, for FY28 assumption FY29 plan is considered.</t>
  </si>
  <si>
    <t xml:space="preserve">4. Considering the relative shares from FY28-29 Final report leads to a situation where </t>
  </si>
  <si>
    <t>5. Decide on projections</t>
  </si>
  <si>
    <t>Inter-regional corridor transmission capacity</t>
  </si>
  <si>
    <t>MW</t>
  </si>
  <si>
    <t>Actuals</t>
  </si>
  <si>
    <t>CTU Rolling plans</t>
  </si>
  <si>
    <t>Projected by PIER</t>
  </si>
  <si>
    <t>CAGR FY22 to FY26</t>
  </si>
  <si>
    <t>CAGR FY26-FY30</t>
  </si>
  <si>
    <t>Actual assumed</t>
  </si>
  <si>
    <t>CAGR FY24-FY41</t>
  </si>
  <si>
    <t>10.6% GR for one corridor does not seem sustainable. therefore we use 1% above the maximum growth-rate amont other corridors, ie SR-WR-SR</t>
  </si>
  <si>
    <t>Max Inter-regional Capacity</t>
  </si>
  <si>
    <t>tCO2/MWh input</t>
  </si>
  <si>
    <t>MaxImport</t>
  </si>
  <si>
    <t>MaxDomesticProd</t>
  </si>
  <si>
    <t>FixedTaxOHImp</t>
  </si>
  <si>
    <t>AVTaxOHImp</t>
  </si>
  <si>
    <t>ImportPrice</t>
  </si>
  <si>
    <t>FixedTaxOHDom</t>
  </si>
  <si>
    <t>AVTaxOHDom</t>
  </si>
  <si>
    <t>NonEnergyShare</t>
  </si>
  <si>
    <t>MT or BCF</t>
  </si>
  <si>
    <t xml:space="preserve"> = </t>
  </si>
  <si>
    <t>DomesticPrice (mRs/ktonne)</t>
  </si>
  <si>
    <t>wacc</t>
  </si>
  <si>
    <t>CRF</t>
  </si>
  <si>
    <t>PIER2.0_ECT::EfficiencyCostMaxAnnual.csv</t>
  </si>
  <si>
    <t>Source::File</t>
  </si>
  <si>
    <t>i</t>
  </si>
  <si>
    <t>l</t>
  </si>
  <si>
    <t>o</t>
  </si>
  <si>
    <t>PIER2.0::ECT_Lifetime.csv</t>
  </si>
  <si>
    <t>PIER2.0::ECT_OperationalInfo.csv</t>
  </si>
  <si>
    <t>PIER2.0::ECT_LegacyCapacity.csv</t>
  </si>
  <si>
    <t>PIER2.0::ECT_CapAddBounds.csv</t>
  </si>
  <si>
    <t>given / 1000</t>
  </si>
  <si>
    <t>description</t>
  </si>
  <si>
    <t>energy carrier</t>
  </si>
  <si>
    <t>model geography</t>
  </si>
  <si>
    <t>efficiency of conversion of energy input to output</t>
  </si>
  <si>
    <t>annuity on existiting capacity</t>
  </si>
  <si>
    <t>annuity on new capacity</t>
  </si>
  <si>
    <t>lifetime of asset</t>
  </si>
  <si>
    <t>legacy/existing</t>
  </si>
  <si>
    <t>pipeline builds</t>
  </si>
  <si>
    <t>maximum additions</t>
  </si>
  <si>
    <t>given/1000</t>
  </si>
  <si>
    <t>max utilization factor (over whole year) ** this must be considered alongside availability for technology provided in ECT_Max_CUF.csv to arrive at more granular availability profiles (see code)</t>
  </si>
  <si>
    <t>Sum of LegacyCapacity</t>
  </si>
  <si>
    <t>Column Labels</t>
  </si>
  <si>
    <t>(blank)</t>
  </si>
  <si>
    <t>Grand Total</t>
  </si>
  <si>
    <t>RF_ATF</t>
  </si>
  <si>
    <t>RF_HSD</t>
  </si>
  <si>
    <t>RF_LPG</t>
  </si>
  <si>
    <t>RF_MS</t>
  </si>
  <si>
    <t>RF_OTHERPP</t>
  </si>
  <si>
    <t>RF_PETCOKE</t>
  </si>
  <si>
    <t>Sum of MinCapacity</t>
  </si>
  <si>
    <t>ECT_LegacyCapacity.csv</t>
  </si>
  <si>
    <t>PIER::EnergyConvTechnologies.csv</t>
  </si>
  <si>
    <t>model granularity</t>
  </si>
  <si>
    <t>million Rs / Mt</t>
  </si>
  <si>
    <t>variable cost per Mt of input energy carrier</t>
  </si>
  <si>
    <t>days</t>
  </si>
  <si>
    <t>month</t>
  </si>
  <si>
    <t>may</t>
  </si>
  <si>
    <t>june</t>
  </si>
  <si>
    <t>april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</si>
  <si>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</si>
  <si>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</si>
  <si>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</si>
  <si>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</si>
  <si>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</si>
  <si>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</si>
  <si>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</si>
  <si>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</si>
  <si>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</si>
  <si>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hours day</t>
  </si>
  <si>
    <t>hours</t>
  </si>
  <si>
    <t>S01Apr</t>
  </si>
  <si>
    <t>S02May</t>
  </si>
  <si>
    <t>S03Jun</t>
  </si>
  <si>
    <t>S04Jul</t>
  </si>
  <si>
    <t>S05Aug</t>
  </si>
  <si>
    <t>S06Sep</t>
  </si>
  <si>
    <t>S07Oct</t>
  </si>
  <si>
    <t>S08Nov</t>
  </si>
  <si>
    <t>S09Dec</t>
  </si>
  <si>
    <t>S10Jan</t>
  </si>
  <si>
    <t>S11Feb</t>
  </si>
  <si>
    <t>S12Mar</t>
  </si>
  <si>
    <t>million Rs2024/MW</t>
  </si>
  <si>
    <t>Period</t>
  </si>
  <si>
    <t>Constraint (s)</t>
  </si>
  <si>
    <t>Year (FY)</t>
  </si>
  <si>
    <t>Capacity forced , no retirements, no new-builds</t>
  </si>
  <si>
    <t>Pipeline capacity forced, no retirements, no new-builds</t>
  </si>
  <si>
    <t>Demand = PIER2.0 2025, Calibration year for less constraned model operaration</t>
  </si>
  <si>
    <t>Demand = PIER2.0 2024, Calibration year for constrained model operation and comparison between Rumi+PIER2.0 &amp; Macro case build on PIER2.0</t>
  </si>
  <si>
    <t>Using demand from 2029, as selected year for period , which spans 2026 to 2031, using constraints from PIER2.0 "8_REF_Unconstr" scenario</t>
  </si>
  <si>
    <t>Using demand from 2034, as selected year for period, which spans 2032 to 2036, using constraints from PIER2.0 "8_REF_Unconstr" scenario</t>
  </si>
  <si>
    <t>Using demand from 2039, as selected year for period, which spans 2037 to 2041, using constraints from PIER2.0 "8_REF_Unconstr" scenario</t>
  </si>
  <si>
    <t>Notes</t>
  </si>
  <si>
    <t>This period is inserted only so that all existing capacity can be built. Using demand from 2024, as PIER2.0 does not provide a demand for 2023</t>
  </si>
  <si>
    <t>PIER2.0 var name</t>
  </si>
  <si>
    <t>Equation to Macro var</t>
  </si>
  <si>
    <t>Macro variable</t>
  </si>
  <si>
    <t>location</t>
  </si>
  <si>
    <t>all units in macro are given in the selected value</t>
  </si>
  <si>
    <t>fuel_commodity</t>
  </si>
  <si>
    <t>annualized_investment_cost</t>
  </si>
  <si>
    <t>FixedCost</t>
  </si>
  <si>
    <t>VarCost</t>
  </si>
  <si>
    <t>% of energy input consumed by technology (not  part of output)</t>
  </si>
  <si>
    <t>ramp_up_fraction</t>
  </si>
  <si>
    <t>ramp_down_fraction</t>
  </si>
  <si>
    <t>MinCapacity</t>
  </si>
  <si>
    <t>MaxCapacity</t>
  </si>
  <si>
    <t>existing_capacity</t>
  </si>
  <si>
    <t>max_capacity</t>
  </si>
  <si>
    <t>type</t>
  </si>
  <si>
    <t>ThermalPower</t>
  </si>
  <si>
    <t>id</t>
  </si>
  <si>
    <t>coal_legacy</t>
  </si>
  <si>
    <t>biomass_legacy</t>
  </si>
  <si>
    <t>HydroRes</t>
  </si>
  <si>
    <t>conventional_hydroelectric_legacy</t>
  </si>
  <si>
    <t>conventional_hydroelectric_small_legacy</t>
  </si>
  <si>
    <t>NG_CCGT_legacy</t>
  </si>
  <si>
    <t>nuclear_PHWR_legacy</t>
  </si>
  <si>
    <t>solar_GM_legacy</t>
  </si>
  <si>
    <t>solar_RT_legacy</t>
  </si>
  <si>
    <t>onshore_wind_legacy</t>
  </si>
  <si>
    <t>VRE</t>
  </si>
  <si>
    <t xml:space="preserve"> = 1 / a / (1 -g)</t>
  </si>
  <si>
    <t>fuel_consumption</t>
  </si>
  <si>
    <t>self-consumption adjsuted fuel consumption of generating unit</t>
  </si>
  <si>
    <t>MWin per Mwout</t>
  </si>
  <si>
    <t>emission_rate</t>
  </si>
  <si>
    <t>PJ/MT or PJ/BCM</t>
  </si>
  <si>
    <t>self-consumption adjusted efficiency</t>
  </si>
  <si>
    <t>discharge_efficiency</t>
  </si>
  <si>
    <t xml:space="preserve"> = a - g</t>
  </si>
  <si>
    <t>PIER2.0::PhysicalCarrierEmissions.csv</t>
  </si>
  <si>
    <t>PIER2.0::PhysicalDerivedCarriers.csv</t>
  </si>
  <si>
    <t/>
  </si>
  <si>
    <t>doemstic only, need imported !</t>
  </si>
  <si>
    <t>tonnes CO2/MT (no BCM)</t>
  </si>
  <si>
    <t>CM</t>
  </si>
  <si>
    <t>Statistics Netherlands. n.d. “Weight Units Energy.” Webpagina. Statistics Netherlands. Accessed July 15, 2025. https://www.cbs.nl/en-gb/our-services/methods/definitions/weight-units-energy.</t>
  </si>
  <si>
    <t>kg natural gas</t>
  </si>
  <si>
    <t>Google</t>
  </si>
  <si>
    <t>2020Rs</t>
  </si>
  <si>
    <t>2024Rs</t>
  </si>
  <si>
    <t>NEED INDIA</t>
  </si>
  <si>
    <t>millionRs/MWh-elec</t>
  </si>
  <si>
    <t>variable_om_cost</t>
  </si>
  <si>
    <t>PIER2.0::ECT_EfficiencyCostMaxAnnualUF.xlsx</t>
  </si>
  <si>
    <t>million 2020Rs/year</t>
  </si>
  <si>
    <t>million 2024Rs/year</t>
  </si>
  <si>
    <t>fixed_om_cost</t>
  </si>
  <si>
    <t xml:space="preserve"> = d - ee</t>
  </si>
  <si>
    <t>given Fixed O&amp;M (PIER or assumed), adjusted to 2024Rs from 2020Rs</t>
  </si>
  <si>
    <t>This is without fixed O&amp;M as expected by Macro</t>
  </si>
  <si>
    <t>capital_recovery_period</t>
  </si>
  <si>
    <t xml:space="preserve"> = round ( f / 2 , 0)</t>
  </si>
  <si>
    <t>For existing infrastructure this is half operational lifetime, rounded to integer as Macro will fail if given decimal</t>
  </si>
  <si>
    <t>ff</t>
  </si>
  <si>
    <t>gg</t>
  </si>
  <si>
    <t xml:space="preserve"> = given</t>
  </si>
  <si>
    <t>given discount rate from PIER2.0 workbook, No adjustment made</t>
  </si>
  <si>
    <t>hh</t>
  </si>
  <si>
    <t>ii</t>
  </si>
  <si>
    <t>investment_cost</t>
  </si>
  <si>
    <t>million 2024Rs</t>
  </si>
  <si>
    <t>% total investment per capital recovery year</t>
  </si>
  <si>
    <t>fraction of capacity</t>
  </si>
  <si>
    <t>min_capcity</t>
  </si>
  <si>
    <t xml:space="preserve"> = ff / hh</t>
  </si>
  <si>
    <t xml:space="preserve">p </t>
  </si>
  <si>
    <t>q</t>
  </si>
  <si>
    <t xml:space="preserve"> =  ( n * conversion_if_not _MT) / (o * conversion_PJ_to_MWh)</t>
  </si>
  <si>
    <t xml:space="preserve"> = e / on/ conversion_PJ_to_MWh * aa</t>
  </si>
  <si>
    <t xml:space="preserve"> = p * 2020 to 2024 inflator</t>
  </si>
  <si>
    <t xml:space="preserve"> = q / ( 1-(1+q)^(-gg))</t>
  </si>
  <si>
    <t>Sum of RetCapacity</t>
  </si>
  <si>
    <t>ECT_LegacyRetirement.csv</t>
  </si>
  <si>
    <t>RetCapacity</t>
  </si>
  <si>
    <t>legacy capacity retired</t>
  </si>
  <si>
    <t xml:space="preserve"> = given*1000</t>
  </si>
  <si>
    <t>jj</t>
  </si>
  <si>
    <t>legacy capacity</t>
  </si>
  <si>
    <t xml:space="preserve"> = j - k</t>
  </si>
  <si>
    <t>PIER2.0::PEC_ProdImpConstraints.csv</t>
  </si>
  <si>
    <t>PIER2.0::PEC_Info.csv</t>
  </si>
  <si>
    <t xml:space="preserve">d </t>
  </si>
  <si>
    <t>price</t>
  </si>
  <si>
    <t>mRs/mWh</t>
  </si>
  <si>
    <t>mRs/MWh</t>
  </si>
  <si>
    <t>MT or BCM</t>
  </si>
  <si>
    <t>mRs/mT or kRs/BCM</t>
  </si>
  <si>
    <t>mRs/mT ork Rs/BCM</t>
  </si>
  <si>
    <t>max</t>
  </si>
  <si>
    <t xml:space="preserve"> = ( d * 1e3 * (1 + e) + f * 1e3 ) / conversion_if_not _MT / conversion from MT to PJ / conversion from PJ to MWh</t>
  </si>
  <si>
    <t xml:space="preserve"> = ( g * 1e3 * (1 + h) + i * 1e3 )  / conversion_if_not _MT / conversion from MT to PJ / conversion from PJ to MWh</t>
  </si>
  <si>
    <t xml:space="preserve"> = a *  conversion_if_not _MT * conversion from MT to PJ * conversion from PJ to MWh</t>
  </si>
  <si>
    <t xml:space="preserve"> = b *  conversion_if_not _MT * conversion from MT to PJ * conversion from PJ to MWh</t>
  </si>
  <si>
    <t>ECT_EmissionDetails.csv</t>
  </si>
  <si>
    <t>PIER2.0::PhysicalCarrierEmissions.csv or for coal, PIER2.0::ECT_EmissionDetails.csv</t>
  </si>
  <si>
    <t>Seg1 - domestic price with taxes applied</t>
  </si>
  <si>
    <t>Seg 1 - domestic resource</t>
  </si>
  <si>
    <t>Seg 2 - import price with taxes applied</t>
  </si>
  <si>
    <t>Seg 2 - import resource</t>
  </si>
  <si>
    <t>Battery</t>
  </si>
  <si>
    <t>2-Hr</t>
  </si>
  <si>
    <t>4-Hr</t>
  </si>
  <si>
    <t>6-Hr</t>
  </si>
  <si>
    <t>coal</t>
  </si>
  <si>
    <t>nuclear_PHWR</t>
  </si>
  <si>
    <t>conventional_hydroelectric</t>
  </si>
  <si>
    <t>NG_CCGT</t>
  </si>
  <si>
    <t>conventional_hydroelectric_small</t>
  </si>
  <si>
    <t>biomass</t>
  </si>
  <si>
    <t>solar_GM</t>
  </si>
  <si>
    <t>solar_RT</t>
  </si>
  <si>
    <t>onshore_wind</t>
  </si>
  <si>
    <t>PIER::EnergyStorTechnologies.csv</t>
  </si>
  <si>
    <t xml:space="preserve">c </t>
  </si>
  <si>
    <t>PIER2.0::EST_DeratingDepthOfDischarge.csv</t>
  </si>
  <si>
    <t>overall efficiency</t>
  </si>
  <si>
    <t>PIER2.0::EST_EfficiencyCost.csv</t>
  </si>
  <si>
    <t>lifetime of asset in years</t>
  </si>
  <si>
    <t>lifetime of asset in cycles</t>
  </si>
  <si>
    <t>cycles</t>
  </si>
  <si>
    <t xml:space="preserve">g </t>
  </si>
  <si>
    <t>PIER2.0::EST_Lifetime.csv or EST_LegacyDetails.csv</t>
  </si>
  <si>
    <t>PIER2.0::ECT_LegacyDetails.csv</t>
  </si>
  <si>
    <t>PIER2.0::EST_Parameters.xlsx</t>
  </si>
  <si>
    <t>PIER2.0::EST_CapAddBounds.csv</t>
  </si>
  <si>
    <t xml:space="preserve">e </t>
  </si>
  <si>
    <t xml:space="preserve">f </t>
  </si>
  <si>
    <t>discharge_efficienc</t>
  </si>
  <si>
    <t>charge_efficiency</t>
  </si>
  <si>
    <t>discharge_max_flow_fraction</t>
  </si>
  <si>
    <t xml:space="preserve"> = sqrt ( e )</t>
  </si>
  <si>
    <t>pumpedhydro</t>
  </si>
  <si>
    <t>Sum of LifetimeCycles</t>
  </si>
  <si>
    <t>Average of FixedCost</t>
  </si>
  <si>
    <t>Sum of MinCap</t>
  </si>
  <si>
    <t>Sum of MaxCap</t>
  </si>
  <si>
    <t>EST_CapAddBounds.csv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</si>
</sst>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00"/>
    <numFmt numFmtId="165" formatCode="0.00000"/>
    <numFmt numFmtId="166" formatCode="_ * #,##0.00_ ;_ * \-#,##0.00_ ;_ * &quot;-&quot;??_ ;_ @_ "/>
    <numFmt numFmtId="167" formatCode="_ * #,##0_ ;_ * \-#,##0_ ;_ * &quot;-&quot;??_ ;_ @_ "/>
    <numFmt numFmtId="168" formatCode="0.0%"/>
    <numFmt numFmtId="169" formatCode="0.0000000"/>
    <numFmt numFmtId="170" formatCode="0.0"/>
    <numFmt numFmtId="171" formatCode="0.0000"/>
    <numFmt numFmtId="172" formatCode="_(* #,##0.000_);_(* \(#,##0.000\);_(* &quot;-&quot;??_);_(@_)"/>
    <numFmt numFmtId="173" formatCode="_(* #,##0.00000000_);_(* \(#,##0.00000000\);_(* &quot;-&quot;??_);_(@_)"/>
    <numFmt numFmtId="175" formatCode="0.000000000"/>
    <numFmt numFmtId="180" formatCode="0.000000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0"/>
      <color rgb="FFFF0000"/>
      <name val="Arial"/>
      <family val="2"/>
    </font>
    <font>
      <b/>
      <i/>
      <sz val="11"/>
      <color theme="1"/>
      <name val="Aptos Narrow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0" fontId="21" fillId="0" borderId="0" applyNumberFormat="0" applyFill="0" applyBorder="0" applyAlignment="0" applyProtection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</cellStyleXfs>
  <cellXfs count="193">
    <xf numFmtId="0" fontId="0" fillId="0" borderId="0" xfId="0"/>
    <xf numFmtId="164" fontId="0" fillId="0" borderId="0" xfId="0" applyNumberFormat="1"/>
    <xf numFmtId="0" fontId="0" fillId="33" borderId="0" xfId="0" applyFill="1"/>
    <xf numFmtId="2" fontId="0" fillId="0" borderId="0" xfId="0" applyNumberFormat="1"/>
    <xf numFmtId="0" fontId="16" fillId="0" borderId="10" xfId="0" applyFont="1" applyBorder="1"/>
    <xf numFmtId="165" fontId="0" fillId="0" borderId="0" xfId="0" applyNumberFormat="1"/>
    <xf numFmtId="0" fontId="16" fillId="0" borderId="11" xfId="0" applyFont="1" applyBorder="1"/>
    <xf numFmtId="0" fontId="18" fillId="0" borderId="0" xfId="0" applyFont="1"/>
    <xf numFmtId="0" fontId="19" fillId="0" borderId="0" xfId="43"/>
    <xf numFmtId="0" fontId="20" fillId="0" borderId="0" xfId="43" applyFont="1"/>
    <xf numFmtId="0" fontId="19" fillId="0" borderId="0" xfId="43" quotePrefix="1"/>
    <xf numFmtId="0" fontId="21" fillId="0" borderId="0" xfId="44"/>
    <xf numFmtId="0" fontId="19" fillId="0" borderId="0" xfId="43" applyAlignment="1">
      <alignment wrapText="1"/>
    </xf>
    <xf numFmtId="0" fontId="22" fillId="0" borderId="0" xfId="43" applyFont="1" applyAlignment="1">
      <alignment wrapText="1"/>
    </xf>
    <xf numFmtId="0" fontId="23" fillId="0" borderId="12" xfId="43" applyFont="1" applyBorder="1" applyAlignment="1">
      <alignment horizontal="center" wrapText="1"/>
    </xf>
    <xf numFmtId="0" fontId="23" fillId="0" borderId="0" xfId="43" applyFont="1" applyAlignment="1">
      <alignment horizontal="center" wrapText="1"/>
    </xf>
    <xf numFmtId="0" fontId="22" fillId="0" borderId="0" xfId="43" applyFont="1"/>
    <xf numFmtId="0" fontId="22" fillId="0" borderId="12" xfId="43" applyFont="1" applyBorder="1"/>
    <xf numFmtId="0" fontId="20" fillId="0" borderId="0" xfId="43" applyFont="1" applyAlignment="1">
      <alignment wrapText="1"/>
    </xf>
    <xf numFmtId="17" fontId="23" fillId="0" borderId="12" xfId="43" applyNumberFormat="1" applyFont="1" applyBorder="1" applyAlignment="1">
      <alignment horizontal="center" wrapText="1"/>
    </xf>
    <xf numFmtId="0" fontId="24" fillId="0" borderId="12" xfId="43" applyFont="1" applyBorder="1" applyAlignment="1">
      <alignment horizontal="left" vertical="center"/>
    </xf>
    <xf numFmtId="3" fontId="25" fillId="0" borderId="12" xfId="43" applyNumberFormat="1" applyFont="1" applyBorder="1" applyAlignment="1">
      <alignment horizontal="center"/>
    </xf>
    <xf numFmtId="3" fontId="25" fillId="0" borderId="0" xfId="43" applyNumberFormat="1" applyFont="1" applyAlignment="1">
      <alignment horizontal="center"/>
    </xf>
    <xf numFmtId="3" fontId="25" fillId="0" borderId="12" xfId="43" applyNumberFormat="1" applyFont="1" applyBorder="1" applyAlignment="1">
      <alignment horizontal="center" vertical="center"/>
    </xf>
    <xf numFmtId="3" fontId="25" fillId="0" borderId="0" xfId="43" applyNumberFormat="1" applyFont="1" applyAlignment="1">
      <alignment horizontal="center" vertical="center"/>
    </xf>
    <xf numFmtId="3" fontId="14" fillId="0" borderId="12" xfId="43" applyNumberFormat="1" applyFont="1" applyBorder="1" applyAlignment="1">
      <alignment horizontal="center" vertical="center"/>
    </xf>
    <xf numFmtId="3" fontId="1" fillId="0" borderId="12" xfId="43" applyNumberFormat="1" applyFont="1" applyBorder="1" applyAlignment="1">
      <alignment horizontal="center" vertical="center"/>
    </xf>
    <xf numFmtId="3" fontId="14" fillId="0" borderId="12" xfId="43" applyNumberFormat="1" applyFont="1" applyBorder="1" applyAlignment="1">
      <alignment horizontal="center"/>
    </xf>
    <xf numFmtId="3" fontId="24" fillId="0" borderId="12" xfId="43" applyNumberFormat="1" applyFont="1" applyBorder="1" applyAlignment="1">
      <alignment horizontal="center" vertical="center"/>
    </xf>
    <xf numFmtId="3" fontId="24" fillId="0" borderId="0" xfId="43" applyNumberFormat="1" applyFont="1" applyAlignment="1">
      <alignment horizontal="center" vertical="center"/>
    </xf>
    <xf numFmtId="0" fontId="24" fillId="0" borderId="0" xfId="43" applyFont="1" applyAlignment="1">
      <alignment horizontal="left" vertical="center"/>
    </xf>
    <xf numFmtId="0" fontId="24" fillId="34" borderId="12" xfId="43" applyFont="1" applyFill="1" applyBorder="1" applyAlignment="1">
      <alignment horizontal="left" vertical="center"/>
    </xf>
    <xf numFmtId="0" fontId="19" fillId="34" borderId="0" xfId="43" applyFill="1"/>
    <xf numFmtId="167" fontId="14" fillId="34" borderId="12" xfId="45" applyNumberFormat="1" applyFont="1" applyFill="1" applyBorder="1" applyAlignment="1">
      <alignment horizontal="left" vertical="center"/>
    </xf>
    <xf numFmtId="167" fontId="25" fillId="34" borderId="12" xfId="45" applyNumberFormat="1" applyFont="1" applyFill="1" applyBorder="1" applyAlignment="1">
      <alignment horizontal="left" vertical="center"/>
    </xf>
    <xf numFmtId="9" fontId="0" fillId="34" borderId="0" xfId="46" applyFont="1" applyFill="1" applyBorder="1"/>
    <xf numFmtId="0" fontId="24" fillId="34" borderId="0" xfId="43" applyFont="1" applyFill="1" applyAlignment="1">
      <alignment horizontal="left" vertical="center"/>
    </xf>
    <xf numFmtId="167" fontId="14" fillId="0" borderId="12" xfId="45" applyNumberFormat="1" applyFont="1" applyBorder="1" applyAlignment="1">
      <alignment horizontal="left" vertical="center"/>
    </xf>
    <xf numFmtId="167" fontId="25" fillId="0" borderId="12" xfId="45" applyNumberFormat="1" applyFont="1" applyBorder="1" applyAlignment="1">
      <alignment horizontal="left" vertical="center"/>
    </xf>
    <xf numFmtId="9" fontId="0" fillId="0" borderId="0" xfId="46" applyFont="1" applyBorder="1"/>
    <xf numFmtId="0" fontId="24" fillId="35" borderId="12" xfId="43" applyFont="1" applyFill="1" applyBorder="1" applyAlignment="1">
      <alignment horizontal="left" vertical="center"/>
    </xf>
    <xf numFmtId="0" fontId="19" fillId="35" borderId="0" xfId="43" applyFill="1"/>
    <xf numFmtId="167" fontId="14" fillId="35" borderId="12" xfId="45" applyNumberFormat="1" applyFont="1" applyFill="1" applyBorder="1" applyAlignment="1">
      <alignment horizontal="left" vertical="center"/>
    </xf>
    <xf numFmtId="167" fontId="1" fillId="35" borderId="12" xfId="45" applyNumberFormat="1" applyFont="1" applyFill="1" applyBorder="1" applyAlignment="1">
      <alignment horizontal="left" vertical="center"/>
    </xf>
    <xf numFmtId="9" fontId="0" fillId="35" borderId="0" xfId="46" applyFont="1" applyFill="1" applyBorder="1"/>
    <xf numFmtId="167" fontId="25" fillId="35" borderId="12" xfId="45" applyNumberFormat="1" applyFont="1" applyFill="1" applyBorder="1" applyAlignment="1">
      <alignment horizontal="left" vertical="center"/>
    </xf>
    <xf numFmtId="0" fontId="24" fillId="35" borderId="0" xfId="43" applyFont="1" applyFill="1" applyAlignment="1">
      <alignment horizontal="left" vertical="center"/>
    </xf>
    <xf numFmtId="0" fontId="24" fillId="36" borderId="12" xfId="43" applyFont="1" applyFill="1" applyBorder="1" applyAlignment="1">
      <alignment horizontal="left" vertical="center"/>
    </xf>
    <xf numFmtId="0" fontId="19" fillId="36" borderId="0" xfId="43" applyFill="1"/>
    <xf numFmtId="167" fontId="25" fillId="36" borderId="12" xfId="45" applyNumberFormat="1" applyFont="1" applyFill="1" applyBorder="1" applyAlignment="1">
      <alignment horizontal="left" vertical="center"/>
    </xf>
    <xf numFmtId="9" fontId="0" fillId="36" borderId="0" xfId="46" applyFont="1" applyFill="1" applyBorder="1"/>
    <xf numFmtId="0" fontId="24" fillId="36" borderId="0" xfId="43" applyFont="1" applyFill="1" applyAlignment="1">
      <alignment horizontal="left" vertical="center"/>
    </xf>
    <xf numFmtId="0" fontId="24" fillId="37" borderId="12" xfId="43" applyFont="1" applyFill="1" applyBorder="1" applyAlignment="1">
      <alignment horizontal="left" vertical="center"/>
    </xf>
    <xf numFmtId="0" fontId="19" fillId="37" borderId="0" xfId="43" applyFill="1"/>
    <xf numFmtId="167" fontId="14" fillId="37" borderId="12" xfId="45" applyNumberFormat="1" applyFont="1" applyFill="1" applyBorder="1" applyAlignment="1">
      <alignment horizontal="left" vertical="center"/>
    </xf>
    <xf numFmtId="167" fontId="25" fillId="37" borderId="12" xfId="45" applyNumberFormat="1" applyFont="1" applyFill="1" applyBorder="1" applyAlignment="1">
      <alignment horizontal="left" vertical="center"/>
    </xf>
    <xf numFmtId="9" fontId="0" fillId="37" borderId="0" xfId="46" applyFont="1" applyFill="1" applyBorder="1"/>
    <xf numFmtId="0" fontId="24" fillId="37" borderId="0" xfId="43" applyFont="1" applyFill="1" applyAlignment="1">
      <alignment horizontal="left" vertical="center"/>
    </xf>
    <xf numFmtId="167" fontId="0" fillId="0" borderId="0" xfId="45" applyNumberFormat="1" applyFont="1"/>
    <xf numFmtId="0" fontId="19" fillId="33" borderId="0" xfId="43" applyFill="1" applyAlignment="1">
      <alignment wrapText="1"/>
    </xf>
    <xf numFmtId="0" fontId="26" fillId="0" borderId="0" xfId="43" applyFont="1"/>
    <xf numFmtId="0" fontId="20" fillId="38" borderId="0" xfId="43" applyFont="1" applyFill="1"/>
    <xf numFmtId="0" fontId="20" fillId="39" borderId="0" xfId="43" applyFont="1" applyFill="1"/>
    <xf numFmtId="0" fontId="20" fillId="40" borderId="13" xfId="43" applyFont="1" applyFill="1" applyBorder="1"/>
    <xf numFmtId="0" fontId="19" fillId="40" borderId="14" xfId="43" applyFill="1" applyBorder="1"/>
    <xf numFmtId="0" fontId="19" fillId="40" borderId="15" xfId="43" applyFill="1" applyBorder="1"/>
    <xf numFmtId="1" fontId="24" fillId="0" borderId="12" xfId="45" applyNumberFormat="1" applyFont="1" applyBorder="1" applyAlignment="1">
      <alignment horizontal="left" vertical="center"/>
    </xf>
    <xf numFmtId="1" fontId="24" fillId="0" borderId="16" xfId="45" applyNumberFormat="1" applyFont="1" applyBorder="1" applyAlignment="1">
      <alignment horizontal="left" vertical="center"/>
    </xf>
    <xf numFmtId="1" fontId="24" fillId="0" borderId="17" xfId="45" applyNumberFormat="1" applyFont="1" applyBorder="1" applyAlignment="1">
      <alignment horizontal="left" vertical="center"/>
    </xf>
    <xf numFmtId="1" fontId="24" fillId="0" borderId="18" xfId="45" applyNumberFormat="1" applyFont="1" applyBorder="1" applyAlignment="1">
      <alignment horizontal="left" vertical="center"/>
    </xf>
    <xf numFmtId="167" fontId="25" fillId="34" borderId="16" xfId="45" applyNumberFormat="1" applyFont="1" applyFill="1" applyBorder="1" applyAlignment="1">
      <alignment horizontal="left" vertical="center"/>
    </xf>
    <xf numFmtId="167" fontId="25" fillId="34" borderId="17" xfId="45" applyNumberFormat="1" applyFont="1" applyFill="1" applyBorder="1" applyAlignment="1">
      <alignment horizontal="left" vertical="center"/>
    </xf>
    <xf numFmtId="167" fontId="25" fillId="34" borderId="18" xfId="45" applyNumberFormat="1" applyFont="1" applyFill="1" applyBorder="1" applyAlignment="1">
      <alignment horizontal="left" vertical="center"/>
    </xf>
    <xf numFmtId="167" fontId="24" fillId="34" borderId="19" xfId="45" applyNumberFormat="1" applyFont="1" applyFill="1" applyBorder="1" applyAlignment="1">
      <alignment horizontal="left" vertical="center"/>
    </xf>
    <xf numFmtId="167" fontId="24" fillId="34" borderId="20" xfId="45" applyNumberFormat="1" applyFont="1" applyFill="1" applyBorder="1" applyAlignment="1">
      <alignment horizontal="left" vertical="center"/>
    </xf>
    <xf numFmtId="168" fontId="0" fillId="0" borderId="0" xfId="46" applyNumberFormat="1" applyFont="1"/>
    <xf numFmtId="167" fontId="25" fillId="0" borderId="16" xfId="45" applyNumberFormat="1" applyFont="1" applyBorder="1" applyAlignment="1">
      <alignment horizontal="left" vertical="center"/>
    </xf>
    <xf numFmtId="167" fontId="25" fillId="0" borderId="17" xfId="45" applyNumberFormat="1" applyFont="1" applyBorder="1" applyAlignment="1">
      <alignment horizontal="left" vertical="center"/>
    </xf>
    <xf numFmtId="167" fontId="25" fillId="0" borderId="18" xfId="45" applyNumberFormat="1" applyFont="1" applyBorder="1" applyAlignment="1">
      <alignment horizontal="left" vertical="center"/>
    </xf>
    <xf numFmtId="167" fontId="25" fillId="35" borderId="16" xfId="45" applyNumberFormat="1" applyFont="1" applyFill="1" applyBorder="1" applyAlignment="1">
      <alignment horizontal="left" vertical="center"/>
    </xf>
    <xf numFmtId="167" fontId="25" fillId="35" borderId="17" xfId="45" applyNumberFormat="1" applyFont="1" applyFill="1" applyBorder="1" applyAlignment="1">
      <alignment horizontal="left" vertical="center"/>
    </xf>
    <xf numFmtId="167" fontId="25" fillId="35" borderId="18" xfId="45" applyNumberFormat="1" applyFont="1" applyFill="1" applyBorder="1" applyAlignment="1">
      <alignment horizontal="left" vertical="center"/>
    </xf>
    <xf numFmtId="168" fontId="0" fillId="33" borderId="0" xfId="46" applyNumberFormat="1" applyFont="1" applyFill="1"/>
    <xf numFmtId="167" fontId="25" fillId="36" borderId="16" xfId="45" applyNumberFormat="1" applyFont="1" applyFill="1" applyBorder="1" applyAlignment="1">
      <alignment horizontal="left" vertical="center"/>
    </xf>
    <xf numFmtId="167" fontId="25" fillId="36" borderId="17" xfId="45" applyNumberFormat="1" applyFont="1" applyFill="1" applyBorder="1" applyAlignment="1">
      <alignment horizontal="left" vertical="center"/>
    </xf>
    <xf numFmtId="167" fontId="25" fillId="36" borderId="18" xfId="45" applyNumberFormat="1" applyFont="1" applyFill="1" applyBorder="1" applyAlignment="1">
      <alignment horizontal="left" vertical="center"/>
    </xf>
    <xf numFmtId="167" fontId="25" fillId="37" borderId="16" xfId="45" applyNumberFormat="1" applyFont="1" applyFill="1" applyBorder="1" applyAlignment="1">
      <alignment horizontal="left" vertical="center"/>
    </xf>
    <xf numFmtId="167" fontId="25" fillId="37" borderId="17" xfId="45" applyNumberFormat="1" applyFont="1" applyFill="1" applyBorder="1" applyAlignment="1">
      <alignment horizontal="left" vertical="center"/>
    </xf>
    <xf numFmtId="167" fontId="25" fillId="37" borderId="18" xfId="45" applyNumberFormat="1" applyFont="1" applyFill="1" applyBorder="1" applyAlignment="1">
      <alignment horizontal="left" vertical="center"/>
    </xf>
    <xf numFmtId="167" fontId="25" fillId="37" borderId="21" xfId="45" applyNumberFormat="1" applyFont="1" applyFill="1" applyBorder="1" applyAlignment="1">
      <alignment horizontal="left" vertical="center"/>
    </xf>
    <xf numFmtId="167" fontId="25" fillId="37" borderId="22" xfId="45" applyNumberFormat="1" applyFont="1" applyFill="1" applyBorder="1" applyAlignment="1">
      <alignment horizontal="left" vertical="center"/>
    </xf>
    <xf numFmtId="167" fontId="25" fillId="37" borderId="23" xfId="45" applyNumberFormat="1" applyFont="1" applyFill="1" applyBorder="1" applyAlignment="1">
      <alignment horizontal="left" vertical="center"/>
    </xf>
    <xf numFmtId="167" fontId="19" fillId="0" borderId="0" xfId="45" applyNumberFormat="1" applyFont="1"/>
    <xf numFmtId="167" fontId="24" fillId="36" borderId="12" xfId="45" applyNumberFormat="1" applyFont="1" applyFill="1" applyBorder="1" applyAlignment="1">
      <alignment horizontal="left" vertical="center"/>
    </xf>
    <xf numFmtId="167" fontId="19" fillId="0" borderId="0" xfId="43" applyNumberFormat="1"/>
    <xf numFmtId="9" fontId="0" fillId="0" borderId="0" xfId="46" applyFont="1"/>
    <xf numFmtId="168" fontId="19" fillId="0" borderId="0" xfId="43" applyNumberFormat="1"/>
    <xf numFmtId="17" fontId="23" fillId="33" borderId="12" xfId="43" applyNumberFormat="1" applyFont="1" applyFill="1" applyBorder="1" applyAlignment="1">
      <alignment horizontal="center" wrapText="1"/>
    </xf>
    <xf numFmtId="3" fontId="25" fillId="33" borderId="12" xfId="43" applyNumberFormat="1" applyFont="1" applyFill="1" applyBorder="1" applyAlignment="1">
      <alignment horizontal="center"/>
    </xf>
    <xf numFmtId="3" fontId="25" fillId="33" borderId="12" xfId="43" applyNumberFormat="1" applyFont="1" applyFill="1" applyBorder="1" applyAlignment="1">
      <alignment horizontal="center" vertical="center"/>
    </xf>
    <xf numFmtId="0" fontId="16" fillId="0" borderId="24" xfId="0" applyFont="1" applyBorder="1"/>
    <xf numFmtId="1" fontId="0" fillId="0" borderId="0" xfId="42" applyNumberFormat="1" applyFont="1"/>
    <xf numFmtId="1" fontId="0" fillId="0" borderId="0" xfId="0" applyNumberFormat="1"/>
    <xf numFmtId="169" fontId="0" fillId="0" borderId="0" xfId="0" applyNumberFormat="1"/>
    <xf numFmtId="170" fontId="0" fillId="0" borderId="0" xfId="0" applyNumberFormat="1"/>
    <xf numFmtId="2" fontId="0" fillId="41" borderId="0" xfId="0" applyNumberFormat="1" applyFill="1"/>
    <xf numFmtId="0" fontId="16" fillId="0" borderId="0" xfId="0" applyFont="1"/>
    <xf numFmtId="171" fontId="0" fillId="0" borderId="0" xfId="0" applyNumberFormat="1"/>
    <xf numFmtId="172" fontId="0" fillId="0" borderId="0" xfId="42" applyNumberFormat="1" applyFont="1"/>
    <xf numFmtId="43" fontId="18" fillId="0" borderId="0" xfId="0" applyNumberFormat="1" applyFont="1"/>
    <xf numFmtId="0" fontId="0" fillId="42" borderId="0" xfId="0" applyFill="1"/>
    <xf numFmtId="165" fontId="0" fillId="42" borderId="0" xfId="0" applyNumberFormat="1" applyFill="1"/>
    <xf numFmtId="2" fontId="0" fillId="42" borderId="0" xfId="0" applyNumberFormat="1" applyFill="1"/>
    <xf numFmtId="164" fontId="0" fillId="42" borderId="0" xfId="0" applyNumberFormat="1" applyFill="1"/>
    <xf numFmtId="169" fontId="0" fillId="42" borderId="0" xfId="0" applyNumberFormat="1" applyFill="1"/>
    <xf numFmtId="171" fontId="0" fillId="42" borderId="0" xfId="0" applyNumberFormat="1" applyFill="1"/>
    <xf numFmtId="0" fontId="0" fillId="0" borderId="24" xfId="0" applyBorder="1"/>
    <xf numFmtId="172" fontId="0" fillId="42" borderId="0" xfId="0" applyNumberFormat="1" applyFill="1"/>
    <xf numFmtId="170" fontId="0" fillId="42" borderId="0" xfId="0" applyNumberFormat="1" applyFill="1"/>
    <xf numFmtId="0" fontId="27" fillId="0" borderId="0" xfId="0" applyFont="1"/>
    <xf numFmtId="0" fontId="16" fillId="41" borderId="10" xfId="0" applyFont="1" applyFill="1" applyBorder="1"/>
    <xf numFmtId="164" fontId="18" fillId="0" borderId="0" xfId="0" applyNumberFormat="1" applyFont="1"/>
    <xf numFmtId="0" fontId="0" fillId="41" borderId="0" xfId="0" applyFill="1"/>
    <xf numFmtId="164" fontId="0" fillId="41" borderId="0" xfId="0" applyNumberFormat="1" applyFill="1"/>
    <xf numFmtId="0" fontId="0" fillId="43" borderId="0" xfId="0" applyFill="1"/>
    <xf numFmtId="164" fontId="0" fillId="43" borderId="0" xfId="0" applyNumberFormat="1" applyFill="1"/>
    <xf numFmtId="164" fontId="25" fillId="43" borderId="0" xfId="0" applyNumberFormat="1" applyFont="1" applyFill="1"/>
    <xf numFmtId="164" fontId="0" fillId="41" borderId="0" xfId="0" quotePrefix="1" applyNumberFormat="1" applyFill="1"/>
    <xf numFmtId="173" fontId="0" fillId="0" borderId="0" xfId="0" applyNumberFormat="1"/>
    <xf numFmtId="173" fontId="0" fillId="43" borderId="0" xfId="0" applyNumberFormat="1" applyFill="1"/>
    <xf numFmtId="0" fontId="18" fillId="44" borderId="0" xfId="0" applyFont="1" applyFill="1"/>
    <xf numFmtId="0" fontId="27" fillId="44" borderId="0" xfId="0" applyFont="1" applyFill="1"/>
    <xf numFmtId="0" fontId="16" fillId="44" borderId="10" xfId="0" applyFont="1" applyFill="1" applyBorder="1"/>
    <xf numFmtId="43" fontId="18" fillId="44" borderId="0" xfId="0" applyNumberFormat="1" applyFont="1" applyFill="1"/>
    <xf numFmtId="0" fontId="0" fillId="44" borderId="0" xfId="0" applyFill="1"/>
    <xf numFmtId="172" fontId="0" fillId="0" borderId="0" xfId="0" applyNumberFormat="1"/>
    <xf numFmtId="165" fontId="0" fillId="0" borderId="24" xfId="0" applyNumberFormat="1" applyBorder="1"/>
    <xf numFmtId="2" fontId="0" fillId="41" borderId="24" xfId="0" applyNumberFormat="1" applyFill="1" applyBorder="1"/>
    <xf numFmtId="2" fontId="0" fillId="0" borderId="24" xfId="0" applyNumberFormat="1" applyBorder="1"/>
    <xf numFmtId="164" fontId="0" fillId="0" borderId="24" xfId="0" applyNumberFormat="1" applyBorder="1"/>
    <xf numFmtId="172" fontId="0" fillId="0" borderId="24" xfId="42" applyNumberFormat="1" applyFont="1" applyBorder="1"/>
    <xf numFmtId="43" fontId="18" fillId="0" borderId="24" xfId="0" applyNumberFormat="1" applyFont="1" applyBorder="1"/>
    <xf numFmtId="164" fontId="0" fillId="41" borderId="24" xfId="0" applyNumberFormat="1" applyFill="1" applyBorder="1"/>
    <xf numFmtId="0" fontId="0" fillId="44" borderId="24" xfId="0" applyFill="1" applyBorder="1"/>
    <xf numFmtId="0" fontId="0" fillId="41" borderId="24" xfId="0" applyFill="1" applyBorder="1"/>
    <xf numFmtId="171" fontId="0" fillId="0" borderId="24" xfId="0" applyNumberFormat="1" applyBorder="1"/>
    <xf numFmtId="172" fontId="0" fillId="0" borderId="24" xfId="0" applyNumberFormat="1" applyBorder="1"/>
    <xf numFmtId="0" fontId="0" fillId="0" borderId="11" xfId="0" applyBorder="1"/>
    <xf numFmtId="0" fontId="23" fillId="0" borderId="12" xfId="43" applyFont="1" applyBorder="1" applyAlignment="1">
      <alignment horizontal="center" wrapText="1"/>
    </xf>
    <xf numFmtId="175" fontId="0" fillId="0" borderId="0" xfId="0" applyNumberFormat="1"/>
    <xf numFmtId="0" fontId="0" fillId="45" borderId="0" xfId="0" applyFill="1"/>
    <xf numFmtId="1" fontId="0" fillId="45" borderId="0" xfId="0" applyNumberFormat="1" applyFill="1"/>
    <xf numFmtId="175" fontId="0" fillId="45" borderId="0" xfId="0" applyNumberFormat="1" applyFill="1"/>
    <xf numFmtId="0" fontId="0" fillId="45" borderId="24" xfId="0" applyFill="1" applyBorder="1"/>
    <xf numFmtId="0" fontId="18" fillId="43" borderId="0" xfId="0" applyFont="1" applyFill="1"/>
    <xf numFmtId="1" fontId="0" fillId="0" borderId="24" xfId="0" applyNumberFormat="1" applyBorder="1"/>
    <xf numFmtId="0" fontId="18" fillId="0" borderId="0" xfId="0" applyFont="1" applyFill="1"/>
    <xf numFmtId="0" fontId="27" fillId="0" borderId="0" xfId="0" applyFont="1" applyFill="1"/>
    <xf numFmtId="0" fontId="16" fillId="0" borderId="10" xfId="0" applyFont="1" applyFill="1" applyBorder="1"/>
    <xf numFmtId="164" fontId="0" fillId="0" borderId="0" xfId="0" applyNumberFormat="1" applyFill="1"/>
    <xf numFmtId="164" fontId="0" fillId="0" borderId="24" xfId="0" applyNumberFormat="1" applyFill="1" applyBorder="1"/>
    <xf numFmtId="0" fontId="0" fillId="0" borderId="0" xfId="0" applyFill="1"/>
    <xf numFmtId="0" fontId="0" fillId="45" borderId="0" xfId="0" applyFill="1" applyBorder="1"/>
    <xf numFmtId="165" fontId="0" fillId="45" borderId="0" xfId="0" applyNumberFormat="1" applyFill="1" applyBorder="1"/>
    <xf numFmtId="164" fontId="0" fillId="45" borderId="0" xfId="0" applyNumberFormat="1" applyFill="1" applyBorder="1"/>
    <xf numFmtId="1" fontId="0" fillId="45" borderId="0" xfId="0" applyNumberFormat="1" applyFill="1" applyBorder="1"/>
    <xf numFmtId="180" fontId="0" fillId="45" borderId="0" xfId="0" applyNumberFormat="1" applyFill="1" applyBorder="1"/>
    <xf numFmtId="172" fontId="0" fillId="45" borderId="0" xfId="0" applyNumberFormat="1" applyFill="1" applyBorder="1"/>
    <xf numFmtId="2" fontId="0" fillId="45" borderId="0" xfId="0" applyNumberFormat="1" applyFill="1" applyBorder="1"/>
    <xf numFmtId="165" fontId="0" fillId="45" borderId="24" xfId="0" applyNumberFormat="1" applyFill="1" applyBorder="1"/>
    <xf numFmtId="164" fontId="0" fillId="45" borderId="24" xfId="0" applyNumberFormat="1" applyFill="1" applyBorder="1"/>
    <xf numFmtId="1" fontId="0" fillId="45" borderId="24" xfId="0" applyNumberFormat="1" applyFill="1" applyBorder="1"/>
    <xf numFmtId="180" fontId="0" fillId="45" borderId="24" xfId="0" applyNumberFormat="1" applyFill="1" applyBorder="1"/>
    <xf numFmtId="172" fontId="0" fillId="45" borderId="24" xfId="0" applyNumberFormat="1" applyFill="1" applyBorder="1"/>
    <xf numFmtId="2" fontId="0" fillId="45" borderId="24" xfId="0" applyNumberFormat="1" applyFill="1" applyBorder="1"/>
    <xf numFmtId="1" fontId="0" fillId="46" borderId="0" xfId="0" applyNumberFormat="1" applyFill="1"/>
    <xf numFmtId="1" fontId="0" fillId="46" borderId="24" xfId="0" applyNumberFormat="1" applyFill="1" applyBorder="1"/>
    <xf numFmtId="1" fontId="0" fillId="47" borderId="0" xfId="0" applyNumberFormat="1" applyFill="1"/>
    <xf numFmtId="1" fontId="0" fillId="47" borderId="24" xfId="0" applyNumberFormat="1" applyFill="1" applyBorder="1"/>
    <xf numFmtId="180" fontId="0" fillId="47" borderId="0" xfId="0" applyNumberFormat="1" applyFill="1"/>
    <xf numFmtId="180" fontId="0" fillId="47" borderId="24" xfId="0" applyNumberFormat="1" applyFill="1" applyBorder="1"/>
    <xf numFmtId="180" fontId="0" fillId="46" borderId="0" xfId="0" applyNumberFormat="1" applyFill="1"/>
    <xf numFmtId="180" fontId="0" fillId="46" borderId="24" xfId="0" applyNumberFormat="1" applyFill="1" applyBorder="1"/>
    <xf numFmtId="164" fontId="0" fillId="46" borderId="0" xfId="0" applyNumberFormat="1" applyFill="1"/>
    <xf numFmtId="0" fontId="0" fillId="46" borderId="0" xfId="0" applyFill="1"/>
    <xf numFmtId="165" fontId="0" fillId="46" borderId="0" xfId="0" applyNumberFormat="1" applyFill="1"/>
    <xf numFmtId="171" fontId="0" fillId="46" borderId="0" xfId="0" applyNumberFormat="1" applyFill="1"/>
    <xf numFmtId="164" fontId="0" fillId="46" borderId="24" xfId="0" applyNumberFormat="1" applyFill="1" applyBorder="1"/>
    <xf numFmtId="0" fontId="0" fillId="46" borderId="24" xfId="0" applyFill="1" applyBorder="1"/>
    <xf numFmtId="165" fontId="0" fillId="46" borderId="24" xfId="0" applyNumberFormat="1" applyFill="1" applyBorder="1"/>
    <xf numFmtId="0" fontId="0" fillId="44" borderId="0" xfId="0" applyFill="1" applyBorder="1"/>
    <xf numFmtId="172" fontId="0" fillId="0" borderId="0" xfId="0" applyNumberFormat="1" applyFont="1"/>
    <xf numFmtId="172" fontId="0" fillId="0" borderId="24" xfId="0" applyNumberFormat="1" applyFont="1" applyBorder="1"/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Comma 3" xfId="45" xr:uid="{CD5E97D1-B0D9-418B-994F-693EBA649B28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 3" xfId="44" xr:uid="{D14775A9-315D-4D5D-BBBE-C266B3263234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6" xfId="43" xr:uid="{85B4D17C-0BBE-428F-A9E4-15AE303E167D}"/>
    <cellStyle name="Note" xfId="15" builtinId="10" customBuiltin="1"/>
    <cellStyle name="Output" xfId="10" builtinId="21" customBuiltin="1"/>
    <cellStyle name="Percent 4" xfId="46" xr:uid="{9B2842B9-E5BA-4071-8811-CE7469004D36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WORK\d1_PROJECTS\p2025_NZI\d0_5pier\PIER20_latest_Feb2026\Default%20Data\Supply\Source\EC_Transfers.xlsx" TargetMode="External"/><Relationship Id="rId1" Type="http://schemas.openxmlformats.org/officeDocument/2006/relationships/externalLinkPath" Target="file:///X:\WORK\d1_PROJECTS\p2025_NZI\d0_5pier\PIER20_latest_Feb2026\Default%20Data\Supply\Source\EC_Transf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Info"/>
      <sheetName val="Maps"/>
      <sheetName val="COAL"/>
      <sheetName val="CRUDE+PP+NATGAS-input"/>
      <sheetName val="GREEN HYDROGEN"/>
      <sheetName val="GREEN_H2-input"/>
      <sheetName val="CRUDE+PP+NATGAS+GH2"/>
      <sheetName val="CEA 2006-2023"/>
      <sheetName val="T&amp;DLoss projections"/>
      <sheetName val="Dist cost frcst"/>
      <sheetName val="Distr cost projns+Transmission"/>
      <sheetName val="Elec-input"/>
      <sheetName val="ELECTRICITY"/>
      <sheetName val="Tx-CTU-rollingplans"/>
      <sheetName val="Elec-input_reg"/>
      <sheetName val="ELECTRICITY_reg"/>
      <sheetName val="BIOMASS-BIOGAS-BIOMASS_WASTE"/>
      <sheetName val="EC_Transfers_reg"/>
      <sheetName val="EC_Transfers_Vikasit_reg"/>
      <sheetName val="EC_Transfers_Vichalit_reg"/>
      <sheetName val="EC_Transfers"/>
      <sheetName val="EC_Transfers_Vikasit"/>
      <sheetName val="EC_Transfers_Vichalit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ctuil.in/annual-rolling-plan/repor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99388-7431-47D4-B10C-A743877B7ED8}">
  <dimension ref="A1:D11"/>
  <sheetViews>
    <sheetView workbookViewId="0">
      <selection activeCell="C16" sqref="C16"/>
    </sheetView>
  </sheetViews>
  <sheetFormatPr defaultRowHeight="15" x14ac:dyDescent="0.25"/>
  <cols>
    <col min="1" max="1" width="6.85546875" bestFit="1" customWidth="1"/>
    <col min="2" max="2" width="9" bestFit="1" customWidth="1"/>
    <col min="3" max="3" width="50.7109375" bestFit="1" customWidth="1"/>
    <col min="4" max="4" width="97.85546875" bestFit="1" customWidth="1"/>
  </cols>
  <sheetData>
    <row r="1" spans="1:4" s="100" customFormat="1" x14ac:dyDescent="0.25">
      <c r="A1" s="100" t="s">
        <v>270</v>
      </c>
      <c r="B1" s="100" t="s">
        <v>272</v>
      </c>
      <c r="C1" s="100" t="s">
        <v>271</v>
      </c>
      <c r="D1" s="100" t="s">
        <v>280</v>
      </c>
    </row>
    <row r="2" spans="1:4" x14ac:dyDescent="0.25">
      <c r="A2">
        <v>1</v>
      </c>
      <c r="B2">
        <v>2023</v>
      </c>
      <c r="C2" t="s">
        <v>273</v>
      </c>
      <c r="D2" t="s">
        <v>281</v>
      </c>
    </row>
    <row r="3" spans="1:4" s="116" customFormat="1" x14ac:dyDescent="0.25">
      <c r="A3" s="116">
        <v>2</v>
      </c>
      <c r="B3" s="116">
        <v>2024</v>
      </c>
      <c r="C3" s="116" t="s">
        <v>274</v>
      </c>
      <c r="D3" s="116" t="s">
        <v>276</v>
      </c>
    </row>
    <row r="4" spans="1:4" x14ac:dyDescent="0.25">
      <c r="A4">
        <v>3</v>
      </c>
      <c r="B4">
        <v>2025</v>
      </c>
      <c r="D4" t="s">
        <v>275</v>
      </c>
    </row>
    <row r="5" spans="1:4" x14ac:dyDescent="0.25">
      <c r="A5">
        <v>4</v>
      </c>
      <c r="B5">
        <v>2029</v>
      </c>
      <c r="D5" t="s">
        <v>277</v>
      </c>
    </row>
    <row r="6" spans="1:4" x14ac:dyDescent="0.25">
      <c r="A6">
        <v>5</v>
      </c>
      <c r="B6">
        <v>2034</v>
      </c>
      <c r="D6" t="s">
        <v>278</v>
      </c>
    </row>
    <row r="7" spans="1:4" s="116" customFormat="1" x14ac:dyDescent="0.25">
      <c r="A7" s="116">
        <v>6</v>
      </c>
      <c r="B7" s="116">
        <v>2039</v>
      </c>
      <c r="D7" s="116" t="s">
        <v>279</v>
      </c>
    </row>
    <row r="8" spans="1:4" x14ac:dyDescent="0.25">
      <c r="A8">
        <v>7</v>
      </c>
      <c r="B8">
        <v>2045</v>
      </c>
    </row>
    <row r="9" spans="1:4" x14ac:dyDescent="0.25">
      <c r="A9">
        <v>8</v>
      </c>
      <c r="B9">
        <v>2055</v>
      </c>
    </row>
    <row r="10" spans="1:4" x14ac:dyDescent="0.25">
      <c r="A10">
        <v>9</v>
      </c>
      <c r="B10">
        <v>2065</v>
      </c>
    </row>
    <row r="11" spans="1:4" x14ac:dyDescent="0.25">
      <c r="A11">
        <v>10</v>
      </c>
      <c r="B11">
        <v>2071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C0A1C-B760-4EAD-B5A2-8E53EC693E04}">
  <dimension ref="A1:AL104"/>
  <sheetViews>
    <sheetView workbookViewId="0">
      <pane xSplit="3" ySplit="7" topLeftCell="D8" activePane="bottomRight" state="frozen"/>
      <selection pane="topRight" activeCell="C1" sqref="C1"/>
      <selection pane="bottomLeft" activeCell="A7" sqref="A7"/>
      <selection pane="bottomRight" activeCell="E14" sqref="E14"/>
    </sheetView>
  </sheetViews>
  <sheetFormatPr defaultRowHeight="15" x14ac:dyDescent="0.25"/>
  <cols>
    <col min="2" max="2" width="16.5703125" bestFit="1" customWidth="1"/>
    <col min="3" max="3" width="6" customWidth="1"/>
    <col min="4" max="4" width="13.85546875" bestFit="1" customWidth="1"/>
    <col min="5" max="5" width="14.85546875" bestFit="1" customWidth="1"/>
    <col min="6" max="6" width="16" bestFit="1" customWidth="1"/>
    <col min="7" max="7" width="12.140625" bestFit="1" customWidth="1"/>
    <col min="8" max="8" width="15.7109375" bestFit="1" customWidth="1"/>
    <col min="9" max="9" width="11.42578125" bestFit="1" customWidth="1"/>
    <col min="10" max="10" width="11.42578125" customWidth="1"/>
    <col min="11" max="11" width="8.28515625" bestFit="1" customWidth="1"/>
    <col min="12" max="12" width="13.140625" bestFit="1" customWidth="1"/>
    <col min="13" max="13" width="18.140625" customWidth="1"/>
    <col min="14" max="14" width="18.42578125" customWidth="1"/>
    <col min="15" max="15" width="14" customWidth="1"/>
    <col min="16" max="16" width="8.5703125" bestFit="1" customWidth="1"/>
    <col min="17" max="17" width="9.28515625" bestFit="1" customWidth="1"/>
    <col min="18" max="18" width="11.42578125" customWidth="1"/>
    <col min="19" max="19" width="13.85546875" customWidth="1"/>
    <col min="20" max="20" width="14.7109375" customWidth="1"/>
    <col min="21" max="21" width="10.140625" customWidth="1"/>
    <col min="22" max="22" width="12" customWidth="1"/>
    <col min="23" max="23" width="10.140625" customWidth="1"/>
    <col min="24" max="24" width="18.7109375" bestFit="1" customWidth="1"/>
    <col min="25" max="25" width="19.42578125" bestFit="1" customWidth="1"/>
    <col min="28" max="28" width="10.140625" style="134" customWidth="1"/>
    <col min="29" max="29" width="17.42578125" bestFit="1" customWidth="1"/>
    <col min="30" max="30" width="17.42578125" customWidth="1"/>
    <col min="31" max="31" width="16.140625" bestFit="1" customWidth="1"/>
    <col min="32" max="32" width="20.28515625" customWidth="1"/>
    <col min="34" max="34" width="18.7109375" customWidth="1"/>
    <col min="37" max="37" width="9.5703125" bestFit="1" customWidth="1"/>
    <col min="38" max="38" width="16.5703125" bestFit="1" customWidth="1"/>
  </cols>
  <sheetData>
    <row r="1" spans="1:38" s="7" customFormat="1" x14ac:dyDescent="0.25">
      <c r="A1" s="7" t="s">
        <v>204</v>
      </c>
      <c r="G1" s="7" t="s">
        <v>237</v>
      </c>
      <c r="H1" s="7" t="s">
        <v>237</v>
      </c>
      <c r="I1" s="7" t="s">
        <v>237</v>
      </c>
      <c r="J1" s="7" t="s">
        <v>237</v>
      </c>
      <c r="K1" s="7" t="s">
        <v>203</v>
      </c>
      <c r="L1" s="7" t="s">
        <v>203</v>
      </c>
      <c r="M1" s="7" t="s">
        <v>203</v>
      </c>
      <c r="N1" s="7" t="s">
        <v>203</v>
      </c>
      <c r="O1" s="7" t="s">
        <v>203</v>
      </c>
      <c r="P1" s="7" t="s">
        <v>208</v>
      </c>
      <c r="Q1" s="7" t="s">
        <v>209</v>
      </c>
      <c r="R1" s="7" t="s">
        <v>209</v>
      </c>
      <c r="S1" s="7" t="s">
        <v>209</v>
      </c>
      <c r="T1" s="7" t="s">
        <v>210</v>
      </c>
      <c r="V1" s="7" t="s">
        <v>211</v>
      </c>
      <c r="W1" s="7" t="s">
        <v>211</v>
      </c>
      <c r="X1" s="7" t="s">
        <v>322</v>
      </c>
      <c r="Y1" s="7" t="s">
        <v>386</v>
      </c>
      <c r="Z1" s="7" t="s">
        <v>335</v>
      </c>
      <c r="AA1" s="7" t="s">
        <v>335</v>
      </c>
      <c r="AB1" s="130"/>
    </row>
    <row r="2" spans="1:38" s="119" customFormat="1" x14ac:dyDescent="0.25">
      <c r="A2" s="119" t="s">
        <v>282</v>
      </c>
      <c r="B2" s="119" t="s">
        <v>0</v>
      </c>
      <c r="C2" s="119" t="s">
        <v>2</v>
      </c>
      <c r="F2" s="119" t="s">
        <v>1</v>
      </c>
      <c r="G2" s="119" t="s">
        <v>29</v>
      </c>
      <c r="H2" s="119" t="s">
        <v>30</v>
      </c>
      <c r="I2" s="119" t="s">
        <v>31</v>
      </c>
      <c r="J2" s="119" t="s">
        <v>32</v>
      </c>
      <c r="K2" s="119" t="s">
        <v>4</v>
      </c>
      <c r="L2" s="119" t="s">
        <v>5</v>
      </c>
      <c r="M2" s="119" t="s">
        <v>289</v>
      </c>
      <c r="N2" s="119" t="s">
        <v>289</v>
      </c>
      <c r="O2" s="119" t="s">
        <v>290</v>
      </c>
      <c r="P2" s="119" t="s">
        <v>25</v>
      </c>
      <c r="Q2" s="119" t="s">
        <v>26</v>
      </c>
      <c r="R2" s="119" t="s">
        <v>27</v>
      </c>
      <c r="S2" s="119" t="s">
        <v>28</v>
      </c>
      <c r="T2" s="119" t="s">
        <v>121</v>
      </c>
      <c r="U2" s="119" t="s">
        <v>365</v>
      </c>
      <c r="V2" s="119" t="s">
        <v>294</v>
      </c>
      <c r="W2" s="119" t="s">
        <v>295</v>
      </c>
      <c r="X2" s="119" t="s">
        <v>65</v>
      </c>
      <c r="Y2" s="119" t="s">
        <v>49</v>
      </c>
      <c r="AB2" s="131"/>
    </row>
    <row r="3" spans="1:38" s="7" customFormat="1" x14ac:dyDescent="0.25">
      <c r="A3" s="7" t="s">
        <v>83</v>
      </c>
      <c r="K3" s="7" t="s">
        <v>84</v>
      </c>
      <c r="L3" s="7" t="s">
        <v>85</v>
      </c>
      <c r="M3" s="7" t="s">
        <v>86</v>
      </c>
      <c r="N3" s="7" t="s">
        <v>87</v>
      </c>
      <c r="O3" s="7" t="s">
        <v>88</v>
      </c>
      <c r="P3" s="7" t="s">
        <v>89</v>
      </c>
      <c r="Q3" s="7" t="s">
        <v>90</v>
      </c>
      <c r="R3" s="7" t="s">
        <v>91</v>
      </c>
      <c r="S3" s="7" t="s">
        <v>205</v>
      </c>
      <c r="T3" s="7" t="s">
        <v>92</v>
      </c>
      <c r="U3" s="7" t="s">
        <v>103</v>
      </c>
      <c r="V3" s="7" t="s">
        <v>206</v>
      </c>
      <c r="W3" s="7" t="s">
        <v>104</v>
      </c>
      <c r="X3" s="7" t="s">
        <v>105</v>
      </c>
      <c r="Y3" s="7" t="s">
        <v>207</v>
      </c>
      <c r="Z3" s="7" t="s">
        <v>357</v>
      </c>
      <c r="AA3" s="7" t="s">
        <v>358</v>
      </c>
      <c r="AB3" s="130"/>
      <c r="AC3" s="7" t="s">
        <v>93</v>
      </c>
      <c r="AD3" s="7" t="s">
        <v>94</v>
      </c>
      <c r="AE3" s="7" t="s">
        <v>95</v>
      </c>
      <c r="AF3" s="7" t="s">
        <v>96</v>
      </c>
      <c r="AG3" s="7" t="s">
        <v>97</v>
      </c>
      <c r="AH3" s="7" t="s">
        <v>345</v>
      </c>
      <c r="AI3" s="7" t="s">
        <v>346</v>
      </c>
      <c r="AJ3" s="7" t="s">
        <v>349</v>
      </c>
      <c r="AK3" s="7" t="s">
        <v>350</v>
      </c>
      <c r="AL3" s="7" t="s">
        <v>368</v>
      </c>
    </row>
    <row r="4" spans="1:38" s="7" customFormat="1" x14ac:dyDescent="0.25">
      <c r="A4" s="7" t="s">
        <v>213</v>
      </c>
      <c r="C4" s="7" t="s">
        <v>215</v>
      </c>
      <c r="G4" s="7" t="s">
        <v>286</v>
      </c>
      <c r="H4" s="7" t="s">
        <v>214</v>
      </c>
      <c r="I4" s="7" t="s">
        <v>214</v>
      </c>
      <c r="J4" s="7" t="s">
        <v>238</v>
      </c>
      <c r="K4" s="7" t="s">
        <v>216</v>
      </c>
      <c r="L4" s="7" t="s">
        <v>224</v>
      </c>
      <c r="M4" s="7" t="s">
        <v>217</v>
      </c>
      <c r="N4" s="7" t="s">
        <v>218</v>
      </c>
      <c r="O4" s="7" t="s">
        <v>240</v>
      </c>
      <c r="P4" s="7" t="s">
        <v>219</v>
      </c>
      <c r="Q4" s="7" t="s">
        <v>291</v>
      </c>
      <c r="T4" s="7" t="s">
        <v>220</v>
      </c>
      <c r="U4" s="7" t="s">
        <v>366</v>
      </c>
      <c r="V4" s="7" t="s">
        <v>221</v>
      </c>
      <c r="W4" s="7" t="s">
        <v>222</v>
      </c>
      <c r="X4" s="7" t="s">
        <v>102</v>
      </c>
      <c r="Y4" s="7" t="s">
        <v>102</v>
      </c>
      <c r="Z4" s="7" t="s">
        <v>340</v>
      </c>
      <c r="AA4" s="7" t="s">
        <v>348</v>
      </c>
      <c r="AB4" s="130"/>
      <c r="AC4" s="7" t="s">
        <v>314</v>
      </c>
      <c r="AD4" s="7" t="s">
        <v>318</v>
      </c>
      <c r="AE4" s="7" t="s">
        <v>324</v>
      </c>
      <c r="AH4" s="7" t="s">
        <v>341</v>
      </c>
      <c r="AI4" s="7" t="s">
        <v>344</v>
      </c>
      <c r="AL4" s="7" t="s">
        <v>369</v>
      </c>
    </row>
    <row r="5" spans="1:38" s="7" customFormat="1" x14ac:dyDescent="0.25">
      <c r="A5" s="7" t="s">
        <v>283</v>
      </c>
      <c r="G5" s="7" t="s">
        <v>212</v>
      </c>
      <c r="H5" s="7" t="s">
        <v>102</v>
      </c>
      <c r="M5" s="7" t="s">
        <v>223</v>
      </c>
      <c r="N5" s="7" t="s">
        <v>223</v>
      </c>
      <c r="P5" s="7" t="s">
        <v>102</v>
      </c>
      <c r="R5" s="7" t="s">
        <v>102</v>
      </c>
      <c r="S5" s="7" t="s">
        <v>102</v>
      </c>
      <c r="T5" s="7" t="s">
        <v>367</v>
      </c>
      <c r="U5" s="7" t="s">
        <v>367</v>
      </c>
      <c r="V5" s="7" t="s">
        <v>367</v>
      </c>
      <c r="W5" s="7" t="s">
        <v>367</v>
      </c>
      <c r="AA5" s="7" t="s">
        <v>347</v>
      </c>
      <c r="AB5" s="130"/>
      <c r="AC5" s="7" t="s">
        <v>312</v>
      </c>
      <c r="AD5" s="121" t="s">
        <v>320</v>
      </c>
      <c r="AE5" s="7" t="s">
        <v>359</v>
      </c>
      <c r="AF5" s="7" t="s">
        <v>360</v>
      </c>
      <c r="AG5" s="7" t="s">
        <v>361</v>
      </c>
      <c r="AH5" s="7" t="s">
        <v>339</v>
      </c>
      <c r="AI5" s="7" t="s">
        <v>343</v>
      </c>
      <c r="AJ5" s="7" t="s">
        <v>362</v>
      </c>
      <c r="AK5" s="7" t="s">
        <v>356</v>
      </c>
      <c r="AL5" s="7" t="s">
        <v>370</v>
      </c>
    </row>
    <row r="6" spans="1:38" s="4" customFormat="1" ht="15.75" thickBot="1" x14ac:dyDescent="0.3">
      <c r="A6" s="4" t="s">
        <v>284</v>
      </c>
      <c r="C6" s="4" t="s">
        <v>285</v>
      </c>
      <c r="D6" s="4" t="s">
        <v>298</v>
      </c>
      <c r="E6" s="4" t="s">
        <v>300</v>
      </c>
      <c r="F6" s="120"/>
      <c r="G6" s="120"/>
      <c r="H6" s="4" t="s">
        <v>287</v>
      </c>
      <c r="M6" s="4" t="s">
        <v>288</v>
      </c>
      <c r="N6" s="4" t="s">
        <v>288</v>
      </c>
      <c r="P6" s="4" t="s">
        <v>219</v>
      </c>
      <c r="R6" s="4" t="s">
        <v>292</v>
      </c>
      <c r="S6" s="4" t="s">
        <v>293</v>
      </c>
      <c r="V6" s="4" t="s">
        <v>355</v>
      </c>
      <c r="W6" s="4" t="s">
        <v>297</v>
      </c>
      <c r="AA6" s="4" t="s">
        <v>201</v>
      </c>
      <c r="AB6" s="132"/>
      <c r="AC6" s="4" t="s">
        <v>313</v>
      </c>
      <c r="AD6" s="4" t="s">
        <v>319</v>
      </c>
      <c r="AE6" s="4" t="s">
        <v>316</v>
      </c>
      <c r="AF6" s="4" t="s">
        <v>334</v>
      </c>
      <c r="AG6" s="4" t="s">
        <v>338</v>
      </c>
      <c r="AH6" s="4" t="s">
        <v>288</v>
      </c>
      <c r="AI6" s="4" t="s">
        <v>342</v>
      </c>
      <c r="AJ6" s="4" t="s">
        <v>202</v>
      </c>
      <c r="AK6" s="4" t="s">
        <v>351</v>
      </c>
      <c r="AL6" s="4" t="s">
        <v>296</v>
      </c>
    </row>
    <row r="7" spans="1:38" s="4" customFormat="1" ht="16.5" thickTop="1" thickBot="1" x14ac:dyDescent="0.3">
      <c r="A7" s="4" t="s">
        <v>98</v>
      </c>
      <c r="K7" s="4" t="s">
        <v>99</v>
      </c>
      <c r="L7" s="4" t="s">
        <v>99</v>
      </c>
      <c r="M7" s="4" t="s">
        <v>269</v>
      </c>
      <c r="N7" s="4" t="s">
        <v>269</v>
      </c>
      <c r="O7" s="4" t="s">
        <v>239</v>
      </c>
      <c r="P7" s="4" t="s">
        <v>100</v>
      </c>
      <c r="Q7" s="4" t="s">
        <v>99</v>
      </c>
      <c r="R7" s="4" t="s">
        <v>354</v>
      </c>
      <c r="S7" s="4" t="s">
        <v>354</v>
      </c>
      <c r="T7" s="4" t="s">
        <v>179</v>
      </c>
      <c r="U7" s="4" t="s">
        <v>179</v>
      </c>
      <c r="V7" s="4" t="s">
        <v>179</v>
      </c>
      <c r="W7" s="4" t="s">
        <v>179</v>
      </c>
      <c r="X7" s="4" t="s">
        <v>317</v>
      </c>
      <c r="Y7" s="4" t="s">
        <v>325</v>
      </c>
      <c r="Z7" s="4" t="s">
        <v>336</v>
      </c>
      <c r="AA7" s="4" t="s">
        <v>99</v>
      </c>
      <c r="AB7" s="132"/>
      <c r="AC7" s="4" t="s">
        <v>315</v>
      </c>
      <c r="AD7" s="4" t="s">
        <v>99</v>
      </c>
      <c r="AE7" s="4" t="s">
        <v>189</v>
      </c>
      <c r="AF7" s="4" t="s">
        <v>333</v>
      </c>
      <c r="AG7" s="4" t="s">
        <v>337</v>
      </c>
      <c r="AH7" s="4" t="s">
        <v>337</v>
      </c>
      <c r="AI7" s="4" t="s">
        <v>100</v>
      </c>
      <c r="AJ7" s="4" t="s">
        <v>353</v>
      </c>
      <c r="AK7" s="4" t="s">
        <v>352</v>
      </c>
      <c r="AL7" s="4" t="s">
        <v>179</v>
      </c>
    </row>
    <row r="8" spans="1:38" ht="15.75" thickTop="1" x14ac:dyDescent="0.25">
      <c r="B8" t="s">
        <v>13</v>
      </c>
      <c r="C8" t="s">
        <v>12</v>
      </c>
      <c r="D8" t="s">
        <v>299</v>
      </c>
      <c r="E8" t="s">
        <v>301</v>
      </c>
      <c r="F8" t="s">
        <v>6</v>
      </c>
      <c r="G8" t="s">
        <v>179</v>
      </c>
      <c r="H8" t="s">
        <v>33</v>
      </c>
      <c r="I8" t="s">
        <v>34</v>
      </c>
      <c r="J8">
        <v>8760</v>
      </c>
      <c r="K8" s="5">
        <v>0.38096819999999998</v>
      </c>
      <c r="L8">
        <v>0.85</v>
      </c>
      <c r="M8" s="3">
        <f>11751.5992748699/1000</f>
        <v>11.7515992748699</v>
      </c>
      <c r="N8" s="3">
        <f>13721.03129/1000</f>
        <v>13.721031290000001</v>
      </c>
      <c r="O8" s="1">
        <v>133.5230182</v>
      </c>
      <c r="P8">
        <v>40</v>
      </c>
      <c r="Q8" s="1">
        <v>6.6000000000000003E-2</v>
      </c>
      <c r="R8">
        <v>0.3</v>
      </c>
      <c r="S8">
        <v>0.3</v>
      </c>
      <c r="T8" s="108">
        <f>Capacity!B5*1000</f>
        <v>67226.538983999999</v>
      </c>
      <c r="U8" s="109">
        <v>0</v>
      </c>
      <c r="V8" s="109">
        <v>0</v>
      </c>
      <c r="W8" s="109">
        <v>0</v>
      </c>
      <c r="X8" s="1">
        <f>CarriersTech_characteristics!$G$2</f>
        <v>17.207187650000002</v>
      </c>
      <c r="Y8" s="1">
        <f>CarriersTech_characteristics!$H$28*1000</f>
        <v>1942097.6230000001</v>
      </c>
      <c r="Z8" s="7">
        <v>3</v>
      </c>
      <c r="AA8">
        <v>0.105</v>
      </c>
      <c r="AB8" s="133"/>
      <c r="AC8" s="1">
        <f>1/K8/(1-Q8)</f>
        <v>2.8103758044980376</v>
      </c>
      <c r="AD8" s="123"/>
      <c r="AE8" s="129">
        <f>Y8/(X8*Conversions!$D$2)</f>
        <v>0.40631575182871843</v>
      </c>
      <c r="AF8" s="103">
        <f>O8/X8/Conversions!$D$2*AC8</f>
        <v>7.8507860294473842E-5</v>
      </c>
      <c r="AG8">
        <f>Z8*Conversions!$D$4</f>
        <v>3.7167527444133723</v>
      </c>
      <c r="AH8" s="3">
        <f t="shared" ref="AH8:AH39" si="0">M8-AG8</f>
        <v>8.0348465304565266</v>
      </c>
      <c r="AI8">
        <f t="shared" ref="AI8:AI39" si="1">ROUND(P8/2,0)</f>
        <v>20</v>
      </c>
      <c r="AJ8">
        <f t="shared" ref="AJ8:AJ39" si="2">AA8/(1-(1+AA8)^-AI8)</f>
        <v>0.12149326526701618</v>
      </c>
      <c r="AK8" s="107">
        <f t="shared" ref="AK8:AK39" si="3">AH8/AJ8</f>
        <v>66.134089925047732</v>
      </c>
      <c r="AL8" s="1">
        <f>T8-U8</f>
        <v>67226.538983999999</v>
      </c>
    </row>
    <row r="9" spans="1:38" x14ac:dyDescent="0.25">
      <c r="B9" t="s">
        <v>14</v>
      </c>
      <c r="C9" t="s">
        <v>12</v>
      </c>
      <c r="D9" t="s">
        <v>299</v>
      </c>
      <c r="E9" t="s">
        <v>306</v>
      </c>
      <c r="F9" t="s">
        <v>6</v>
      </c>
      <c r="G9" t="s">
        <v>179</v>
      </c>
      <c r="H9" t="s">
        <v>35</v>
      </c>
      <c r="I9" t="s">
        <v>34</v>
      </c>
      <c r="J9">
        <v>8760</v>
      </c>
      <c r="K9" s="5">
        <v>0.40444272199999998</v>
      </c>
      <c r="L9">
        <v>0.85</v>
      </c>
      <c r="M9" s="3">
        <f>8512.22780274884/1000</f>
        <v>8.5122278027488392</v>
      </c>
      <c r="N9" s="3">
        <f>8512.227803/1000</f>
        <v>8.512227803</v>
      </c>
      <c r="O9" s="1">
        <v>0</v>
      </c>
      <c r="P9">
        <v>25</v>
      </c>
      <c r="Q9" s="1">
        <v>0.02</v>
      </c>
      <c r="R9">
        <v>0.9</v>
      </c>
      <c r="S9">
        <v>0.9</v>
      </c>
      <c r="T9" s="108">
        <f>Capacity!B6*1000</f>
        <v>7330.5467170000011</v>
      </c>
      <c r="U9" s="109">
        <v>0</v>
      </c>
      <c r="V9" s="109">
        <v>0</v>
      </c>
      <c r="W9" s="109">
        <v>0</v>
      </c>
      <c r="X9" s="1">
        <f>CarriersTech_characteristics!$G$3</f>
        <v>37.681199999999997</v>
      </c>
      <c r="Y9" s="1">
        <f>CarriersTech_characteristics!$H$3*1000</f>
        <v>3025024.5490000001</v>
      </c>
      <c r="Z9">
        <v>2.9</v>
      </c>
      <c r="AA9">
        <v>0.105</v>
      </c>
      <c r="AC9" s="1">
        <f>1/K9/(1-Q9)</f>
        <v>2.5229979617863072</v>
      </c>
      <c r="AD9" s="123"/>
      <c r="AE9" s="129">
        <f>(Y9*Conversions!$D$3)/(X9*Conversions!$D$2)</f>
        <v>0.23958587284408495</v>
      </c>
      <c r="AF9">
        <v>0</v>
      </c>
      <c r="AG9">
        <f>Z9*Conversions!$D$4</f>
        <v>3.5928609862662602</v>
      </c>
      <c r="AH9" s="3">
        <f t="shared" si="0"/>
        <v>4.9193668164825795</v>
      </c>
      <c r="AI9">
        <f t="shared" si="1"/>
        <v>13</v>
      </c>
      <c r="AJ9">
        <f t="shared" si="2"/>
        <v>0.14444511726871467</v>
      </c>
      <c r="AK9" s="107">
        <f t="shared" si="3"/>
        <v>34.056996245369547</v>
      </c>
      <c r="AL9" s="1">
        <f t="shared" ref="AL9:AL67" si="4">T9-U9</f>
        <v>7330.5467170000011</v>
      </c>
    </row>
    <row r="10" spans="1:38" x14ac:dyDescent="0.25">
      <c r="B10" t="s">
        <v>16</v>
      </c>
      <c r="C10" t="s">
        <v>12</v>
      </c>
      <c r="D10" t="s">
        <v>299</v>
      </c>
      <c r="F10" t="s">
        <v>6</v>
      </c>
      <c r="G10" t="s">
        <v>179</v>
      </c>
      <c r="H10" t="s">
        <v>35</v>
      </c>
      <c r="I10" t="s">
        <v>34</v>
      </c>
      <c r="J10">
        <v>8760</v>
      </c>
      <c r="K10" s="5">
        <v>0.28070162799999998</v>
      </c>
      <c r="L10">
        <v>0.85</v>
      </c>
      <c r="M10" s="3">
        <f>6679.75064927145/1000</f>
        <v>6.6797506492714502</v>
      </c>
      <c r="N10" s="3">
        <f>6679.750649/1000</f>
        <v>6.6797506489999998</v>
      </c>
      <c r="O10" s="1">
        <v>0</v>
      </c>
      <c r="P10">
        <v>25</v>
      </c>
      <c r="Q10" s="1">
        <v>0.01</v>
      </c>
      <c r="R10">
        <v>1</v>
      </c>
      <c r="S10">
        <v>1</v>
      </c>
      <c r="T10" s="108">
        <f>Capacity!B7*1000</f>
        <v>0</v>
      </c>
      <c r="U10" s="109">
        <v>0</v>
      </c>
      <c r="V10" s="109">
        <v>0</v>
      </c>
      <c r="W10" s="109">
        <v>0</v>
      </c>
      <c r="X10" s="1">
        <f>CarriersTech_characteristics!$G$3</f>
        <v>37.681199999999997</v>
      </c>
      <c r="Y10" s="1">
        <f>CarriersTech_characteristics!$H$3*1000</f>
        <v>3025024.5490000001</v>
      </c>
      <c r="Z10">
        <v>0.7</v>
      </c>
      <c r="AA10">
        <v>0.105</v>
      </c>
      <c r="AC10" s="1">
        <f>1/K10/(1-Q10)</f>
        <v>3.5984864687033813</v>
      </c>
      <c r="AD10" s="123"/>
      <c r="AE10" s="129">
        <f>(Y10*Conversions!$D$3)/(X10*Conversions!$D$2)</f>
        <v>0.23958587284408495</v>
      </c>
      <c r="AF10">
        <v>0</v>
      </c>
      <c r="AG10">
        <f>Z10*Conversions!$D$4</f>
        <v>0.86724230702978689</v>
      </c>
      <c r="AH10" s="3">
        <f t="shared" si="0"/>
        <v>5.8125083422416637</v>
      </c>
      <c r="AI10">
        <f t="shared" si="1"/>
        <v>13</v>
      </c>
      <c r="AJ10">
        <f t="shared" si="2"/>
        <v>0.14444511726871467</v>
      </c>
      <c r="AK10" s="107">
        <f t="shared" si="3"/>
        <v>40.240254929687353</v>
      </c>
      <c r="AL10" s="1">
        <f t="shared" si="4"/>
        <v>0</v>
      </c>
    </row>
    <row r="11" spans="1:38" x14ac:dyDescent="0.25">
      <c r="B11" t="s">
        <v>17</v>
      </c>
      <c r="C11" t="s">
        <v>12</v>
      </c>
      <c r="D11" t="s">
        <v>299</v>
      </c>
      <c r="E11" t="s">
        <v>307</v>
      </c>
      <c r="F11" t="s">
        <v>6</v>
      </c>
      <c r="G11" t="s">
        <v>179</v>
      </c>
      <c r="H11" t="s">
        <v>36</v>
      </c>
      <c r="I11" t="s">
        <v>34</v>
      </c>
      <c r="J11">
        <v>8760</v>
      </c>
      <c r="K11" s="5">
        <v>1</v>
      </c>
      <c r="L11">
        <v>0.70916666699999997</v>
      </c>
      <c r="M11" s="3">
        <f>20833.2103478327/1000</f>
        <v>20.833210347832701</v>
      </c>
      <c r="N11" s="3">
        <f>20833.21035/1000</f>
        <v>20.833210350000002</v>
      </c>
      <c r="O11" s="1">
        <v>0</v>
      </c>
      <c r="P11">
        <v>40</v>
      </c>
      <c r="Q11" s="1">
        <v>0.10780000000000001</v>
      </c>
      <c r="R11">
        <v>0.01</v>
      </c>
      <c r="S11">
        <v>0.01</v>
      </c>
      <c r="T11" s="108">
        <f>Capacity!B8*1000</f>
        <v>1603.5183979999999</v>
      </c>
      <c r="U11" s="109">
        <v>0</v>
      </c>
      <c r="V11" s="109">
        <v>0</v>
      </c>
      <c r="W11" s="109">
        <v>0</v>
      </c>
      <c r="X11" s="125"/>
      <c r="Y11" s="125"/>
      <c r="Z11">
        <v>4.3</v>
      </c>
      <c r="AA11">
        <v>0.105</v>
      </c>
      <c r="AC11" s="1">
        <f>1/K11/(1-Q11)</f>
        <v>1.1208249271463797</v>
      </c>
      <c r="AD11" s="123"/>
      <c r="AE11" s="124"/>
      <c r="AF11">
        <v>0</v>
      </c>
      <c r="AG11">
        <f>Z11*Conversions!$D$4</f>
        <v>5.3273456003258337</v>
      </c>
      <c r="AH11" s="3">
        <f t="shared" si="0"/>
        <v>15.505864747506866</v>
      </c>
      <c r="AI11">
        <f t="shared" si="1"/>
        <v>20</v>
      </c>
      <c r="AJ11">
        <f t="shared" si="2"/>
        <v>0.12149326526701618</v>
      </c>
      <c r="AK11" s="107">
        <f t="shared" si="3"/>
        <v>127.6273603596734</v>
      </c>
      <c r="AL11" s="1">
        <f t="shared" si="4"/>
        <v>1603.5183979999999</v>
      </c>
    </row>
    <row r="12" spans="1:38" x14ac:dyDescent="0.25">
      <c r="B12" t="s">
        <v>22</v>
      </c>
      <c r="C12" t="s">
        <v>12</v>
      </c>
      <c r="D12" t="s">
        <v>299</v>
      </c>
      <c r="F12" t="s">
        <v>6</v>
      </c>
      <c r="G12" t="s">
        <v>179</v>
      </c>
      <c r="H12" t="s">
        <v>36</v>
      </c>
      <c r="I12" t="s">
        <v>34</v>
      </c>
      <c r="J12">
        <v>8760</v>
      </c>
      <c r="K12" s="5">
        <v>1</v>
      </c>
      <c r="L12">
        <v>0.70916666699999997</v>
      </c>
      <c r="M12" s="105">
        <f>N12</f>
        <v>35.289429389999995</v>
      </c>
      <c r="N12" s="3">
        <f>35289.42939/1000</f>
        <v>35.289429389999995</v>
      </c>
      <c r="O12" s="1">
        <v>0</v>
      </c>
      <c r="P12">
        <v>30</v>
      </c>
      <c r="Q12" s="1">
        <v>0.05</v>
      </c>
      <c r="R12">
        <v>0.01</v>
      </c>
      <c r="S12">
        <v>0.01</v>
      </c>
      <c r="T12" s="108">
        <f>Capacity!B9*1000</f>
        <v>0</v>
      </c>
      <c r="U12" s="109">
        <v>0</v>
      </c>
      <c r="V12" s="109">
        <v>0</v>
      </c>
      <c r="W12" s="109">
        <v>0</v>
      </c>
      <c r="X12" s="125"/>
      <c r="Y12" s="125"/>
      <c r="Z12">
        <v>5</v>
      </c>
      <c r="AA12">
        <v>0.105</v>
      </c>
      <c r="AC12" s="1">
        <f>1/K12/(1-Q12)</f>
        <v>1.0526315789473684</v>
      </c>
      <c r="AD12" s="123"/>
      <c r="AE12" s="124"/>
      <c r="AF12">
        <v>0</v>
      </c>
      <c r="AG12">
        <f>Z12*Conversions!$D$4</f>
        <v>6.1945879073556211</v>
      </c>
      <c r="AH12" s="3">
        <f t="shared" si="0"/>
        <v>29.094841482644373</v>
      </c>
      <c r="AI12">
        <f t="shared" si="1"/>
        <v>15</v>
      </c>
      <c r="AJ12">
        <f t="shared" si="2"/>
        <v>0.13524800152154118</v>
      </c>
      <c r="AK12" s="107">
        <f t="shared" si="3"/>
        <v>215.12215452596087</v>
      </c>
      <c r="AL12" s="1">
        <f t="shared" si="4"/>
        <v>0</v>
      </c>
    </row>
    <row r="13" spans="1:38" x14ac:dyDescent="0.25">
      <c r="B13" t="s">
        <v>15</v>
      </c>
      <c r="C13" t="s">
        <v>12</v>
      </c>
      <c r="D13" t="s">
        <v>303</v>
      </c>
      <c r="E13" t="s">
        <v>304</v>
      </c>
      <c r="F13" t="s">
        <v>6</v>
      </c>
      <c r="G13" t="s">
        <v>179</v>
      </c>
      <c r="H13" t="s">
        <v>37</v>
      </c>
      <c r="I13" t="s">
        <v>34</v>
      </c>
      <c r="J13">
        <v>8760</v>
      </c>
      <c r="K13" s="5">
        <v>1</v>
      </c>
      <c r="L13">
        <v>1</v>
      </c>
      <c r="M13" s="3">
        <f>19631.8145207228/1000</f>
        <v>19.631814520722802</v>
      </c>
      <c r="N13" s="3">
        <f>19631.81452/1000</f>
        <v>19.631814519999999</v>
      </c>
      <c r="O13" s="1">
        <v>0</v>
      </c>
      <c r="P13">
        <v>40</v>
      </c>
      <c r="Q13" s="1">
        <v>6.0000000000000001E-3</v>
      </c>
      <c r="R13">
        <v>1</v>
      </c>
      <c r="S13">
        <v>1</v>
      </c>
      <c r="T13" s="108">
        <f>Capacity!B10*1000</f>
        <v>20527.317305</v>
      </c>
      <c r="U13" s="109">
        <v>0</v>
      </c>
      <c r="V13" s="109">
        <v>0</v>
      </c>
      <c r="W13" s="109">
        <v>0</v>
      </c>
      <c r="X13" s="123"/>
      <c r="Y13" s="126"/>
      <c r="Z13">
        <v>4.4000000000000004</v>
      </c>
      <c r="AA13">
        <v>0.105</v>
      </c>
      <c r="AC13" s="122"/>
      <c r="AD13" s="1">
        <f>K13-Q13</f>
        <v>0.99399999999999999</v>
      </c>
      <c r="AE13" s="122"/>
      <c r="AF13">
        <v>0</v>
      </c>
      <c r="AG13">
        <f>Z13*Conversions!$D$4</f>
        <v>5.4512373584729472</v>
      </c>
      <c r="AH13" s="3">
        <f t="shared" si="0"/>
        <v>14.180577162249854</v>
      </c>
      <c r="AI13">
        <f t="shared" si="1"/>
        <v>20</v>
      </c>
      <c r="AJ13">
        <f t="shared" si="2"/>
        <v>0.12149326526701618</v>
      </c>
      <c r="AK13" s="107">
        <f t="shared" si="3"/>
        <v>116.7190389614106</v>
      </c>
      <c r="AL13" s="1">
        <f t="shared" si="4"/>
        <v>20527.317305</v>
      </c>
    </row>
    <row r="14" spans="1:38" x14ac:dyDescent="0.25">
      <c r="B14" t="s">
        <v>18</v>
      </c>
      <c r="C14" t="s">
        <v>12</v>
      </c>
      <c r="D14" t="s">
        <v>303</v>
      </c>
      <c r="E14" t="s">
        <v>305</v>
      </c>
      <c r="F14" t="s">
        <v>6</v>
      </c>
      <c r="G14" t="s">
        <v>179</v>
      </c>
      <c r="H14" t="s">
        <v>37</v>
      </c>
      <c r="I14" t="s">
        <v>34</v>
      </c>
      <c r="J14">
        <v>8760</v>
      </c>
      <c r="K14" s="5">
        <v>1</v>
      </c>
      <c r="L14">
        <v>1</v>
      </c>
      <c r="M14" s="3">
        <f>11825.3487554956/1000</f>
        <v>11.825348755495598</v>
      </c>
      <c r="N14" s="3">
        <f>11825.34876/1000</f>
        <v>11.825348760000001</v>
      </c>
      <c r="O14" s="1">
        <v>0</v>
      </c>
      <c r="P14">
        <v>35</v>
      </c>
      <c r="Q14" s="1">
        <v>0.01</v>
      </c>
      <c r="R14">
        <v>1</v>
      </c>
      <c r="S14">
        <v>1</v>
      </c>
      <c r="T14" s="108">
        <f>Capacity!B11*1000</f>
        <v>1698.7499999999998</v>
      </c>
      <c r="U14" s="109">
        <v>0</v>
      </c>
      <c r="V14" s="109">
        <v>0</v>
      </c>
      <c r="W14" s="109">
        <v>0</v>
      </c>
      <c r="X14" s="123"/>
      <c r="Y14" s="126"/>
      <c r="Z14">
        <f>2.4</f>
        <v>2.4</v>
      </c>
      <c r="AA14">
        <v>8.3500000000000005E-2</v>
      </c>
      <c r="AC14" s="122"/>
      <c r="AD14" s="1">
        <f>K14-Q14</f>
        <v>0.99</v>
      </c>
      <c r="AE14" s="122"/>
      <c r="AF14">
        <v>0</v>
      </c>
      <c r="AG14">
        <f>Z14*Conversions!$D$4</f>
        <v>2.973402195530698</v>
      </c>
      <c r="AH14" s="3">
        <f t="shared" si="0"/>
        <v>8.851946559964901</v>
      </c>
      <c r="AI14">
        <f t="shared" si="1"/>
        <v>18</v>
      </c>
      <c r="AJ14">
        <f t="shared" si="2"/>
        <v>0.1093062199026277</v>
      </c>
      <c r="AK14" s="107">
        <f t="shared" si="3"/>
        <v>80.983008724026888</v>
      </c>
      <c r="AL14" s="1">
        <f t="shared" si="4"/>
        <v>1698.7499999999998</v>
      </c>
    </row>
    <row r="15" spans="1:38" x14ac:dyDescent="0.25">
      <c r="B15" t="s">
        <v>7</v>
      </c>
      <c r="C15" t="s">
        <v>12</v>
      </c>
      <c r="D15" t="s">
        <v>299</v>
      </c>
      <c r="E15" t="s">
        <v>302</v>
      </c>
      <c r="F15" t="s">
        <v>6</v>
      </c>
      <c r="G15" t="s">
        <v>179</v>
      </c>
      <c r="H15" t="s">
        <v>38</v>
      </c>
      <c r="I15" t="s">
        <v>34</v>
      </c>
      <c r="J15">
        <v>8760</v>
      </c>
      <c r="K15" s="5">
        <v>0.238845897</v>
      </c>
      <c r="L15">
        <v>1</v>
      </c>
      <c r="M15" s="3">
        <f>7713.45723965334/1000</f>
        <v>7.7134572396533407</v>
      </c>
      <c r="N15" s="3">
        <f>7713.45724/1000</f>
        <v>7.7134572399999994</v>
      </c>
      <c r="O15" s="1">
        <v>0</v>
      </c>
      <c r="P15">
        <v>20</v>
      </c>
      <c r="Q15" s="1">
        <v>0.1</v>
      </c>
      <c r="R15">
        <v>0.06</v>
      </c>
      <c r="S15">
        <v>0.06</v>
      </c>
      <c r="T15" s="108">
        <f>Capacity!B12*1000</f>
        <v>3357.15</v>
      </c>
      <c r="U15" s="109">
        <v>0</v>
      </c>
      <c r="V15" s="109">
        <v>0</v>
      </c>
      <c r="W15" s="109">
        <v>0</v>
      </c>
      <c r="X15" s="1">
        <f>CarriersTech_characteristics!$G$7</f>
        <v>13.648968</v>
      </c>
      <c r="Y15" s="1">
        <f>CarriersTech_characteristics!$H$5*1000</f>
        <v>1656436.6880000001</v>
      </c>
      <c r="Z15" s="104">
        <v>1</v>
      </c>
      <c r="AA15">
        <v>8.3500000000000005E-2</v>
      </c>
      <c r="AC15" s="1">
        <f>1/K15/(1-Q15)</f>
        <v>4.6519999927447406</v>
      </c>
      <c r="AD15" s="123"/>
      <c r="AE15" s="128">
        <f>Y15/(X15*Conversions!$D$2)</f>
        <v>0.43689545093040172</v>
      </c>
      <c r="AF15">
        <v>0</v>
      </c>
      <c r="AG15">
        <f>Z15*Conversions!$D$4</f>
        <v>1.2389175814711242</v>
      </c>
      <c r="AH15" s="3">
        <f t="shared" si="0"/>
        <v>6.4745396581822163</v>
      </c>
      <c r="AI15">
        <f t="shared" si="1"/>
        <v>10</v>
      </c>
      <c r="AJ15">
        <f t="shared" si="2"/>
        <v>0.15139063026119925</v>
      </c>
      <c r="AK15" s="107">
        <f t="shared" si="3"/>
        <v>42.767109477062611</v>
      </c>
      <c r="AL15" s="1">
        <f t="shared" si="4"/>
        <v>3357.15</v>
      </c>
    </row>
    <row r="16" spans="1:38" x14ac:dyDescent="0.25">
      <c r="B16" t="s">
        <v>19</v>
      </c>
      <c r="C16" t="s">
        <v>12</v>
      </c>
      <c r="D16" t="s">
        <v>311</v>
      </c>
      <c r="E16" t="s">
        <v>308</v>
      </c>
      <c r="F16" t="s">
        <v>6</v>
      </c>
      <c r="G16" t="s">
        <v>179</v>
      </c>
      <c r="H16" t="s">
        <v>39</v>
      </c>
      <c r="I16" t="s">
        <v>34</v>
      </c>
      <c r="J16">
        <v>8760</v>
      </c>
      <c r="K16" s="5">
        <v>1</v>
      </c>
      <c r="L16">
        <v>1</v>
      </c>
      <c r="M16" s="3">
        <f>5630.98419436319/1000</f>
        <v>5.6309841943631902</v>
      </c>
      <c r="N16" s="3">
        <f>5439.705856/1000</f>
        <v>5.4397058559999998</v>
      </c>
      <c r="O16" s="1">
        <v>0</v>
      </c>
      <c r="P16">
        <v>25</v>
      </c>
      <c r="Q16" s="1">
        <v>0.01</v>
      </c>
      <c r="R16">
        <v>1</v>
      </c>
      <c r="S16">
        <v>1</v>
      </c>
      <c r="T16" s="108">
        <f>Capacity!B13*1000</f>
        <v>19996.724187999997</v>
      </c>
      <c r="U16" s="109">
        <v>0</v>
      </c>
      <c r="V16" s="109">
        <v>0</v>
      </c>
      <c r="W16" s="109">
        <v>0</v>
      </c>
      <c r="X16" s="123"/>
      <c r="Y16" s="127" t="s">
        <v>323</v>
      </c>
      <c r="Z16">
        <v>0.35</v>
      </c>
      <c r="AA16">
        <v>0.105</v>
      </c>
      <c r="AC16" s="123">
        <v>1</v>
      </c>
      <c r="AD16" s="123"/>
      <c r="AE16" s="122"/>
      <c r="AF16">
        <v>0</v>
      </c>
      <c r="AG16">
        <f>Z16*Conversions!$D$4</f>
        <v>0.43362115351489344</v>
      </c>
      <c r="AH16" s="3">
        <f t="shared" si="0"/>
        <v>5.1973630408482965</v>
      </c>
      <c r="AI16">
        <f t="shared" si="1"/>
        <v>13</v>
      </c>
      <c r="AJ16">
        <f t="shared" si="2"/>
        <v>0.14444511726871467</v>
      </c>
      <c r="AK16" s="107">
        <f t="shared" si="3"/>
        <v>35.98157652625612</v>
      </c>
      <c r="AL16" s="1">
        <f t="shared" si="4"/>
        <v>19996.724187999997</v>
      </c>
    </row>
    <row r="17" spans="2:38" x14ac:dyDescent="0.25">
      <c r="B17" t="s">
        <v>20</v>
      </c>
      <c r="C17" t="s">
        <v>12</v>
      </c>
      <c r="D17" t="s">
        <v>311</v>
      </c>
      <c r="E17" t="s">
        <v>309</v>
      </c>
      <c r="F17" t="s">
        <v>6</v>
      </c>
      <c r="G17" t="s">
        <v>179</v>
      </c>
      <c r="H17" t="s">
        <v>39</v>
      </c>
      <c r="I17" t="s">
        <v>34</v>
      </c>
      <c r="J17">
        <v>8760</v>
      </c>
      <c r="K17" s="5">
        <v>1</v>
      </c>
      <c r="L17">
        <v>1</v>
      </c>
      <c r="M17" s="3">
        <f>5542.18769541597/1000</f>
        <v>5.5421876954159695</v>
      </c>
      <c r="N17" s="3">
        <f>5362.133837/1000</f>
        <v>5.362133837</v>
      </c>
      <c r="O17" s="1">
        <v>0</v>
      </c>
      <c r="P17">
        <v>25</v>
      </c>
      <c r="Q17" s="1">
        <v>6.0000000000000001E-3</v>
      </c>
      <c r="R17">
        <v>1</v>
      </c>
      <c r="S17">
        <v>1</v>
      </c>
      <c r="T17" s="108">
        <f>Capacity!B14*1000</f>
        <v>2666.3458109999992</v>
      </c>
      <c r="U17" s="109">
        <v>0</v>
      </c>
      <c r="V17" s="109">
        <v>0</v>
      </c>
      <c r="W17" s="109">
        <v>0</v>
      </c>
      <c r="X17" s="123"/>
      <c r="Y17" s="123"/>
      <c r="Z17">
        <v>0.51</v>
      </c>
      <c r="AA17">
        <v>0.104</v>
      </c>
      <c r="AC17" s="123">
        <v>1</v>
      </c>
      <c r="AD17" s="123"/>
      <c r="AE17" s="122"/>
      <c r="AF17">
        <v>0</v>
      </c>
      <c r="AG17">
        <f>Z17*Conversions!$D$4</f>
        <v>0.63184796655027331</v>
      </c>
      <c r="AH17" s="3">
        <f t="shared" si="0"/>
        <v>4.9103397288656963</v>
      </c>
      <c r="AI17">
        <f t="shared" si="1"/>
        <v>13</v>
      </c>
      <c r="AJ17">
        <f t="shared" si="2"/>
        <v>0.1437086289255039</v>
      </c>
      <c r="AK17" s="107">
        <f t="shared" si="3"/>
        <v>34.16871878592017</v>
      </c>
      <c r="AL17" s="1">
        <f t="shared" si="4"/>
        <v>2666.3458109999992</v>
      </c>
    </row>
    <row r="18" spans="2:38" x14ac:dyDescent="0.25">
      <c r="B18" t="s">
        <v>21</v>
      </c>
      <c r="C18" t="s">
        <v>12</v>
      </c>
      <c r="D18" t="s">
        <v>311</v>
      </c>
      <c r="E18" t="s">
        <v>310</v>
      </c>
      <c r="F18" t="s">
        <v>6</v>
      </c>
      <c r="G18" t="s">
        <v>179</v>
      </c>
      <c r="H18" t="s">
        <v>40</v>
      </c>
      <c r="I18" t="s">
        <v>34</v>
      </c>
      <c r="J18">
        <v>8760</v>
      </c>
      <c r="K18" s="5">
        <v>1</v>
      </c>
      <c r="L18">
        <v>1</v>
      </c>
      <c r="M18" s="3">
        <f>10659.4302732183/1000</f>
        <v>10.6594302732183</v>
      </c>
      <c r="N18" s="3">
        <f>10586.96446/1000</f>
        <v>10.586964459999999</v>
      </c>
      <c r="O18" s="1">
        <v>0</v>
      </c>
      <c r="P18">
        <v>25</v>
      </c>
      <c r="Q18" s="1">
        <v>5.0000000000000001E-3</v>
      </c>
      <c r="R18">
        <v>1</v>
      </c>
      <c r="S18">
        <v>1</v>
      </c>
      <c r="T18" s="108">
        <f>Capacity!B15*1000</f>
        <v>5301.42</v>
      </c>
      <c r="U18" s="109">
        <v>0</v>
      </c>
      <c r="V18" s="109">
        <v>0</v>
      </c>
      <c r="W18" s="109">
        <v>0</v>
      </c>
      <c r="X18" s="123"/>
      <c r="Y18" s="123"/>
      <c r="Z18">
        <v>0.68</v>
      </c>
      <c r="AA18">
        <v>0.105</v>
      </c>
      <c r="AC18" s="123">
        <v>1</v>
      </c>
      <c r="AD18" s="123"/>
      <c r="AE18" s="122"/>
      <c r="AF18">
        <v>0</v>
      </c>
      <c r="AG18">
        <f>Z18*Conversions!$D$4</f>
        <v>0.84246395540036456</v>
      </c>
      <c r="AH18" s="3">
        <f t="shared" si="0"/>
        <v>9.8169663178179363</v>
      </c>
      <c r="AI18">
        <f t="shared" si="1"/>
        <v>13</v>
      </c>
      <c r="AJ18">
        <f t="shared" si="2"/>
        <v>0.14444511726871467</v>
      </c>
      <c r="AK18" s="107">
        <f t="shared" si="3"/>
        <v>67.963296395510568</v>
      </c>
      <c r="AL18" s="1">
        <f t="shared" si="4"/>
        <v>5301.42</v>
      </c>
    </row>
    <row r="19" spans="2:38" s="116" customFormat="1" x14ac:dyDescent="0.25">
      <c r="B19" s="116" t="s">
        <v>23</v>
      </c>
      <c r="C19" s="116" t="s">
        <v>12</v>
      </c>
      <c r="D19" s="116" t="s">
        <v>311</v>
      </c>
      <c r="F19" s="116" t="s">
        <v>6</v>
      </c>
      <c r="G19" s="116" t="s">
        <v>179</v>
      </c>
      <c r="H19" s="116" t="s">
        <v>40</v>
      </c>
      <c r="I19" s="116" t="s">
        <v>34</v>
      </c>
      <c r="J19" s="116">
        <v>8760</v>
      </c>
      <c r="K19" s="136">
        <v>1</v>
      </c>
      <c r="L19" s="116">
        <v>1</v>
      </c>
      <c r="M19" s="137">
        <f>N19</f>
        <v>34.540361669999996</v>
      </c>
      <c r="N19" s="138">
        <f>34540.36167/1000</f>
        <v>34.540361669999996</v>
      </c>
      <c r="O19" s="139">
        <v>0</v>
      </c>
      <c r="P19" s="116">
        <v>25</v>
      </c>
      <c r="Q19" s="139">
        <v>5.0000000000000001E-3</v>
      </c>
      <c r="R19" s="116">
        <v>1</v>
      </c>
      <c r="S19" s="116">
        <v>1</v>
      </c>
      <c r="T19" s="140">
        <f>Capacity!B16*1000</f>
        <v>0</v>
      </c>
      <c r="U19" s="141">
        <v>0</v>
      </c>
      <c r="V19" s="141">
        <v>0</v>
      </c>
      <c r="W19" s="141">
        <v>0</v>
      </c>
      <c r="X19" s="142"/>
      <c r="Y19" s="142"/>
      <c r="Z19" s="116">
        <v>6.7</v>
      </c>
      <c r="AA19" s="116">
        <v>0.112</v>
      </c>
      <c r="AB19" s="143"/>
      <c r="AC19" s="142">
        <v>1</v>
      </c>
      <c r="AD19" s="142"/>
      <c r="AE19" s="144"/>
      <c r="AF19" s="116">
        <v>0</v>
      </c>
      <c r="AG19" s="116">
        <f>Z19*Conversions!$D$4</f>
        <v>8.3007477958565321</v>
      </c>
      <c r="AH19" s="138">
        <f t="shared" si="0"/>
        <v>26.239613874143465</v>
      </c>
      <c r="AI19" s="116">
        <f t="shared" si="1"/>
        <v>13</v>
      </c>
      <c r="AJ19" s="116">
        <f t="shared" si="2"/>
        <v>0.14964415165301803</v>
      </c>
      <c r="AK19" s="145">
        <f t="shared" si="3"/>
        <v>175.34673814039604</v>
      </c>
      <c r="AL19" s="139">
        <f t="shared" si="4"/>
        <v>0</v>
      </c>
    </row>
    <row r="20" spans="2:38" x14ac:dyDescent="0.25">
      <c r="B20" t="s">
        <v>13</v>
      </c>
      <c r="C20" t="s">
        <v>9</v>
      </c>
      <c r="D20" t="s">
        <v>299</v>
      </c>
      <c r="E20" t="s">
        <v>301</v>
      </c>
      <c r="F20" t="s">
        <v>6</v>
      </c>
      <c r="G20" t="s">
        <v>179</v>
      </c>
      <c r="H20" t="s">
        <v>33</v>
      </c>
      <c r="I20" t="s">
        <v>34</v>
      </c>
      <c r="J20">
        <v>8760</v>
      </c>
      <c r="K20" s="5">
        <v>0.38096819999999998</v>
      </c>
      <c r="L20">
        <v>0.85</v>
      </c>
      <c r="M20" s="3">
        <f>26148.8463751508/1000</f>
        <v>26.1488463751508</v>
      </c>
      <c r="N20" s="3">
        <f>13721.03129/1000</f>
        <v>13.721031290000001</v>
      </c>
      <c r="O20" s="1">
        <v>133.5230182</v>
      </c>
      <c r="P20">
        <v>40</v>
      </c>
      <c r="Q20" s="1">
        <v>6.6000000000000003E-2</v>
      </c>
      <c r="R20">
        <v>0.3</v>
      </c>
      <c r="S20">
        <v>0.3</v>
      </c>
      <c r="T20" s="108">
        <f>Capacity!B19*1000</f>
        <v>1010.929706</v>
      </c>
      <c r="U20" s="109">
        <v>0</v>
      </c>
      <c r="V20" s="109">
        <v>0</v>
      </c>
      <c r="W20" s="109">
        <v>0</v>
      </c>
      <c r="X20" s="1">
        <f>CarriersTech_characteristics!$G$2</f>
        <v>17.207187650000002</v>
      </c>
      <c r="Y20" s="1">
        <f>CarriersTech_characteristics!$H$28*1000</f>
        <v>1942097.6230000001</v>
      </c>
      <c r="Z20" s="7">
        <v>3</v>
      </c>
      <c r="AA20">
        <v>0.105</v>
      </c>
      <c r="AB20" s="133"/>
      <c r="AC20" s="1">
        <f>1/K20/(1-Q20)</f>
        <v>2.8103758044980376</v>
      </c>
      <c r="AD20" s="123"/>
      <c r="AE20" s="129">
        <f>Y20/(X20*Conversions!$D$2)</f>
        <v>0.40631575182871843</v>
      </c>
      <c r="AF20" s="103">
        <f>O20/CarriersTech_characteristics!$G$2/Conversions!$D$2*AC20</f>
        <v>7.8507860294473842E-5</v>
      </c>
      <c r="AG20">
        <f>Z20*Conversions!$D$4</f>
        <v>3.7167527444133723</v>
      </c>
      <c r="AH20" s="3">
        <f t="shared" si="0"/>
        <v>22.432093630737427</v>
      </c>
      <c r="AI20">
        <f t="shared" si="1"/>
        <v>20</v>
      </c>
      <c r="AJ20">
        <f t="shared" si="2"/>
        <v>0.12149326526701618</v>
      </c>
      <c r="AK20" s="107">
        <f t="shared" si="3"/>
        <v>184.63651941065612</v>
      </c>
      <c r="AL20" s="1">
        <f t="shared" si="4"/>
        <v>1010.929706</v>
      </c>
    </row>
    <row r="21" spans="2:38" x14ac:dyDescent="0.25">
      <c r="B21" t="s">
        <v>14</v>
      </c>
      <c r="C21" t="s">
        <v>9</v>
      </c>
      <c r="D21" t="s">
        <v>299</v>
      </c>
      <c r="E21" t="s">
        <v>306</v>
      </c>
      <c r="F21" t="s">
        <v>6</v>
      </c>
      <c r="G21" t="s">
        <v>179</v>
      </c>
      <c r="H21" t="s">
        <v>35</v>
      </c>
      <c r="I21" t="s">
        <v>34</v>
      </c>
      <c r="J21">
        <v>8760</v>
      </c>
      <c r="K21" s="5">
        <v>0.40444272199999998</v>
      </c>
      <c r="L21">
        <v>0.85</v>
      </c>
      <c r="M21" s="3">
        <f>8512.22780274884/1000</f>
        <v>8.5122278027488392</v>
      </c>
      <c r="N21" s="3">
        <f>8512.227803/1000</f>
        <v>8.512227803</v>
      </c>
      <c r="O21" s="1">
        <v>0</v>
      </c>
      <c r="P21">
        <v>25</v>
      </c>
      <c r="Q21" s="1">
        <v>0.02</v>
      </c>
      <c r="R21">
        <v>0.9</v>
      </c>
      <c r="S21">
        <v>0.9</v>
      </c>
      <c r="T21" s="108">
        <f>Capacity!B20*1000</f>
        <v>2002.456891</v>
      </c>
      <c r="U21" s="109">
        <v>0</v>
      </c>
      <c r="V21" s="109">
        <v>0</v>
      </c>
      <c r="W21" s="109">
        <v>0</v>
      </c>
      <c r="X21" s="1">
        <f>CarriersTech_characteristics!$G$3</f>
        <v>37.681199999999997</v>
      </c>
      <c r="Y21" s="1">
        <f>CarriersTech_characteristics!$H$3*1000</f>
        <v>3025024.5490000001</v>
      </c>
      <c r="Z21">
        <v>2.9</v>
      </c>
      <c r="AA21">
        <v>0.105</v>
      </c>
      <c r="AC21" s="1">
        <f>1/K21/(1-Q21)</f>
        <v>2.5229979617863072</v>
      </c>
      <c r="AD21" s="123"/>
      <c r="AE21" s="129">
        <f>(Y21*Conversions!$D$3)/(X21*Conversions!$D$2)</f>
        <v>0.23958587284408495</v>
      </c>
      <c r="AF21">
        <v>0</v>
      </c>
      <c r="AG21">
        <f>Z21*Conversions!$D$4</f>
        <v>3.5928609862662602</v>
      </c>
      <c r="AH21" s="3">
        <f t="shared" si="0"/>
        <v>4.9193668164825795</v>
      </c>
      <c r="AI21">
        <f t="shared" si="1"/>
        <v>13</v>
      </c>
      <c r="AJ21">
        <f t="shared" si="2"/>
        <v>0.14444511726871467</v>
      </c>
      <c r="AK21" s="107">
        <f t="shared" si="3"/>
        <v>34.056996245369547</v>
      </c>
      <c r="AL21" s="1">
        <f t="shared" si="4"/>
        <v>2002.456891</v>
      </c>
    </row>
    <row r="22" spans="2:38" x14ac:dyDescent="0.25">
      <c r="B22" t="s">
        <v>16</v>
      </c>
      <c r="C22" t="s">
        <v>9</v>
      </c>
      <c r="D22" t="s">
        <v>299</v>
      </c>
      <c r="F22" t="s">
        <v>6</v>
      </c>
      <c r="G22" t="s">
        <v>179</v>
      </c>
      <c r="H22" t="s">
        <v>35</v>
      </c>
      <c r="I22" t="s">
        <v>34</v>
      </c>
      <c r="J22">
        <v>8760</v>
      </c>
      <c r="K22" s="5">
        <v>0.28070162799999998</v>
      </c>
      <c r="L22">
        <v>0.85</v>
      </c>
      <c r="M22" s="3">
        <f>6679.75064927145/1000</f>
        <v>6.6797506492714502</v>
      </c>
      <c r="N22" s="3">
        <f>6679.750649/1000</f>
        <v>6.6797506489999998</v>
      </c>
      <c r="O22" s="1">
        <v>0</v>
      </c>
      <c r="P22">
        <v>25</v>
      </c>
      <c r="Q22" s="1">
        <v>0.01</v>
      </c>
      <c r="R22">
        <v>1</v>
      </c>
      <c r="S22">
        <v>1</v>
      </c>
      <c r="T22" s="108">
        <f>Capacity!B21*1000</f>
        <v>0</v>
      </c>
      <c r="U22" s="109">
        <v>0</v>
      </c>
      <c r="V22" s="109">
        <v>0</v>
      </c>
      <c r="W22" s="109">
        <v>0</v>
      </c>
      <c r="X22" s="1">
        <f>CarriersTech_characteristics!$G$3</f>
        <v>37.681199999999997</v>
      </c>
      <c r="Y22" s="1">
        <f>CarriersTech_characteristics!$H$3*1000</f>
        <v>3025024.5490000001</v>
      </c>
      <c r="Z22">
        <v>0.7</v>
      </c>
      <c r="AA22">
        <v>0.105</v>
      </c>
      <c r="AC22" s="1">
        <f>1/K22/(1-Q22)</f>
        <v>3.5984864687033813</v>
      </c>
      <c r="AD22" s="123"/>
      <c r="AE22" s="129">
        <f>(Y22*Conversions!$D$3)/(X22*Conversions!$D$2)</f>
        <v>0.23958587284408495</v>
      </c>
      <c r="AF22">
        <v>0</v>
      </c>
      <c r="AG22">
        <f>Z22*Conversions!$D$4</f>
        <v>0.86724230702978689</v>
      </c>
      <c r="AH22" s="3">
        <f t="shared" si="0"/>
        <v>5.8125083422416637</v>
      </c>
      <c r="AI22">
        <f t="shared" si="1"/>
        <v>13</v>
      </c>
      <c r="AJ22">
        <f t="shared" si="2"/>
        <v>0.14444511726871467</v>
      </c>
      <c r="AK22" s="107">
        <f t="shared" si="3"/>
        <v>40.240254929687353</v>
      </c>
      <c r="AL22" s="1">
        <f t="shared" si="4"/>
        <v>0</v>
      </c>
    </row>
    <row r="23" spans="2:38" x14ac:dyDescent="0.25">
      <c r="B23" t="s">
        <v>17</v>
      </c>
      <c r="C23" t="s">
        <v>9</v>
      </c>
      <c r="D23" t="s">
        <v>299</v>
      </c>
      <c r="E23" t="s">
        <v>307</v>
      </c>
      <c r="F23" t="s">
        <v>6</v>
      </c>
      <c r="G23" t="s">
        <v>179</v>
      </c>
      <c r="H23" t="s">
        <v>36</v>
      </c>
      <c r="I23" t="s">
        <v>34</v>
      </c>
      <c r="J23">
        <v>8760</v>
      </c>
      <c r="K23" s="5">
        <v>1</v>
      </c>
      <c r="L23">
        <v>0.70916666699999997</v>
      </c>
      <c r="M23" s="3">
        <f>20833.2103478327/1000</f>
        <v>20.833210347832701</v>
      </c>
      <c r="N23" s="3">
        <f>20833.21035/1000</f>
        <v>20.833210350000002</v>
      </c>
      <c r="O23" s="1">
        <v>0</v>
      </c>
      <c r="P23">
        <v>40</v>
      </c>
      <c r="Q23" s="1">
        <v>0.10780000000000001</v>
      </c>
      <c r="R23">
        <v>0.01</v>
      </c>
      <c r="S23">
        <v>0.01</v>
      </c>
      <c r="T23" s="108">
        <f>Capacity!B22*1000</f>
        <v>0</v>
      </c>
      <c r="U23" s="109">
        <v>0</v>
      </c>
      <c r="V23" s="109">
        <v>0</v>
      </c>
      <c r="W23" s="109">
        <v>0</v>
      </c>
      <c r="X23" s="125"/>
      <c r="Y23" s="125"/>
      <c r="Z23">
        <v>4.3</v>
      </c>
      <c r="AA23">
        <v>0.105</v>
      </c>
      <c r="AC23" s="1">
        <f>1/K23/(1-Q23)</f>
        <v>1.1208249271463797</v>
      </c>
      <c r="AD23" s="123"/>
      <c r="AE23" s="124"/>
      <c r="AF23">
        <v>0</v>
      </c>
      <c r="AG23">
        <f>Z23*Conversions!$D$4</f>
        <v>5.3273456003258337</v>
      </c>
      <c r="AH23" s="3">
        <f t="shared" si="0"/>
        <v>15.505864747506866</v>
      </c>
      <c r="AI23">
        <f t="shared" si="1"/>
        <v>20</v>
      </c>
      <c r="AJ23">
        <f t="shared" si="2"/>
        <v>0.12149326526701618</v>
      </c>
      <c r="AK23" s="107">
        <f t="shared" si="3"/>
        <v>127.6273603596734</v>
      </c>
      <c r="AL23" s="1">
        <f t="shared" si="4"/>
        <v>0</v>
      </c>
    </row>
    <row r="24" spans="2:38" x14ac:dyDescent="0.25">
      <c r="B24" t="s">
        <v>22</v>
      </c>
      <c r="C24" t="s">
        <v>9</v>
      </c>
      <c r="D24" t="s">
        <v>299</v>
      </c>
      <c r="F24" t="s">
        <v>6</v>
      </c>
      <c r="G24" t="s">
        <v>179</v>
      </c>
      <c r="H24" t="s">
        <v>36</v>
      </c>
      <c r="I24" t="s">
        <v>34</v>
      </c>
      <c r="J24">
        <v>8760</v>
      </c>
      <c r="K24" s="5">
        <v>1</v>
      </c>
      <c r="L24">
        <v>0.70916666699999997</v>
      </c>
      <c r="M24" s="105">
        <f>N24</f>
        <v>35.289429389999995</v>
      </c>
      <c r="N24" s="3">
        <f>35289.42939/1000</f>
        <v>35.289429389999995</v>
      </c>
      <c r="O24" s="1">
        <v>0</v>
      </c>
      <c r="P24">
        <v>30</v>
      </c>
      <c r="Q24" s="1">
        <v>0.05</v>
      </c>
      <c r="R24">
        <v>0.01</v>
      </c>
      <c r="S24">
        <v>0.01</v>
      </c>
      <c r="T24" s="108">
        <f>Capacity!B23*1000</f>
        <v>0</v>
      </c>
      <c r="U24" s="109">
        <v>0</v>
      </c>
      <c r="V24" s="109">
        <v>0</v>
      </c>
      <c r="W24" s="109">
        <v>0</v>
      </c>
      <c r="X24" s="125"/>
      <c r="Y24" s="125"/>
      <c r="Z24">
        <v>5</v>
      </c>
      <c r="AA24">
        <v>0.105</v>
      </c>
      <c r="AC24" s="1">
        <f>1/K24/(1-Q24)</f>
        <v>1.0526315789473684</v>
      </c>
      <c r="AD24" s="123"/>
      <c r="AE24" s="124"/>
      <c r="AF24">
        <v>0</v>
      </c>
      <c r="AG24">
        <f>Z24*Conversions!$D$4</f>
        <v>6.1945879073556211</v>
      </c>
      <c r="AH24" s="3">
        <f t="shared" si="0"/>
        <v>29.094841482644373</v>
      </c>
      <c r="AI24">
        <f t="shared" si="1"/>
        <v>15</v>
      </c>
      <c r="AJ24">
        <f t="shared" si="2"/>
        <v>0.13524800152154118</v>
      </c>
      <c r="AK24" s="107">
        <f t="shared" si="3"/>
        <v>215.12215452596087</v>
      </c>
      <c r="AL24" s="1">
        <f t="shared" si="4"/>
        <v>0</v>
      </c>
    </row>
    <row r="25" spans="2:38" x14ac:dyDescent="0.25">
      <c r="B25" t="s">
        <v>15</v>
      </c>
      <c r="C25" t="s">
        <v>9</v>
      </c>
      <c r="D25" t="s">
        <v>303</v>
      </c>
      <c r="E25" t="s">
        <v>304</v>
      </c>
      <c r="F25" t="s">
        <v>6</v>
      </c>
      <c r="G25" t="s">
        <v>179</v>
      </c>
      <c r="H25" t="s">
        <v>37</v>
      </c>
      <c r="I25" t="s">
        <v>34</v>
      </c>
      <c r="J25">
        <v>8760</v>
      </c>
      <c r="K25" s="5">
        <v>1</v>
      </c>
      <c r="L25">
        <v>1</v>
      </c>
      <c r="M25" s="3">
        <f>19631.8145207228/1000</f>
        <v>19.631814520722802</v>
      </c>
      <c r="N25" s="3">
        <f>19631.81452/1000</f>
        <v>19.631814519999999</v>
      </c>
      <c r="O25" s="1">
        <v>0</v>
      </c>
      <c r="P25">
        <v>40</v>
      </c>
      <c r="Q25" s="1">
        <v>6.0000000000000001E-3</v>
      </c>
      <c r="R25">
        <v>1</v>
      </c>
      <c r="S25">
        <v>1</v>
      </c>
      <c r="T25" s="108">
        <f>Capacity!B24*1000</f>
        <v>1842.8252929999999</v>
      </c>
      <c r="U25" s="109">
        <v>0</v>
      </c>
      <c r="V25" s="109">
        <v>0</v>
      </c>
      <c r="W25" s="109">
        <v>0</v>
      </c>
      <c r="X25" s="123"/>
      <c r="Y25" s="126"/>
      <c r="Z25">
        <v>4.4000000000000004</v>
      </c>
      <c r="AA25">
        <v>0.105</v>
      </c>
      <c r="AC25" s="122"/>
      <c r="AD25" s="1">
        <f>K25-Q25</f>
        <v>0.99399999999999999</v>
      </c>
      <c r="AE25" s="122"/>
      <c r="AF25">
        <v>0</v>
      </c>
      <c r="AG25">
        <f>Z25*Conversions!$D$4</f>
        <v>5.4512373584729472</v>
      </c>
      <c r="AH25" s="3">
        <f t="shared" si="0"/>
        <v>14.180577162249854</v>
      </c>
      <c r="AI25">
        <f t="shared" si="1"/>
        <v>20</v>
      </c>
      <c r="AJ25">
        <f t="shared" si="2"/>
        <v>0.12149326526701618</v>
      </c>
      <c r="AK25" s="107">
        <f t="shared" si="3"/>
        <v>116.7190389614106</v>
      </c>
      <c r="AL25" s="1">
        <f t="shared" si="4"/>
        <v>1842.8252929999999</v>
      </c>
    </row>
    <row r="26" spans="2:38" x14ac:dyDescent="0.25">
      <c r="B26" t="s">
        <v>18</v>
      </c>
      <c r="C26" t="s">
        <v>9</v>
      </c>
      <c r="D26" t="s">
        <v>303</v>
      </c>
      <c r="E26" t="s">
        <v>305</v>
      </c>
      <c r="F26" t="s">
        <v>6</v>
      </c>
      <c r="G26" t="s">
        <v>179</v>
      </c>
      <c r="H26" t="s">
        <v>37</v>
      </c>
      <c r="I26" t="s">
        <v>34</v>
      </c>
      <c r="J26">
        <v>8760</v>
      </c>
      <c r="K26" s="5">
        <v>1</v>
      </c>
      <c r="L26">
        <v>1</v>
      </c>
      <c r="M26" s="3">
        <f>11825.3487554956/1000</f>
        <v>11.825348755495598</v>
      </c>
      <c r="N26" s="3">
        <f>11825.34876/1000</f>
        <v>11.825348760000001</v>
      </c>
      <c r="O26" s="1">
        <v>0</v>
      </c>
      <c r="P26">
        <v>35</v>
      </c>
      <c r="Q26" s="1">
        <v>0.01</v>
      </c>
      <c r="R26">
        <v>1</v>
      </c>
      <c r="S26">
        <v>1</v>
      </c>
      <c r="T26" s="108">
        <f>Capacity!B25*1000</f>
        <v>299.35000000000002</v>
      </c>
      <c r="U26" s="109">
        <v>0</v>
      </c>
      <c r="V26" s="109">
        <v>0</v>
      </c>
      <c r="W26" s="109">
        <v>0</v>
      </c>
      <c r="X26" s="123"/>
      <c r="Y26" s="126"/>
      <c r="Z26">
        <f>2.4</f>
        <v>2.4</v>
      </c>
      <c r="AA26">
        <v>8.3500000000000005E-2</v>
      </c>
      <c r="AC26" s="122"/>
      <c r="AD26" s="1">
        <f>K26-Q26</f>
        <v>0.99</v>
      </c>
      <c r="AE26" s="122"/>
      <c r="AF26">
        <v>0</v>
      </c>
      <c r="AG26">
        <f>Z26*Conversions!$D$4</f>
        <v>2.973402195530698</v>
      </c>
      <c r="AH26" s="3">
        <f t="shared" si="0"/>
        <v>8.851946559964901</v>
      </c>
      <c r="AI26">
        <f t="shared" si="1"/>
        <v>18</v>
      </c>
      <c r="AJ26">
        <f t="shared" si="2"/>
        <v>0.1093062199026277</v>
      </c>
      <c r="AK26" s="107">
        <f t="shared" si="3"/>
        <v>80.983008724026888</v>
      </c>
      <c r="AL26" s="1">
        <f t="shared" si="4"/>
        <v>299.35000000000002</v>
      </c>
    </row>
    <row r="27" spans="2:38" x14ac:dyDescent="0.25">
      <c r="B27" t="s">
        <v>7</v>
      </c>
      <c r="C27" t="s">
        <v>9</v>
      </c>
      <c r="D27" t="s">
        <v>299</v>
      </c>
      <c r="E27" t="s">
        <v>302</v>
      </c>
      <c r="F27" t="s">
        <v>6</v>
      </c>
      <c r="G27" t="s">
        <v>179</v>
      </c>
      <c r="H27" t="s">
        <v>38</v>
      </c>
      <c r="I27" t="s">
        <v>34</v>
      </c>
      <c r="J27">
        <v>8760</v>
      </c>
      <c r="K27" s="5">
        <v>0.238845897</v>
      </c>
      <c r="L27">
        <v>1</v>
      </c>
      <c r="M27" s="3">
        <f>7713.45723965334/1000</f>
        <v>7.7134572396533407</v>
      </c>
      <c r="N27" s="3">
        <f>7713.45724/1000</f>
        <v>7.7134572399999994</v>
      </c>
      <c r="O27" s="1">
        <v>0</v>
      </c>
      <c r="P27">
        <v>20</v>
      </c>
      <c r="Q27" s="1">
        <v>0.1</v>
      </c>
      <c r="R27">
        <v>0.06</v>
      </c>
      <c r="S27">
        <v>0.06</v>
      </c>
      <c r="T27" s="108">
        <f>Capacity!B26*1000</f>
        <v>15.8</v>
      </c>
      <c r="U27" s="109">
        <v>0</v>
      </c>
      <c r="V27" s="109">
        <v>0</v>
      </c>
      <c r="W27" s="109">
        <v>0</v>
      </c>
      <c r="X27" s="1">
        <f>CarriersTech_characteristics!$G$7</f>
        <v>13.648968</v>
      </c>
      <c r="Y27" s="1">
        <f>CarriersTech_characteristics!$H$5*1000</f>
        <v>1656436.6880000001</v>
      </c>
      <c r="Z27" s="104">
        <v>1</v>
      </c>
      <c r="AA27">
        <v>8.3500000000000005E-2</v>
      </c>
      <c r="AC27" s="1">
        <f>1/K27/(1-Q27)</f>
        <v>4.6519999927447406</v>
      </c>
      <c r="AD27" s="123"/>
      <c r="AE27" s="128">
        <f>Y27/(X27*Conversions!$D$2)</f>
        <v>0.43689545093040172</v>
      </c>
      <c r="AF27">
        <v>0</v>
      </c>
      <c r="AG27">
        <f>Z27*Conversions!$D$4</f>
        <v>1.2389175814711242</v>
      </c>
      <c r="AH27" s="3">
        <f t="shared" si="0"/>
        <v>6.4745396581822163</v>
      </c>
      <c r="AI27">
        <f t="shared" si="1"/>
        <v>10</v>
      </c>
      <c r="AJ27">
        <f t="shared" si="2"/>
        <v>0.15139063026119925</v>
      </c>
      <c r="AK27" s="107">
        <f t="shared" si="3"/>
        <v>42.767109477062611</v>
      </c>
      <c r="AL27" s="1">
        <f t="shared" si="4"/>
        <v>15.8</v>
      </c>
    </row>
    <row r="28" spans="2:38" x14ac:dyDescent="0.25">
      <c r="B28" t="s">
        <v>19</v>
      </c>
      <c r="C28" t="s">
        <v>9</v>
      </c>
      <c r="D28" t="s">
        <v>311</v>
      </c>
      <c r="E28" t="s">
        <v>308</v>
      </c>
      <c r="F28" t="s">
        <v>6</v>
      </c>
      <c r="G28" t="s">
        <v>179</v>
      </c>
      <c r="H28" t="s">
        <v>39</v>
      </c>
      <c r="I28" t="s">
        <v>34</v>
      </c>
      <c r="J28">
        <v>8760</v>
      </c>
      <c r="K28" s="5">
        <v>1</v>
      </c>
      <c r="L28">
        <v>1</v>
      </c>
      <c r="M28" s="3">
        <f>5630.98419436319/1000</f>
        <v>5.6309841943631902</v>
      </c>
      <c r="N28" s="3">
        <f>5439.705856/1000</f>
        <v>5.4397058559999998</v>
      </c>
      <c r="O28" s="1">
        <v>0</v>
      </c>
      <c r="P28">
        <v>25</v>
      </c>
      <c r="Q28" s="1">
        <v>0.01</v>
      </c>
      <c r="R28">
        <v>1</v>
      </c>
      <c r="S28">
        <v>1</v>
      </c>
      <c r="T28" s="108">
        <f>Capacity!B27*1000</f>
        <v>171.48962199999997</v>
      </c>
      <c r="U28" s="109">
        <v>0</v>
      </c>
      <c r="V28" s="109">
        <v>0</v>
      </c>
      <c r="W28" s="109">
        <v>0</v>
      </c>
      <c r="X28" s="123"/>
      <c r="Y28" s="127" t="s">
        <v>323</v>
      </c>
      <c r="Z28">
        <v>0.35</v>
      </c>
      <c r="AA28">
        <v>0.105</v>
      </c>
      <c r="AC28" s="123">
        <v>1</v>
      </c>
      <c r="AD28" s="123"/>
      <c r="AE28" s="122"/>
      <c r="AF28">
        <v>0</v>
      </c>
      <c r="AG28">
        <f>Z28*Conversions!$D$4</f>
        <v>0.43362115351489344</v>
      </c>
      <c r="AH28" s="3">
        <f t="shared" si="0"/>
        <v>5.1973630408482965</v>
      </c>
      <c r="AI28">
        <f t="shared" si="1"/>
        <v>13</v>
      </c>
      <c r="AJ28">
        <f t="shared" si="2"/>
        <v>0.14444511726871467</v>
      </c>
      <c r="AK28" s="107">
        <f t="shared" si="3"/>
        <v>35.98157652625612</v>
      </c>
      <c r="AL28" s="1">
        <f t="shared" si="4"/>
        <v>171.48962199999997</v>
      </c>
    </row>
    <row r="29" spans="2:38" x14ac:dyDescent="0.25">
      <c r="B29" t="s">
        <v>20</v>
      </c>
      <c r="C29" t="s">
        <v>9</v>
      </c>
      <c r="D29" t="s">
        <v>311</v>
      </c>
      <c r="E29" t="s">
        <v>309</v>
      </c>
      <c r="F29" t="s">
        <v>6</v>
      </c>
      <c r="G29" t="s">
        <v>179</v>
      </c>
      <c r="H29" t="s">
        <v>39</v>
      </c>
      <c r="I29" t="s">
        <v>34</v>
      </c>
      <c r="J29">
        <v>8760</v>
      </c>
      <c r="K29" s="5">
        <v>1</v>
      </c>
      <c r="L29">
        <v>1</v>
      </c>
      <c r="M29" s="3">
        <f>5542.18769541597/1000</f>
        <v>5.5421876954159695</v>
      </c>
      <c r="N29" s="3">
        <f>5362.133837/1000</f>
        <v>5.362133837</v>
      </c>
      <c r="O29" s="1">
        <v>0</v>
      </c>
      <c r="P29">
        <v>25</v>
      </c>
      <c r="Q29" s="1">
        <v>6.0000000000000001E-3</v>
      </c>
      <c r="R29">
        <v>1</v>
      </c>
      <c r="S29">
        <v>1</v>
      </c>
      <c r="T29" s="108">
        <f>Capacity!B28*1000</f>
        <v>67.610377999999997</v>
      </c>
      <c r="U29" s="109">
        <v>0</v>
      </c>
      <c r="V29" s="109">
        <v>0</v>
      </c>
      <c r="W29" s="109">
        <v>0</v>
      </c>
      <c r="X29" s="123"/>
      <c r="Y29" s="123"/>
      <c r="Z29">
        <v>0.51</v>
      </c>
      <c r="AA29">
        <v>0.104</v>
      </c>
      <c r="AC29" s="123">
        <v>1</v>
      </c>
      <c r="AD29" s="123"/>
      <c r="AE29" s="122"/>
      <c r="AF29">
        <v>0</v>
      </c>
      <c r="AG29">
        <f>Z29*Conversions!$D$4</f>
        <v>0.63184796655027331</v>
      </c>
      <c r="AH29" s="3">
        <f t="shared" si="0"/>
        <v>4.9103397288656963</v>
      </c>
      <c r="AI29">
        <f t="shared" si="1"/>
        <v>13</v>
      </c>
      <c r="AJ29">
        <f t="shared" si="2"/>
        <v>0.1437086289255039</v>
      </c>
      <c r="AK29" s="107">
        <f t="shared" si="3"/>
        <v>34.16871878592017</v>
      </c>
      <c r="AL29" s="1">
        <f t="shared" si="4"/>
        <v>67.610377999999997</v>
      </c>
    </row>
    <row r="30" spans="2:38" x14ac:dyDescent="0.25">
      <c r="B30" t="s">
        <v>21</v>
      </c>
      <c r="C30" t="s">
        <v>9</v>
      </c>
      <c r="D30" t="s">
        <v>311</v>
      </c>
      <c r="E30" t="s">
        <v>310</v>
      </c>
      <c r="F30" t="s">
        <v>6</v>
      </c>
      <c r="G30" t="s">
        <v>179</v>
      </c>
      <c r="H30" t="s">
        <v>40</v>
      </c>
      <c r="I30" t="s">
        <v>34</v>
      </c>
      <c r="J30">
        <v>8760</v>
      </c>
      <c r="K30" s="5">
        <v>1</v>
      </c>
      <c r="L30">
        <v>1</v>
      </c>
      <c r="M30" s="3">
        <f>10659.4302732183/1000</f>
        <v>10.6594302732183</v>
      </c>
      <c r="N30" s="3">
        <f>10586.96446/1000</f>
        <v>10.586964459999999</v>
      </c>
      <c r="O30" s="1">
        <v>0</v>
      </c>
      <c r="P30">
        <v>25</v>
      </c>
      <c r="Q30" s="1">
        <v>5.0000000000000001E-3</v>
      </c>
      <c r="R30">
        <v>1</v>
      </c>
      <c r="S30">
        <v>1</v>
      </c>
      <c r="T30" s="108">
        <f>Capacity!B29*1000</f>
        <v>0</v>
      </c>
      <c r="U30" s="109">
        <v>0</v>
      </c>
      <c r="V30" s="109">
        <v>0</v>
      </c>
      <c r="W30" s="109">
        <v>0</v>
      </c>
      <c r="X30" s="123"/>
      <c r="Y30" s="123"/>
      <c r="Z30">
        <v>0.68</v>
      </c>
      <c r="AA30">
        <v>0.105</v>
      </c>
      <c r="AC30" s="123">
        <v>1</v>
      </c>
      <c r="AD30" s="123"/>
      <c r="AE30" s="122"/>
      <c r="AF30">
        <v>0</v>
      </c>
      <c r="AG30">
        <f>Z30*Conversions!$D$4</f>
        <v>0.84246395540036456</v>
      </c>
      <c r="AH30" s="3">
        <f t="shared" si="0"/>
        <v>9.8169663178179363</v>
      </c>
      <c r="AI30">
        <f t="shared" si="1"/>
        <v>13</v>
      </c>
      <c r="AJ30">
        <f t="shared" si="2"/>
        <v>0.14444511726871467</v>
      </c>
      <c r="AK30" s="107">
        <f t="shared" si="3"/>
        <v>67.963296395510568</v>
      </c>
      <c r="AL30" s="1">
        <f t="shared" si="4"/>
        <v>0</v>
      </c>
    </row>
    <row r="31" spans="2:38" s="116" customFormat="1" x14ac:dyDescent="0.25">
      <c r="B31" s="116" t="s">
        <v>23</v>
      </c>
      <c r="C31" s="116" t="s">
        <v>9</v>
      </c>
      <c r="D31" s="116" t="s">
        <v>311</v>
      </c>
      <c r="F31" s="116" t="s">
        <v>6</v>
      </c>
      <c r="G31" s="116" t="s">
        <v>179</v>
      </c>
      <c r="H31" s="116" t="s">
        <v>40</v>
      </c>
      <c r="I31" s="116" t="s">
        <v>34</v>
      </c>
      <c r="J31" s="116">
        <v>8760</v>
      </c>
      <c r="K31" s="136">
        <v>1</v>
      </c>
      <c r="L31" s="116">
        <v>1</v>
      </c>
      <c r="M31" s="137">
        <f>N31</f>
        <v>34.540361669999996</v>
      </c>
      <c r="N31" s="138">
        <f>34540.36167/1000</f>
        <v>34.540361669999996</v>
      </c>
      <c r="O31" s="139">
        <v>0</v>
      </c>
      <c r="P31" s="116">
        <v>25</v>
      </c>
      <c r="Q31" s="139">
        <v>5.0000000000000001E-3</v>
      </c>
      <c r="R31" s="116">
        <v>1</v>
      </c>
      <c r="S31" s="116">
        <v>1</v>
      </c>
      <c r="T31" s="140">
        <f>Capacity!B30*1000</f>
        <v>0</v>
      </c>
      <c r="U31" s="141">
        <v>0</v>
      </c>
      <c r="V31" s="141">
        <v>0</v>
      </c>
      <c r="W31" s="141">
        <v>0</v>
      </c>
      <c r="X31" s="142"/>
      <c r="Y31" s="142"/>
      <c r="Z31" s="116">
        <v>6.7</v>
      </c>
      <c r="AA31" s="116">
        <v>0.112</v>
      </c>
      <c r="AB31" s="143"/>
      <c r="AC31" s="142">
        <v>1</v>
      </c>
      <c r="AD31" s="142"/>
      <c r="AE31" s="144"/>
      <c r="AF31" s="116">
        <v>0</v>
      </c>
      <c r="AG31" s="116">
        <f>Z31*Conversions!$D$4</f>
        <v>8.3007477958565321</v>
      </c>
      <c r="AH31" s="138">
        <f t="shared" si="0"/>
        <v>26.239613874143465</v>
      </c>
      <c r="AI31" s="116">
        <f t="shared" si="1"/>
        <v>13</v>
      </c>
      <c r="AJ31" s="116">
        <f t="shared" si="2"/>
        <v>0.14964415165301803</v>
      </c>
      <c r="AK31" s="145">
        <f t="shared" si="3"/>
        <v>175.34673814039604</v>
      </c>
      <c r="AL31" s="139">
        <f t="shared" si="4"/>
        <v>0</v>
      </c>
    </row>
    <row r="32" spans="2:38" x14ac:dyDescent="0.25">
      <c r="B32" t="s">
        <v>13</v>
      </c>
      <c r="C32" t="s">
        <v>10</v>
      </c>
      <c r="D32" t="s">
        <v>299</v>
      </c>
      <c r="E32" t="s">
        <v>301</v>
      </c>
      <c r="F32" t="s">
        <v>6</v>
      </c>
      <c r="G32" t="s">
        <v>179</v>
      </c>
      <c r="H32" t="s">
        <v>33</v>
      </c>
      <c r="I32" t="s">
        <v>34</v>
      </c>
      <c r="J32">
        <v>8760</v>
      </c>
      <c r="K32" s="5">
        <v>0.38096819999999998</v>
      </c>
      <c r="L32">
        <v>0.85</v>
      </c>
      <c r="M32" s="3">
        <f>6514.90571684157/1000</f>
        <v>6.5149057168415698</v>
      </c>
      <c r="N32" s="3">
        <f>13721.03129/1000</f>
        <v>13.721031290000001</v>
      </c>
      <c r="O32" s="1">
        <v>133.5230182</v>
      </c>
      <c r="P32">
        <v>40</v>
      </c>
      <c r="Q32" s="1">
        <v>6.6000000000000003E-2</v>
      </c>
      <c r="R32">
        <v>0.3</v>
      </c>
      <c r="S32">
        <v>0.3</v>
      </c>
      <c r="T32" s="108">
        <f>Capacity!B33*1000</f>
        <v>41729.904175000003</v>
      </c>
      <c r="U32" s="109">
        <v>0</v>
      </c>
      <c r="V32" s="109">
        <v>0</v>
      </c>
      <c r="W32" s="109">
        <v>0</v>
      </c>
      <c r="X32" s="1">
        <f>CarriersTech_characteristics!$G$2</f>
        <v>17.207187650000002</v>
      </c>
      <c r="Y32" s="1">
        <f>CarriersTech_characteristics!$H$28*1000</f>
        <v>1942097.6230000001</v>
      </c>
      <c r="Z32" s="7">
        <v>3</v>
      </c>
      <c r="AA32">
        <v>0.105</v>
      </c>
      <c r="AB32" s="133"/>
      <c r="AC32" s="1">
        <f>1/K32/(1-Q32)</f>
        <v>2.8103758044980376</v>
      </c>
      <c r="AD32" s="123"/>
      <c r="AE32" s="129">
        <f>Y32/(X32*Conversions!$D$2)</f>
        <v>0.40631575182871843</v>
      </c>
      <c r="AF32" s="103">
        <f>O32/CarriersTech_characteristics!$G$2/Conversions!$D$2*AC32</f>
        <v>7.8507860294473842E-5</v>
      </c>
      <c r="AG32">
        <f>Z32*Conversions!$D$4</f>
        <v>3.7167527444133723</v>
      </c>
      <c r="AH32" s="3">
        <f t="shared" si="0"/>
        <v>2.7981529724281975</v>
      </c>
      <c r="AI32">
        <f t="shared" si="1"/>
        <v>20</v>
      </c>
      <c r="AJ32">
        <f t="shared" si="2"/>
        <v>0.12149326526701618</v>
      </c>
      <c r="AK32" s="107">
        <f t="shared" si="3"/>
        <v>23.031342241715674</v>
      </c>
      <c r="AL32" s="1">
        <f t="shared" si="4"/>
        <v>41729.904175000003</v>
      </c>
    </row>
    <row r="33" spans="2:38" x14ac:dyDescent="0.25">
      <c r="B33" t="s">
        <v>14</v>
      </c>
      <c r="C33" t="s">
        <v>10</v>
      </c>
      <c r="D33" t="s">
        <v>299</v>
      </c>
      <c r="E33" t="s">
        <v>306</v>
      </c>
      <c r="F33" t="s">
        <v>6</v>
      </c>
      <c r="G33" t="s">
        <v>179</v>
      </c>
      <c r="H33" t="s">
        <v>35</v>
      </c>
      <c r="I33" t="s">
        <v>34</v>
      </c>
      <c r="J33">
        <v>8760</v>
      </c>
      <c r="K33" s="5">
        <v>0.40444272199999998</v>
      </c>
      <c r="L33">
        <v>0.85</v>
      </c>
      <c r="M33" s="3">
        <f>8512.22780274884/1000</f>
        <v>8.5122278027488392</v>
      </c>
      <c r="N33" s="3">
        <f>8512.227803/1000</f>
        <v>8.512227803</v>
      </c>
      <c r="O33" s="1">
        <v>0</v>
      </c>
      <c r="P33">
        <v>25</v>
      </c>
      <c r="Q33" s="1">
        <v>0.02</v>
      </c>
      <c r="R33">
        <v>0.9</v>
      </c>
      <c r="S33">
        <v>0.9</v>
      </c>
      <c r="T33" s="108">
        <f>Capacity!B34*1000</f>
        <v>770.80433300000004</v>
      </c>
      <c r="U33" s="109">
        <v>0</v>
      </c>
      <c r="V33" s="109">
        <v>0</v>
      </c>
      <c r="W33" s="109">
        <v>0</v>
      </c>
      <c r="X33" s="1">
        <f>CarriersTech_characteristics!$G$3</f>
        <v>37.681199999999997</v>
      </c>
      <c r="Y33" s="1">
        <f>CarriersTech_characteristics!$H$3*1000</f>
        <v>3025024.5490000001</v>
      </c>
      <c r="Z33">
        <v>2.9</v>
      </c>
      <c r="AA33">
        <v>0.105</v>
      </c>
      <c r="AC33" s="1">
        <f>1/K33/(1-Q33)</f>
        <v>2.5229979617863072</v>
      </c>
      <c r="AD33" s="123"/>
      <c r="AE33" s="129">
        <f>(Y33*Conversions!$D$3)/(X33*Conversions!$D$2)</f>
        <v>0.23958587284408495</v>
      </c>
      <c r="AF33">
        <v>0</v>
      </c>
      <c r="AG33">
        <f>Z33*Conversions!$D$4</f>
        <v>3.5928609862662602</v>
      </c>
      <c r="AH33" s="3">
        <f t="shared" si="0"/>
        <v>4.9193668164825795</v>
      </c>
      <c r="AI33">
        <f t="shared" si="1"/>
        <v>13</v>
      </c>
      <c r="AJ33">
        <f t="shared" si="2"/>
        <v>0.14444511726871467</v>
      </c>
      <c r="AK33" s="107">
        <f t="shared" si="3"/>
        <v>34.056996245369547</v>
      </c>
      <c r="AL33" s="1">
        <f t="shared" si="4"/>
        <v>770.80433300000004</v>
      </c>
    </row>
    <row r="34" spans="2:38" x14ac:dyDescent="0.25">
      <c r="B34" t="s">
        <v>16</v>
      </c>
      <c r="C34" t="s">
        <v>10</v>
      </c>
      <c r="D34" t="s">
        <v>299</v>
      </c>
      <c r="F34" t="s">
        <v>6</v>
      </c>
      <c r="G34" t="s">
        <v>179</v>
      </c>
      <c r="H34" t="s">
        <v>35</v>
      </c>
      <c r="I34" t="s">
        <v>34</v>
      </c>
      <c r="J34">
        <v>8760</v>
      </c>
      <c r="K34" s="5">
        <v>0.28070162799999998</v>
      </c>
      <c r="L34">
        <v>0.85</v>
      </c>
      <c r="M34" s="3">
        <f>6679.75064927145/1000</f>
        <v>6.6797506492714502</v>
      </c>
      <c r="N34" s="3">
        <f>6679.750649/1000</f>
        <v>6.6797506489999998</v>
      </c>
      <c r="O34" s="1">
        <v>0</v>
      </c>
      <c r="P34">
        <v>25</v>
      </c>
      <c r="Q34" s="1">
        <v>0.01</v>
      </c>
      <c r="R34">
        <v>1</v>
      </c>
      <c r="S34">
        <v>1</v>
      </c>
      <c r="T34" s="108">
        <f>Capacity!B35*1000</f>
        <v>0</v>
      </c>
      <c r="U34" s="109">
        <v>0</v>
      </c>
      <c r="V34" s="109">
        <v>0</v>
      </c>
      <c r="W34" s="109">
        <v>0</v>
      </c>
      <c r="X34" s="1">
        <f>CarriersTech_characteristics!$G$3</f>
        <v>37.681199999999997</v>
      </c>
      <c r="Y34" s="1">
        <f>CarriersTech_characteristics!$H$3*1000</f>
        <v>3025024.5490000001</v>
      </c>
      <c r="Z34">
        <v>0.7</v>
      </c>
      <c r="AA34">
        <v>0.105</v>
      </c>
      <c r="AC34" s="1">
        <f>1/K34/(1-Q34)</f>
        <v>3.5984864687033813</v>
      </c>
      <c r="AD34" s="123"/>
      <c r="AE34" s="129">
        <f>(Y34*Conversions!$D$3)/(X34*Conversions!$D$2)</f>
        <v>0.23958587284408495</v>
      </c>
      <c r="AF34">
        <v>0</v>
      </c>
      <c r="AG34">
        <f>Z34*Conversions!$D$4</f>
        <v>0.86724230702978689</v>
      </c>
      <c r="AH34" s="3">
        <f t="shared" si="0"/>
        <v>5.8125083422416637</v>
      </c>
      <c r="AI34">
        <f t="shared" si="1"/>
        <v>13</v>
      </c>
      <c r="AJ34">
        <f t="shared" si="2"/>
        <v>0.14444511726871467</v>
      </c>
      <c r="AK34" s="107">
        <f t="shared" si="3"/>
        <v>40.240254929687353</v>
      </c>
      <c r="AL34" s="1">
        <f t="shared" si="4"/>
        <v>0</v>
      </c>
    </row>
    <row r="35" spans="2:38" x14ac:dyDescent="0.25">
      <c r="B35" t="s">
        <v>17</v>
      </c>
      <c r="C35" t="s">
        <v>10</v>
      </c>
      <c r="D35" t="s">
        <v>299</v>
      </c>
      <c r="E35" t="s">
        <v>307</v>
      </c>
      <c r="F35" t="s">
        <v>6</v>
      </c>
      <c r="G35" t="s">
        <v>179</v>
      </c>
      <c r="H35" t="s">
        <v>36</v>
      </c>
      <c r="I35" t="s">
        <v>34</v>
      </c>
      <c r="J35">
        <v>8760</v>
      </c>
      <c r="K35" s="5">
        <v>1</v>
      </c>
      <c r="L35">
        <v>0.70916666699999997</v>
      </c>
      <c r="M35" s="3">
        <f>20833.2103478327/1000</f>
        <v>20.833210347832701</v>
      </c>
      <c r="N35" s="3">
        <f>20833.21035/1000</f>
        <v>20.833210350000002</v>
      </c>
      <c r="O35" s="1">
        <v>0</v>
      </c>
      <c r="P35">
        <v>40</v>
      </c>
      <c r="Q35" s="1">
        <v>0.10780000000000001</v>
      </c>
      <c r="R35">
        <v>0.01</v>
      </c>
      <c r="S35">
        <v>0.01</v>
      </c>
      <c r="T35" s="108">
        <f>Capacity!B36*1000</f>
        <v>0</v>
      </c>
      <c r="U35" s="109">
        <v>0</v>
      </c>
      <c r="V35" s="109">
        <v>0</v>
      </c>
      <c r="W35" s="109">
        <v>0</v>
      </c>
      <c r="X35" s="125"/>
      <c r="Y35" s="125"/>
      <c r="Z35">
        <v>4.3</v>
      </c>
      <c r="AA35">
        <v>0.105</v>
      </c>
      <c r="AC35" s="1">
        <f>1/K35/(1-Q35)</f>
        <v>1.1208249271463797</v>
      </c>
      <c r="AD35" s="123"/>
      <c r="AE35" s="124"/>
      <c r="AF35">
        <v>0</v>
      </c>
      <c r="AG35">
        <f>Z35*Conversions!$D$4</f>
        <v>5.3273456003258337</v>
      </c>
      <c r="AH35" s="3">
        <f t="shared" si="0"/>
        <v>15.505864747506866</v>
      </c>
      <c r="AI35">
        <f t="shared" si="1"/>
        <v>20</v>
      </c>
      <c r="AJ35">
        <f t="shared" si="2"/>
        <v>0.12149326526701618</v>
      </c>
      <c r="AK35" s="107">
        <f t="shared" si="3"/>
        <v>127.6273603596734</v>
      </c>
      <c r="AL35" s="1">
        <f t="shared" si="4"/>
        <v>0</v>
      </c>
    </row>
    <row r="36" spans="2:38" x14ac:dyDescent="0.25">
      <c r="B36" t="s">
        <v>22</v>
      </c>
      <c r="C36" t="s">
        <v>10</v>
      </c>
      <c r="D36" t="s">
        <v>299</v>
      </c>
      <c r="F36" t="s">
        <v>6</v>
      </c>
      <c r="G36" t="s">
        <v>179</v>
      </c>
      <c r="H36" t="s">
        <v>36</v>
      </c>
      <c r="I36" t="s">
        <v>34</v>
      </c>
      <c r="J36">
        <v>8760</v>
      </c>
      <c r="K36" s="5">
        <v>1</v>
      </c>
      <c r="L36">
        <v>0.70916666699999997</v>
      </c>
      <c r="M36" s="105">
        <f>N36</f>
        <v>35.289429389999995</v>
      </c>
      <c r="N36" s="3">
        <f>35289.42939/1000</f>
        <v>35.289429389999995</v>
      </c>
      <c r="O36" s="1">
        <v>0</v>
      </c>
      <c r="P36">
        <v>30</v>
      </c>
      <c r="Q36" s="1">
        <v>0.05</v>
      </c>
      <c r="R36">
        <v>0.01</v>
      </c>
      <c r="S36">
        <v>0.01</v>
      </c>
      <c r="T36" s="108">
        <f>Capacity!B37*1000</f>
        <v>0</v>
      </c>
      <c r="U36" s="109">
        <v>0</v>
      </c>
      <c r="V36" s="109">
        <v>0</v>
      </c>
      <c r="W36" s="109">
        <v>0</v>
      </c>
      <c r="X36" s="125"/>
      <c r="Y36" s="125"/>
      <c r="Z36">
        <v>5</v>
      </c>
      <c r="AA36">
        <v>0.105</v>
      </c>
      <c r="AC36" s="1">
        <f>1/K36/(1-Q36)</f>
        <v>1.0526315789473684</v>
      </c>
      <c r="AD36" s="123"/>
      <c r="AE36" s="124"/>
      <c r="AF36">
        <v>0</v>
      </c>
      <c r="AG36">
        <f>Z36*Conversions!$D$4</f>
        <v>6.1945879073556211</v>
      </c>
      <c r="AH36" s="3">
        <f t="shared" si="0"/>
        <v>29.094841482644373</v>
      </c>
      <c r="AI36">
        <f t="shared" si="1"/>
        <v>15</v>
      </c>
      <c r="AJ36">
        <f t="shared" si="2"/>
        <v>0.13524800152154118</v>
      </c>
      <c r="AK36" s="107">
        <f t="shared" si="3"/>
        <v>215.12215452596087</v>
      </c>
      <c r="AL36" s="1">
        <f t="shared" si="4"/>
        <v>0</v>
      </c>
    </row>
    <row r="37" spans="2:38" x14ac:dyDescent="0.25">
      <c r="B37" t="s">
        <v>15</v>
      </c>
      <c r="C37" t="s">
        <v>10</v>
      </c>
      <c r="D37" t="s">
        <v>303</v>
      </c>
      <c r="E37" t="s">
        <v>304</v>
      </c>
      <c r="F37" t="s">
        <v>6</v>
      </c>
      <c r="G37" t="s">
        <v>179</v>
      </c>
      <c r="H37" t="s">
        <v>37</v>
      </c>
      <c r="I37" t="s">
        <v>34</v>
      </c>
      <c r="J37">
        <v>8760</v>
      </c>
      <c r="K37" s="5">
        <v>1</v>
      </c>
      <c r="L37">
        <v>1</v>
      </c>
      <c r="M37" s="3">
        <f>19631.8145207228/1000</f>
        <v>19.631814520722802</v>
      </c>
      <c r="N37" s="3">
        <f>19631.81452/1000</f>
        <v>19.631814519999999</v>
      </c>
      <c r="O37" s="1">
        <v>0</v>
      </c>
      <c r="P37">
        <v>40</v>
      </c>
      <c r="Q37" s="1">
        <v>6.0000000000000001E-3</v>
      </c>
      <c r="R37">
        <v>1</v>
      </c>
      <c r="S37">
        <v>1</v>
      </c>
      <c r="T37" s="108">
        <f>Capacity!B38*1000</f>
        <v>4198.8602859999992</v>
      </c>
      <c r="U37" s="109">
        <v>0</v>
      </c>
      <c r="V37" s="109">
        <v>0</v>
      </c>
      <c r="W37" s="109">
        <v>0</v>
      </c>
      <c r="X37" s="123"/>
      <c r="Y37" s="126"/>
      <c r="Z37">
        <v>4.4000000000000004</v>
      </c>
      <c r="AA37">
        <v>0.105</v>
      </c>
      <c r="AC37" s="122"/>
      <c r="AD37" s="1">
        <f>K37-Q37</f>
        <v>0.99399999999999999</v>
      </c>
      <c r="AE37" s="122"/>
      <c r="AF37">
        <v>0</v>
      </c>
      <c r="AG37">
        <f>Z37*Conversions!$D$4</f>
        <v>5.4512373584729472</v>
      </c>
      <c r="AH37" s="3">
        <f t="shared" si="0"/>
        <v>14.180577162249854</v>
      </c>
      <c r="AI37">
        <f t="shared" si="1"/>
        <v>20</v>
      </c>
      <c r="AJ37">
        <f t="shared" si="2"/>
        <v>0.12149326526701618</v>
      </c>
      <c r="AK37" s="107">
        <f t="shared" si="3"/>
        <v>116.7190389614106</v>
      </c>
      <c r="AL37" s="1">
        <f t="shared" si="4"/>
        <v>4198.8602859999992</v>
      </c>
    </row>
    <row r="38" spans="2:38" x14ac:dyDescent="0.25">
      <c r="B38" t="s">
        <v>18</v>
      </c>
      <c r="C38" t="s">
        <v>10</v>
      </c>
      <c r="D38" t="s">
        <v>303</v>
      </c>
      <c r="E38" t="s">
        <v>305</v>
      </c>
      <c r="F38" t="s">
        <v>6</v>
      </c>
      <c r="G38" t="s">
        <v>179</v>
      </c>
      <c r="H38" t="s">
        <v>37</v>
      </c>
      <c r="I38" t="s">
        <v>34</v>
      </c>
      <c r="J38">
        <v>8760</v>
      </c>
      <c r="K38" s="5">
        <v>1</v>
      </c>
      <c r="L38">
        <v>1</v>
      </c>
      <c r="M38" s="3">
        <f>11825.3487554956/1000</f>
        <v>11.825348755495598</v>
      </c>
      <c r="N38" s="3">
        <f>11825.34876/1000</f>
        <v>11.825348760000001</v>
      </c>
      <c r="O38" s="1">
        <v>0</v>
      </c>
      <c r="P38">
        <v>35</v>
      </c>
      <c r="Q38" s="1">
        <v>0.01</v>
      </c>
      <c r="R38">
        <v>1</v>
      </c>
      <c r="S38">
        <v>1</v>
      </c>
      <c r="T38" s="108">
        <f>Capacity!B39*1000</f>
        <v>343.99</v>
      </c>
      <c r="U38" s="109">
        <v>0</v>
      </c>
      <c r="V38" s="109">
        <v>0</v>
      </c>
      <c r="W38" s="109">
        <v>0</v>
      </c>
      <c r="X38" s="123"/>
      <c r="Y38" s="126"/>
      <c r="Z38">
        <f>2.4</f>
        <v>2.4</v>
      </c>
      <c r="AA38">
        <v>8.3500000000000005E-2</v>
      </c>
      <c r="AC38" s="122"/>
      <c r="AD38" s="1">
        <f>K38-Q38</f>
        <v>0.99</v>
      </c>
      <c r="AE38" s="122"/>
      <c r="AF38">
        <v>0</v>
      </c>
      <c r="AG38">
        <f>Z38*Conversions!$D$4</f>
        <v>2.973402195530698</v>
      </c>
      <c r="AH38" s="3">
        <f t="shared" si="0"/>
        <v>8.851946559964901</v>
      </c>
      <c r="AI38">
        <f t="shared" si="1"/>
        <v>18</v>
      </c>
      <c r="AJ38">
        <f t="shared" si="2"/>
        <v>0.1093062199026277</v>
      </c>
      <c r="AK38" s="107">
        <f t="shared" si="3"/>
        <v>80.983008724026888</v>
      </c>
      <c r="AL38" s="1">
        <f t="shared" si="4"/>
        <v>343.99</v>
      </c>
    </row>
    <row r="39" spans="2:38" x14ac:dyDescent="0.25">
      <c r="B39" t="s">
        <v>7</v>
      </c>
      <c r="C39" t="s">
        <v>10</v>
      </c>
      <c r="D39" t="s">
        <v>299</v>
      </c>
      <c r="E39" t="s">
        <v>302</v>
      </c>
      <c r="F39" t="s">
        <v>6</v>
      </c>
      <c r="G39" t="s">
        <v>179</v>
      </c>
      <c r="H39" t="s">
        <v>38</v>
      </c>
      <c r="I39" t="s">
        <v>34</v>
      </c>
      <c r="J39">
        <v>8760</v>
      </c>
      <c r="K39" s="5">
        <v>0.238845897</v>
      </c>
      <c r="L39">
        <v>1</v>
      </c>
      <c r="M39" s="3">
        <f>7713.45723965334/1000</f>
        <v>7.7134572396533407</v>
      </c>
      <c r="N39" s="3">
        <f>7713.45724/1000</f>
        <v>7.7134572399999994</v>
      </c>
      <c r="O39" s="1">
        <v>0</v>
      </c>
      <c r="P39">
        <v>20</v>
      </c>
      <c r="Q39" s="1">
        <v>0.1</v>
      </c>
      <c r="R39">
        <v>0.06</v>
      </c>
      <c r="S39">
        <v>0.06</v>
      </c>
      <c r="T39" s="108">
        <f>Capacity!B40*1000</f>
        <v>560.64</v>
      </c>
      <c r="U39" s="109">
        <v>0</v>
      </c>
      <c r="V39" s="109">
        <v>0</v>
      </c>
      <c r="W39" s="109">
        <v>0</v>
      </c>
      <c r="X39" s="1">
        <f>CarriersTech_characteristics!$G$7</f>
        <v>13.648968</v>
      </c>
      <c r="Y39" s="1">
        <f>CarriersTech_characteristics!$H$5*1000</f>
        <v>1656436.6880000001</v>
      </c>
      <c r="Z39" s="104">
        <v>1</v>
      </c>
      <c r="AA39">
        <v>8.3500000000000005E-2</v>
      </c>
      <c r="AC39" s="1">
        <f>1/K39/(1-Q39)</f>
        <v>4.6519999927447406</v>
      </c>
      <c r="AD39" s="123"/>
      <c r="AE39" s="128">
        <f>Y39/(X39*Conversions!$D$2)</f>
        <v>0.43689545093040172</v>
      </c>
      <c r="AF39">
        <v>0</v>
      </c>
      <c r="AG39">
        <f>Z39*Conversions!$D$4</f>
        <v>1.2389175814711242</v>
      </c>
      <c r="AH39" s="3">
        <f t="shared" si="0"/>
        <v>6.4745396581822163</v>
      </c>
      <c r="AI39">
        <f t="shared" si="1"/>
        <v>10</v>
      </c>
      <c r="AJ39">
        <f t="shared" si="2"/>
        <v>0.15139063026119925</v>
      </c>
      <c r="AK39" s="107">
        <f t="shared" si="3"/>
        <v>42.767109477062611</v>
      </c>
      <c r="AL39" s="1">
        <f t="shared" si="4"/>
        <v>560.64</v>
      </c>
    </row>
    <row r="40" spans="2:38" x14ac:dyDescent="0.25">
      <c r="B40" t="s">
        <v>19</v>
      </c>
      <c r="C40" t="s">
        <v>10</v>
      </c>
      <c r="D40" t="s">
        <v>311</v>
      </c>
      <c r="E40" t="s">
        <v>308</v>
      </c>
      <c r="F40" t="s">
        <v>6</v>
      </c>
      <c r="G40" t="s">
        <v>179</v>
      </c>
      <c r="H40" t="s">
        <v>39</v>
      </c>
      <c r="I40" t="s">
        <v>34</v>
      </c>
      <c r="J40">
        <v>8760</v>
      </c>
      <c r="K40" s="5">
        <v>1</v>
      </c>
      <c r="L40">
        <v>1</v>
      </c>
      <c r="M40" s="3">
        <f>5630.98419436319/1000</f>
        <v>5.6309841943631902</v>
      </c>
      <c r="N40" s="3">
        <f>5439.705856/1000</f>
        <v>5.4397058559999998</v>
      </c>
      <c r="O40" s="1">
        <v>0</v>
      </c>
      <c r="P40">
        <v>25</v>
      </c>
      <c r="Q40" s="1">
        <v>0.01</v>
      </c>
      <c r="R40">
        <v>1</v>
      </c>
      <c r="S40">
        <v>1</v>
      </c>
      <c r="T40" s="108">
        <f>Capacity!B41*1000</f>
        <v>847.7259029999999</v>
      </c>
      <c r="U40" s="109">
        <v>0</v>
      </c>
      <c r="V40" s="109">
        <v>0</v>
      </c>
      <c r="W40" s="109">
        <v>0</v>
      </c>
      <c r="X40" s="123"/>
      <c r="Y40" s="127" t="s">
        <v>323</v>
      </c>
      <c r="Z40">
        <v>0.35</v>
      </c>
      <c r="AA40">
        <v>0.105</v>
      </c>
      <c r="AC40" s="123">
        <v>1</v>
      </c>
      <c r="AD40" s="123"/>
      <c r="AE40" s="122"/>
      <c r="AF40">
        <v>0</v>
      </c>
      <c r="AG40">
        <f>Z40*Conversions!$D$4</f>
        <v>0.43362115351489344</v>
      </c>
      <c r="AH40" s="3">
        <f t="shared" ref="AH40:AH67" si="5">M40-AG40</f>
        <v>5.1973630408482965</v>
      </c>
      <c r="AI40">
        <f t="shared" ref="AI40:AI67" si="6">ROUND(P40/2,0)</f>
        <v>13</v>
      </c>
      <c r="AJ40">
        <f t="shared" ref="AJ40:AJ67" si="7">AA40/(1-(1+AA40)^-AI40)</f>
        <v>0.14444511726871467</v>
      </c>
      <c r="AK40" s="107">
        <f t="shared" ref="AK40:AK67" si="8">AH40/AJ40</f>
        <v>35.98157652625612</v>
      </c>
      <c r="AL40" s="1">
        <f t="shared" si="4"/>
        <v>847.7259029999999</v>
      </c>
    </row>
    <row r="41" spans="2:38" x14ac:dyDescent="0.25">
      <c r="B41" t="s">
        <v>20</v>
      </c>
      <c r="C41" t="s">
        <v>10</v>
      </c>
      <c r="D41" t="s">
        <v>311</v>
      </c>
      <c r="E41" t="s">
        <v>309</v>
      </c>
      <c r="F41" t="s">
        <v>6</v>
      </c>
      <c r="G41" t="s">
        <v>179</v>
      </c>
      <c r="H41" t="s">
        <v>39</v>
      </c>
      <c r="I41" t="s">
        <v>34</v>
      </c>
      <c r="J41">
        <v>8760</v>
      </c>
      <c r="K41" s="5">
        <v>1</v>
      </c>
      <c r="L41">
        <v>1</v>
      </c>
      <c r="M41" s="3">
        <f>5542.18769541597/1000</f>
        <v>5.5421876954159695</v>
      </c>
      <c r="N41" s="3">
        <f>5362.133837/1000</f>
        <v>5.362133837</v>
      </c>
      <c r="O41" s="1">
        <v>0</v>
      </c>
      <c r="P41">
        <v>25</v>
      </c>
      <c r="Q41" s="1">
        <v>6.0000000000000001E-3</v>
      </c>
      <c r="R41">
        <v>1</v>
      </c>
      <c r="S41">
        <v>1</v>
      </c>
      <c r="T41" s="108">
        <f>Capacity!B42*1000</f>
        <v>200.08409700000001</v>
      </c>
      <c r="U41" s="109">
        <v>0</v>
      </c>
      <c r="V41" s="109">
        <v>0</v>
      </c>
      <c r="W41" s="109">
        <v>0</v>
      </c>
      <c r="X41" s="123"/>
      <c r="Y41" s="123"/>
      <c r="Z41">
        <v>0.51</v>
      </c>
      <c r="AA41">
        <v>0.104</v>
      </c>
      <c r="AC41" s="123">
        <v>1</v>
      </c>
      <c r="AD41" s="123"/>
      <c r="AE41" s="122"/>
      <c r="AF41">
        <v>0</v>
      </c>
      <c r="AG41">
        <f>Z41*Conversions!$D$4</f>
        <v>0.63184796655027331</v>
      </c>
      <c r="AH41" s="3">
        <f t="shared" si="5"/>
        <v>4.9103397288656963</v>
      </c>
      <c r="AI41">
        <f t="shared" si="6"/>
        <v>13</v>
      </c>
      <c r="AJ41">
        <f t="shared" si="7"/>
        <v>0.1437086289255039</v>
      </c>
      <c r="AK41" s="107">
        <f t="shared" si="8"/>
        <v>34.16871878592017</v>
      </c>
      <c r="AL41" s="1">
        <f t="shared" si="4"/>
        <v>200.08409700000001</v>
      </c>
    </row>
    <row r="42" spans="2:38" x14ac:dyDescent="0.25">
      <c r="B42" t="s">
        <v>21</v>
      </c>
      <c r="C42" t="s">
        <v>10</v>
      </c>
      <c r="D42" t="s">
        <v>311</v>
      </c>
      <c r="E42" t="s">
        <v>310</v>
      </c>
      <c r="F42" t="s">
        <v>6</v>
      </c>
      <c r="G42" t="s">
        <v>179</v>
      </c>
      <c r="H42" t="s">
        <v>40</v>
      </c>
      <c r="I42" t="s">
        <v>34</v>
      </c>
      <c r="J42">
        <v>8760</v>
      </c>
      <c r="K42" s="5">
        <v>1</v>
      </c>
      <c r="L42">
        <v>1</v>
      </c>
      <c r="M42" s="3">
        <f>10659.4302732183/1000</f>
        <v>10.6594302732183</v>
      </c>
      <c r="N42" s="3">
        <f>10586.96446/1000</f>
        <v>10.586964459999999</v>
      </c>
      <c r="O42" s="1">
        <v>0</v>
      </c>
      <c r="P42">
        <v>25</v>
      </c>
      <c r="Q42" s="1">
        <v>5.0000000000000001E-3</v>
      </c>
      <c r="R42">
        <v>1</v>
      </c>
      <c r="S42">
        <v>1</v>
      </c>
      <c r="T42" s="108">
        <f>Capacity!B43*1000</f>
        <v>46</v>
      </c>
      <c r="U42" s="109">
        <v>0</v>
      </c>
      <c r="V42" s="109">
        <v>0</v>
      </c>
      <c r="W42" s="109">
        <v>0</v>
      </c>
      <c r="X42" s="123"/>
      <c r="Y42" s="123"/>
      <c r="Z42">
        <v>0.68</v>
      </c>
      <c r="AA42">
        <v>0.105</v>
      </c>
      <c r="AC42" s="123">
        <v>1</v>
      </c>
      <c r="AD42" s="123"/>
      <c r="AE42" s="122"/>
      <c r="AF42">
        <v>0</v>
      </c>
      <c r="AG42">
        <f>Z42*Conversions!$D$4</f>
        <v>0.84246395540036456</v>
      </c>
      <c r="AH42" s="3">
        <f t="shared" si="5"/>
        <v>9.8169663178179363</v>
      </c>
      <c r="AI42">
        <f t="shared" si="6"/>
        <v>13</v>
      </c>
      <c r="AJ42">
        <f t="shared" si="7"/>
        <v>0.14444511726871467</v>
      </c>
      <c r="AK42" s="107">
        <f t="shared" si="8"/>
        <v>67.963296395510568</v>
      </c>
      <c r="AL42" s="1">
        <f t="shared" si="4"/>
        <v>46</v>
      </c>
    </row>
    <row r="43" spans="2:38" s="116" customFormat="1" x14ac:dyDescent="0.25">
      <c r="B43" s="116" t="s">
        <v>23</v>
      </c>
      <c r="C43" s="116" t="s">
        <v>10</v>
      </c>
      <c r="D43" s="116" t="s">
        <v>311</v>
      </c>
      <c r="F43" s="116" t="s">
        <v>6</v>
      </c>
      <c r="G43" s="116" t="s">
        <v>179</v>
      </c>
      <c r="H43" s="116" t="s">
        <v>40</v>
      </c>
      <c r="I43" s="116" t="s">
        <v>34</v>
      </c>
      <c r="J43" s="116">
        <v>8760</v>
      </c>
      <c r="K43" s="136">
        <v>1</v>
      </c>
      <c r="L43" s="116">
        <v>1</v>
      </c>
      <c r="M43" s="137">
        <f>N43</f>
        <v>34.540361669999996</v>
      </c>
      <c r="N43" s="138">
        <f>34540.36167/1000</f>
        <v>34.540361669999996</v>
      </c>
      <c r="O43" s="139">
        <v>0</v>
      </c>
      <c r="P43" s="116">
        <v>25</v>
      </c>
      <c r="Q43" s="139">
        <v>5.0000000000000001E-3</v>
      </c>
      <c r="R43" s="116">
        <v>1</v>
      </c>
      <c r="S43" s="116">
        <v>1</v>
      </c>
      <c r="T43" s="140">
        <f>Capacity!B44*1000</f>
        <v>0</v>
      </c>
      <c r="U43" s="141">
        <v>0</v>
      </c>
      <c r="V43" s="141">
        <v>0</v>
      </c>
      <c r="W43" s="141">
        <v>0</v>
      </c>
      <c r="X43" s="142"/>
      <c r="Y43" s="142"/>
      <c r="Z43" s="116">
        <v>6.7</v>
      </c>
      <c r="AA43" s="116">
        <v>0.112</v>
      </c>
      <c r="AB43" s="143"/>
      <c r="AC43" s="142">
        <v>1</v>
      </c>
      <c r="AD43" s="142"/>
      <c r="AE43" s="144"/>
      <c r="AF43" s="116">
        <v>0</v>
      </c>
      <c r="AG43" s="116">
        <f>Z43*Conversions!$D$4</f>
        <v>8.3007477958565321</v>
      </c>
      <c r="AH43" s="138">
        <f t="shared" si="5"/>
        <v>26.239613874143465</v>
      </c>
      <c r="AI43" s="116">
        <f t="shared" si="6"/>
        <v>13</v>
      </c>
      <c r="AJ43" s="116">
        <f t="shared" si="7"/>
        <v>0.14964415165301803</v>
      </c>
      <c r="AK43" s="145">
        <f t="shared" si="8"/>
        <v>175.34673814039604</v>
      </c>
      <c r="AL43" s="139">
        <f t="shared" si="4"/>
        <v>0</v>
      </c>
    </row>
    <row r="44" spans="2:38" x14ac:dyDescent="0.25">
      <c r="B44" t="s">
        <v>13</v>
      </c>
      <c r="C44" t="s">
        <v>11</v>
      </c>
      <c r="D44" t="s">
        <v>299</v>
      </c>
      <c r="E44" t="s">
        <v>301</v>
      </c>
      <c r="F44" t="s">
        <v>6</v>
      </c>
      <c r="G44" t="s">
        <v>179</v>
      </c>
      <c r="H44" t="s">
        <v>33</v>
      </c>
      <c r="I44" t="s">
        <v>34</v>
      </c>
      <c r="J44">
        <v>8760</v>
      </c>
      <c r="K44" s="5">
        <v>0.38096819999999998</v>
      </c>
      <c r="L44">
        <v>0.85</v>
      </c>
      <c r="M44" s="3">
        <f>5794.65159561365/1000</f>
        <v>5.79465159561365</v>
      </c>
      <c r="N44" s="3">
        <f>13721.03129/1000</f>
        <v>13.721031290000001</v>
      </c>
      <c r="O44" s="1">
        <v>133.5230182</v>
      </c>
      <c r="P44">
        <v>40</v>
      </c>
      <c r="Q44" s="1">
        <v>6.6000000000000003E-2</v>
      </c>
      <c r="R44">
        <v>0.3</v>
      </c>
      <c r="S44">
        <v>0.3</v>
      </c>
      <c r="T44" s="108">
        <f>Capacity!B47*1000</f>
        <v>90475.826298999993</v>
      </c>
      <c r="U44" s="109">
        <v>0</v>
      </c>
      <c r="V44" s="109">
        <v>0</v>
      </c>
      <c r="W44" s="109">
        <v>0</v>
      </c>
      <c r="X44" s="1">
        <f>CarriersTech_characteristics!$G$2</f>
        <v>17.207187650000002</v>
      </c>
      <c r="Y44" s="1">
        <f>CarriersTech_characteristics!$H$28*1000</f>
        <v>1942097.6230000001</v>
      </c>
      <c r="Z44" s="7">
        <v>3</v>
      </c>
      <c r="AA44">
        <v>0.105</v>
      </c>
      <c r="AB44" s="133"/>
      <c r="AC44" s="1">
        <f>1/K44/(1-Q44)</f>
        <v>2.8103758044980376</v>
      </c>
      <c r="AD44" s="123"/>
      <c r="AE44" s="129">
        <f>Y44/(X44*Conversions!$D$2)</f>
        <v>0.40631575182871843</v>
      </c>
      <c r="AF44" s="103">
        <f>O44/CarriersTech_characteristics!$G$2/Conversions!$D$2*AC44</f>
        <v>7.8507860294473842E-5</v>
      </c>
      <c r="AG44">
        <f>Z44*Conversions!$D$4</f>
        <v>3.7167527444133723</v>
      </c>
      <c r="AH44" s="3">
        <f t="shared" si="5"/>
        <v>2.0778988512002776</v>
      </c>
      <c r="AI44">
        <f t="shared" si="6"/>
        <v>20</v>
      </c>
      <c r="AJ44">
        <f t="shared" si="7"/>
        <v>0.12149326526701618</v>
      </c>
      <c r="AK44" s="107">
        <f t="shared" si="8"/>
        <v>17.102996175413519</v>
      </c>
      <c r="AL44" s="1">
        <f t="shared" si="4"/>
        <v>90475.826298999993</v>
      </c>
    </row>
    <row r="45" spans="2:38" x14ac:dyDescent="0.25">
      <c r="B45" t="s">
        <v>14</v>
      </c>
      <c r="C45" t="s">
        <v>11</v>
      </c>
      <c r="D45" t="s">
        <v>299</v>
      </c>
      <c r="E45" t="s">
        <v>306</v>
      </c>
      <c r="F45" t="s">
        <v>6</v>
      </c>
      <c r="G45" t="s">
        <v>179</v>
      </c>
      <c r="H45" t="s">
        <v>35</v>
      </c>
      <c r="I45" t="s">
        <v>34</v>
      </c>
      <c r="J45">
        <v>8760</v>
      </c>
      <c r="K45" s="5">
        <v>0.40444272199999998</v>
      </c>
      <c r="L45">
        <v>0.85</v>
      </c>
      <c r="M45" s="3">
        <f>8512.22780274884/1000</f>
        <v>8.5122278027488392</v>
      </c>
      <c r="N45" s="3">
        <f>8512.227803/1000</f>
        <v>8.512227803</v>
      </c>
      <c r="O45" s="1">
        <v>0</v>
      </c>
      <c r="P45">
        <v>25</v>
      </c>
      <c r="Q45" s="1">
        <v>0.02</v>
      </c>
      <c r="R45">
        <v>0.9</v>
      </c>
      <c r="S45">
        <v>0.9</v>
      </c>
      <c r="T45" s="108">
        <f>Capacity!B48*1000</f>
        <v>13563.174911999999</v>
      </c>
      <c r="U45" s="109">
        <v>0</v>
      </c>
      <c r="V45" s="109">
        <v>0</v>
      </c>
      <c r="W45" s="109">
        <v>0</v>
      </c>
      <c r="X45" s="1">
        <f>CarriersTech_characteristics!$G$3</f>
        <v>37.681199999999997</v>
      </c>
      <c r="Y45" s="1">
        <f>CarriersTech_characteristics!$H$3*1000</f>
        <v>3025024.5490000001</v>
      </c>
      <c r="Z45">
        <v>2.9</v>
      </c>
      <c r="AA45">
        <v>0.105</v>
      </c>
      <c r="AC45" s="1">
        <f>1/K45/(1-Q45)</f>
        <v>2.5229979617863072</v>
      </c>
      <c r="AD45" s="123"/>
      <c r="AE45" s="129">
        <f>(Y45*Conversions!$D$3)/(X45*Conversions!$D$2)</f>
        <v>0.23958587284408495</v>
      </c>
      <c r="AF45">
        <v>0</v>
      </c>
      <c r="AG45">
        <f>Z45*Conversions!$D$4</f>
        <v>3.5928609862662602</v>
      </c>
      <c r="AH45" s="3">
        <f t="shared" si="5"/>
        <v>4.9193668164825795</v>
      </c>
      <c r="AI45">
        <f t="shared" si="6"/>
        <v>13</v>
      </c>
      <c r="AJ45">
        <f t="shared" si="7"/>
        <v>0.14444511726871467</v>
      </c>
      <c r="AK45" s="107">
        <f t="shared" si="8"/>
        <v>34.056996245369547</v>
      </c>
      <c r="AL45" s="1">
        <f t="shared" si="4"/>
        <v>13563.174911999999</v>
      </c>
    </row>
    <row r="46" spans="2:38" x14ac:dyDescent="0.25">
      <c r="B46" t="s">
        <v>16</v>
      </c>
      <c r="C46" t="s">
        <v>11</v>
      </c>
      <c r="D46" t="s">
        <v>299</v>
      </c>
      <c r="F46" t="s">
        <v>6</v>
      </c>
      <c r="G46" t="s">
        <v>179</v>
      </c>
      <c r="H46" t="s">
        <v>35</v>
      </c>
      <c r="I46" t="s">
        <v>34</v>
      </c>
      <c r="J46">
        <v>8760</v>
      </c>
      <c r="K46" s="5">
        <v>0.28070162799999998</v>
      </c>
      <c r="L46">
        <v>0.85</v>
      </c>
      <c r="M46" s="3">
        <f>6679.75064927145/1000</f>
        <v>6.6797506492714502</v>
      </c>
      <c r="N46" s="3">
        <f>6679.750649/1000</f>
        <v>6.6797506489999998</v>
      </c>
      <c r="O46" s="1">
        <v>0</v>
      </c>
      <c r="P46">
        <v>25</v>
      </c>
      <c r="Q46" s="1">
        <v>0.01</v>
      </c>
      <c r="R46">
        <v>1</v>
      </c>
      <c r="S46">
        <v>1</v>
      </c>
      <c r="T46" s="108">
        <f>Capacity!B49*1000</f>
        <v>0</v>
      </c>
      <c r="U46" s="109">
        <v>0</v>
      </c>
      <c r="V46" s="109">
        <v>0</v>
      </c>
      <c r="W46" s="109">
        <v>0</v>
      </c>
      <c r="X46" s="1">
        <f>CarriersTech_characteristics!$G$3</f>
        <v>37.681199999999997</v>
      </c>
      <c r="Y46" s="1">
        <f>CarriersTech_characteristics!$H$3*1000</f>
        <v>3025024.5490000001</v>
      </c>
      <c r="Z46">
        <v>0.7</v>
      </c>
      <c r="AA46">
        <v>0.105</v>
      </c>
      <c r="AC46" s="1">
        <f>1/K46/(1-Q46)</f>
        <v>3.5984864687033813</v>
      </c>
      <c r="AD46" s="123"/>
      <c r="AE46" s="129">
        <f>(Y46*Conversions!$D$3)/(X46*Conversions!$D$2)</f>
        <v>0.23958587284408495</v>
      </c>
      <c r="AF46">
        <v>0</v>
      </c>
      <c r="AG46">
        <f>Z46*Conversions!$D$4</f>
        <v>0.86724230702978689</v>
      </c>
      <c r="AH46" s="3">
        <f t="shared" si="5"/>
        <v>5.8125083422416637</v>
      </c>
      <c r="AI46">
        <f t="shared" si="6"/>
        <v>13</v>
      </c>
      <c r="AJ46">
        <f t="shared" si="7"/>
        <v>0.14444511726871467</v>
      </c>
      <c r="AK46" s="107">
        <f t="shared" si="8"/>
        <v>40.240254929687353</v>
      </c>
      <c r="AL46" s="1">
        <f t="shared" si="4"/>
        <v>0</v>
      </c>
    </row>
    <row r="47" spans="2:38" x14ac:dyDescent="0.25">
      <c r="B47" t="s">
        <v>17</v>
      </c>
      <c r="C47" t="s">
        <v>11</v>
      </c>
      <c r="D47" t="s">
        <v>299</v>
      </c>
      <c r="E47" t="s">
        <v>307</v>
      </c>
      <c r="F47" t="s">
        <v>6</v>
      </c>
      <c r="G47" t="s">
        <v>179</v>
      </c>
      <c r="H47" t="s">
        <v>36</v>
      </c>
      <c r="I47" t="s">
        <v>34</v>
      </c>
      <c r="J47">
        <v>8760</v>
      </c>
      <c r="K47" s="5">
        <v>1</v>
      </c>
      <c r="L47">
        <v>0.70916666699999997</v>
      </c>
      <c r="M47" s="3">
        <f>20833.2103478327/1000</f>
        <v>20.833210347832701</v>
      </c>
      <c r="N47" s="3">
        <f>20833.21035/1000</f>
        <v>20.833210350000002</v>
      </c>
      <c r="O47" s="1">
        <v>0</v>
      </c>
      <c r="P47">
        <v>40</v>
      </c>
      <c r="Q47" s="1">
        <v>0.10780000000000001</v>
      </c>
      <c r="R47">
        <v>0.01</v>
      </c>
      <c r="S47">
        <v>0.01</v>
      </c>
      <c r="T47" s="108">
        <f>Capacity!B50*1000</f>
        <v>3248.823954</v>
      </c>
      <c r="U47" s="109">
        <v>0</v>
      </c>
      <c r="V47" s="109">
        <v>0</v>
      </c>
      <c r="W47" s="109">
        <v>0</v>
      </c>
      <c r="X47" s="125"/>
      <c r="Y47" s="125"/>
      <c r="Z47">
        <v>4.3</v>
      </c>
      <c r="AA47">
        <v>0.105</v>
      </c>
      <c r="AC47" s="1">
        <f>1/K47/(1-Q47)</f>
        <v>1.1208249271463797</v>
      </c>
      <c r="AD47" s="123"/>
      <c r="AE47" s="124"/>
      <c r="AF47">
        <v>0</v>
      </c>
      <c r="AG47">
        <f>Z47*Conversions!$D$4</f>
        <v>5.3273456003258337</v>
      </c>
      <c r="AH47" s="3">
        <f t="shared" si="5"/>
        <v>15.505864747506866</v>
      </c>
      <c r="AI47">
        <f t="shared" si="6"/>
        <v>20</v>
      </c>
      <c r="AJ47">
        <f t="shared" si="7"/>
        <v>0.12149326526701618</v>
      </c>
      <c r="AK47" s="107">
        <f t="shared" si="8"/>
        <v>127.6273603596734</v>
      </c>
      <c r="AL47" s="1">
        <f t="shared" si="4"/>
        <v>3248.823954</v>
      </c>
    </row>
    <row r="48" spans="2:38" x14ac:dyDescent="0.25">
      <c r="B48" t="s">
        <v>22</v>
      </c>
      <c r="C48" t="s">
        <v>11</v>
      </c>
      <c r="D48" t="s">
        <v>299</v>
      </c>
      <c r="F48" t="s">
        <v>6</v>
      </c>
      <c r="G48" t="s">
        <v>179</v>
      </c>
      <c r="H48" t="s">
        <v>36</v>
      </c>
      <c r="I48" t="s">
        <v>34</v>
      </c>
      <c r="J48">
        <v>8760</v>
      </c>
      <c r="K48" s="5">
        <v>1</v>
      </c>
      <c r="L48">
        <v>0.70916666699999997</v>
      </c>
      <c r="M48" s="105">
        <f>N48</f>
        <v>35.289429389999995</v>
      </c>
      <c r="N48" s="3">
        <f>35289.42939/1000</f>
        <v>35.289429389999995</v>
      </c>
      <c r="O48" s="1">
        <v>0</v>
      </c>
      <c r="P48">
        <v>30</v>
      </c>
      <c r="Q48" s="1">
        <v>0.05</v>
      </c>
      <c r="R48">
        <v>0.01</v>
      </c>
      <c r="S48">
        <v>0.01</v>
      </c>
      <c r="T48" s="108">
        <f>Capacity!B51*1000</f>
        <v>0</v>
      </c>
      <c r="U48" s="109">
        <v>0</v>
      </c>
      <c r="V48" s="109">
        <v>0</v>
      </c>
      <c r="W48" s="109">
        <v>0</v>
      </c>
      <c r="X48" s="125"/>
      <c r="Y48" s="125"/>
      <c r="Z48">
        <v>5</v>
      </c>
      <c r="AA48">
        <v>0.105</v>
      </c>
      <c r="AC48" s="1">
        <f>1/K48/(1-Q48)</f>
        <v>1.0526315789473684</v>
      </c>
      <c r="AD48" s="123"/>
      <c r="AE48" s="124"/>
      <c r="AF48">
        <v>0</v>
      </c>
      <c r="AG48">
        <f>Z48*Conversions!$D$4</f>
        <v>6.1945879073556211</v>
      </c>
      <c r="AH48" s="3">
        <f t="shared" si="5"/>
        <v>29.094841482644373</v>
      </c>
      <c r="AI48">
        <f t="shared" si="6"/>
        <v>15</v>
      </c>
      <c r="AJ48">
        <f t="shared" si="7"/>
        <v>0.13524800152154118</v>
      </c>
      <c r="AK48" s="107">
        <f t="shared" si="8"/>
        <v>215.12215452596087</v>
      </c>
      <c r="AL48" s="1">
        <f t="shared" si="4"/>
        <v>0</v>
      </c>
    </row>
    <row r="49" spans="2:38" x14ac:dyDescent="0.25">
      <c r="B49" t="s">
        <v>15</v>
      </c>
      <c r="C49" t="s">
        <v>11</v>
      </c>
      <c r="D49" t="s">
        <v>303</v>
      </c>
      <c r="E49" t="s">
        <v>304</v>
      </c>
      <c r="F49" t="s">
        <v>6</v>
      </c>
      <c r="G49" t="s">
        <v>179</v>
      </c>
      <c r="H49" t="s">
        <v>37</v>
      </c>
      <c r="I49" t="s">
        <v>34</v>
      </c>
      <c r="J49">
        <v>8760</v>
      </c>
      <c r="K49" s="5">
        <v>1</v>
      </c>
      <c r="L49">
        <v>1</v>
      </c>
      <c r="M49" s="3">
        <f>19631.8145207228/1000</f>
        <v>19.631814520722802</v>
      </c>
      <c r="N49" s="3">
        <f>19631.81452/1000</f>
        <v>19.631814519999999</v>
      </c>
      <c r="O49" s="1">
        <v>0</v>
      </c>
      <c r="P49">
        <v>40</v>
      </c>
      <c r="Q49" s="1">
        <v>6.0000000000000001E-3</v>
      </c>
      <c r="R49">
        <v>1</v>
      </c>
      <c r="S49">
        <v>1</v>
      </c>
      <c r="T49" s="108">
        <f>Capacity!B52*1000</f>
        <v>7753.2156499999992</v>
      </c>
      <c r="U49" s="109">
        <v>0</v>
      </c>
      <c r="V49" s="109">
        <v>0</v>
      </c>
      <c r="W49" s="109">
        <v>0</v>
      </c>
      <c r="X49" s="123"/>
      <c r="Y49" s="126"/>
      <c r="Z49">
        <v>4.4000000000000004</v>
      </c>
      <c r="AA49">
        <v>0.105</v>
      </c>
      <c r="AC49" s="122"/>
      <c r="AD49" s="1">
        <f>K49-Q49</f>
        <v>0.99399999999999999</v>
      </c>
      <c r="AE49" s="122"/>
      <c r="AF49">
        <v>0</v>
      </c>
      <c r="AG49">
        <f>Z49*Conversions!$D$4</f>
        <v>5.4512373584729472</v>
      </c>
      <c r="AH49" s="3">
        <f t="shared" si="5"/>
        <v>14.180577162249854</v>
      </c>
      <c r="AI49">
        <f t="shared" si="6"/>
        <v>20</v>
      </c>
      <c r="AJ49">
        <f t="shared" si="7"/>
        <v>0.12149326526701618</v>
      </c>
      <c r="AK49" s="107">
        <f t="shared" si="8"/>
        <v>116.7190389614106</v>
      </c>
      <c r="AL49" s="1">
        <f t="shared" si="4"/>
        <v>7753.2156499999992</v>
      </c>
    </row>
    <row r="50" spans="2:38" x14ac:dyDescent="0.25">
      <c r="B50" t="s">
        <v>18</v>
      </c>
      <c r="C50" t="s">
        <v>11</v>
      </c>
      <c r="D50" t="s">
        <v>303</v>
      </c>
      <c r="E50" t="s">
        <v>305</v>
      </c>
      <c r="F50" t="s">
        <v>6</v>
      </c>
      <c r="G50" t="s">
        <v>179</v>
      </c>
      <c r="H50" t="s">
        <v>37</v>
      </c>
      <c r="I50" t="s">
        <v>34</v>
      </c>
      <c r="J50">
        <v>8760</v>
      </c>
      <c r="K50" s="5">
        <v>1</v>
      </c>
      <c r="L50">
        <v>1</v>
      </c>
      <c r="M50" s="3">
        <f>11825.3487554956/1000</f>
        <v>11.825348755495598</v>
      </c>
      <c r="N50" s="3">
        <f>11825.34876/1000</f>
        <v>11.825348760000001</v>
      </c>
      <c r="O50" s="1">
        <v>0</v>
      </c>
      <c r="P50">
        <v>35</v>
      </c>
      <c r="Q50" s="1">
        <v>0.01</v>
      </c>
      <c r="R50">
        <v>1</v>
      </c>
      <c r="S50">
        <v>1</v>
      </c>
      <c r="T50" s="108">
        <f>Capacity!B53*1000</f>
        <v>672.48</v>
      </c>
      <c r="U50" s="109">
        <v>0</v>
      </c>
      <c r="V50" s="109">
        <v>0</v>
      </c>
      <c r="W50" s="109">
        <v>0</v>
      </c>
      <c r="X50" s="123"/>
      <c r="Y50" s="126"/>
      <c r="Z50">
        <f>2.4</f>
        <v>2.4</v>
      </c>
      <c r="AA50">
        <v>8.3500000000000005E-2</v>
      </c>
      <c r="AC50" s="122"/>
      <c r="AD50" s="1">
        <f>K50-Q50</f>
        <v>0.99</v>
      </c>
      <c r="AE50" s="122"/>
      <c r="AF50">
        <v>0</v>
      </c>
      <c r="AG50">
        <f>Z50*Conversions!$D$4</f>
        <v>2.973402195530698</v>
      </c>
      <c r="AH50" s="3">
        <f t="shared" si="5"/>
        <v>8.851946559964901</v>
      </c>
      <c r="AI50">
        <f t="shared" si="6"/>
        <v>18</v>
      </c>
      <c r="AJ50">
        <f t="shared" si="7"/>
        <v>0.1093062199026277</v>
      </c>
      <c r="AK50" s="107">
        <f t="shared" si="8"/>
        <v>80.983008724026888</v>
      </c>
      <c r="AL50" s="1">
        <f t="shared" si="4"/>
        <v>672.48</v>
      </c>
    </row>
    <row r="51" spans="2:38" x14ac:dyDescent="0.25">
      <c r="B51" t="s">
        <v>7</v>
      </c>
      <c r="C51" t="s">
        <v>11</v>
      </c>
      <c r="D51" t="s">
        <v>299</v>
      </c>
      <c r="E51" t="s">
        <v>302</v>
      </c>
      <c r="F51" t="s">
        <v>6</v>
      </c>
      <c r="G51" t="s">
        <v>179</v>
      </c>
      <c r="H51" t="s">
        <v>38</v>
      </c>
      <c r="I51" t="s">
        <v>34</v>
      </c>
      <c r="J51">
        <v>8760</v>
      </c>
      <c r="K51" s="5">
        <v>0.238845897</v>
      </c>
      <c r="L51">
        <v>1</v>
      </c>
      <c r="M51" s="3">
        <f>7713.45723965334/1000</f>
        <v>7.7134572396533407</v>
      </c>
      <c r="N51" s="3">
        <f>7713.45724/1000</f>
        <v>7.7134572399999994</v>
      </c>
      <c r="O51" s="1">
        <v>0</v>
      </c>
      <c r="P51">
        <v>20</v>
      </c>
      <c r="Q51" s="1">
        <v>0.1</v>
      </c>
      <c r="R51">
        <v>0.06</v>
      </c>
      <c r="S51">
        <v>0.06</v>
      </c>
      <c r="T51" s="108">
        <f>Capacity!B54*1000</f>
        <v>3161.7000000000003</v>
      </c>
      <c r="U51" s="109">
        <v>0</v>
      </c>
      <c r="V51" s="109">
        <v>0</v>
      </c>
      <c r="W51" s="109">
        <v>0</v>
      </c>
      <c r="X51" s="1">
        <f>CarriersTech_characteristics!$G$7</f>
        <v>13.648968</v>
      </c>
      <c r="Y51" s="1">
        <f>CarriersTech_characteristics!$H$5*1000</f>
        <v>1656436.6880000001</v>
      </c>
      <c r="Z51" s="104">
        <v>1</v>
      </c>
      <c r="AA51">
        <v>8.3500000000000005E-2</v>
      </c>
      <c r="AC51" s="1">
        <f>1/K51/(1-Q51)</f>
        <v>4.6519999927447406</v>
      </c>
      <c r="AD51" s="123"/>
      <c r="AE51" s="128">
        <f>Y51/(X51*Conversions!$D$2)</f>
        <v>0.43689545093040172</v>
      </c>
      <c r="AF51">
        <v>0</v>
      </c>
      <c r="AG51">
        <f>Z51*Conversions!$D$4</f>
        <v>1.2389175814711242</v>
      </c>
      <c r="AH51" s="3">
        <f t="shared" si="5"/>
        <v>6.4745396581822163</v>
      </c>
      <c r="AI51">
        <f t="shared" si="6"/>
        <v>10</v>
      </c>
      <c r="AJ51">
        <f t="shared" si="7"/>
        <v>0.15139063026119925</v>
      </c>
      <c r="AK51" s="107">
        <f t="shared" si="8"/>
        <v>42.767109477062611</v>
      </c>
      <c r="AL51" s="1">
        <f t="shared" si="4"/>
        <v>3161.7000000000003</v>
      </c>
    </row>
    <row r="52" spans="2:38" x14ac:dyDescent="0.25">
      <c r="B52" t="s">
        <v>19</v>
      </c>
      <c r="C52" t="s">
        <v>11</v>
      </c>
      <c r="D52" t="s">
        <v>311</v>
      </c>
      <c r="E52" t="s">
        <v>308</v>
      </c>
      <c r="F52" t="s">
        <v>6</v>
      </c>
      <c r="G52" t="s">
        <v>179</v>
      </c>
      <c r="H52" t="s">
        <v>39</v>
      </c>
      <c r="I52" t="s">
        <v>34</v>
      </c>
      <c r="J52">
        <v>8760</v>
      </c>
      <c r="K52" s="5">
        <v>1</v>
      </c>
      <c r="L52">
        <v>1</v>
      </c>
      <c r="M52" s="3">
        <f>5630.98419436319/1000</f>
        <v>5.6309841943631902</v>
      </c>
      <c r="N52" s="3">
        <f>5439.705856/1000</f>
        <v>5.4397058559999998</v>
      </c>
      <c r="O52" s="1">
        <v>0</v>
      </c>
      <c r="P52">
        <v>25</v>
      </c>
      <c r="Q52" s="1">
        <v>0.01</v>
      </c>
      <c r="R52">
        <v>1</v>
      </c>
      <c r="S52">
        <v>1</v>
      </c>
      <c r="T52" s="108">
        <f>Capacity!B55*1000</f>
        <v>13221.936034999999</v>
      </c>
      <c r="U52" s="109">
        <v>0</v>
      </c>
      <c r="V52" s="109">
        <v>0</v>
      </c>
      <c r="W52" s="109">
        <v>0</v>
      </c>
      <c r="X52" s="123"/>
      <c r="Y52" s="127" t="s">
        <v>323</v>
      </c>
      <c r="Z52">
        <v>0.35</v>
      </c>
      <c r="AA52">
        <v>0.105</v>
      </c>
      <c r="AC52" s="123">
        <v>1</v>
      </c>
      <c r="AD52" s="123"/>
      <c r="AE52" s="122"/>
      <c r="AF52">
        <v>0</v>
      </c>
      <c r="AG52">
        <f>Z52*Conversions!$D$4</f>
        <v>0.43362115351489344</v>
      </c>
      <c r="AH52" s="3">
        <f t="shared" si="5"/>
        <v>5.1973630408482965</v>
      </c>
      <c r="AI52">
        <f t="shared" si="6"/>
        <v>13</v>
      </c>
      <c r="AJ52">
        <f t="shared" si="7"/>
        <v>0.14444511726871467</v>
      </c>
      <c r="AK52" s="107">
        <f t="shared" si="8"/>
        <v>35.98157652625612</v>
      </c>
      <c r="AL52" s="1">
        <f t="shared" si="4"/>
        <v>13221.936034999999</v>
      </c>
    </row>
    <row r="53" spans="2:38" x14ac:dyDescent="0.25">
      <c r="B53" t="s">
        <v>20</v>
      </c>
      <c r="C53" t="s">
        <v>11</v>
      </c>
      <c r="D53" t="s">
        <v>311</v>
      </c>
      <c r="E53" t="s">
        <v>309</v>
      </c>
      <c r="F53" t="s">
        <v>6</v>
      </c>
      <c r="G53" t="s">
        <v>179</v>
      </c>
      <c r="H53" t="s">
        <v>39</v>
      </c>
      <c r="I53" t="s">
        <v>34</v>
      </c>
      <c r="J53">
        <v>8760</v>
      </c>
      <c r="K53" s="5">
        <v>1</v>
      </c>
      <c r="L53">
        <v>1</v>
      </c>
      <c r="M53" s="3">
        <f>5542.18769541597/1000</f>
        <v>5.5421876954159695</v>
      </c>
      <c r="N53" s="3">
        <f>5362.133837/1000</f>
        <v>5.362133837</v>
      </c>
      <c r="O53" s="1">
        <v>0</v>
      </c>
      <c r="P53">
        <v>25</v>
      </c>
      <c r="Q53" s="1">
        <v>6.0000000000000001E-3</v>
      </c>
      <c r="R53">
        <v>1</v>
      </c>
      <c r="S53">
        <v>1</v>
      </c>
      <c r="T53" s="108">
        <f>Capacity!B56*1000</f>
        <v>4503.4039650000004</v>
      </c>
      <c r="U53" s="109">
        <v>0</v>
      </c>
      <c r="V53" s="109">
        <v>0</v>
      </c>
      <c r="W53" s="109">
        <v>0</v>
      </c>
      <c r="X53" s="123"/>
      <c r="Y53" s="123"/>
      <c r="Z53">
        <v>0.51</v>
      </c>
      <c r="AA53">
        <v>0.104</v>
      </c>
      <c r="AC53" s="123">
        <v>1</v>
      </c>
      <c r="AD53" s="123"/>
      <c r="AE53" s="122"/>
      <c r="AF53">
        <v>0</v>
      </c>
      <c r="AG53">
        <f>Z53*Conversions!$D$4</f>
        <v>0.63184796655027331</v>
      </c>
      <c r="AH53" s="3">
        <f t="shared" si="5"/>
        <v>4.9103397288656963</v>
      </c>
      <c r="AI53">
        <f t="shared" si="6"/>
        <v>13</v>
      </c>
      <c r="AJ53">
        <f t="shared" si="7"/>
        <v>0.1437086289255039</v>
      </c>
      <c r="AK53" s="107">
        <f t="shared" si="8"/>
        <v>34.16871878592017</v>
      </c>
      <c r="AL53" s="1">
        <f t="shared" si="4"/>
        <v>4503.4039650000004</v>
      </c>
    </row>
    <row r="54" spans="2:38" x14ac:dyDescent="0.25">
      <c r="B54" t="s">
        <v>21</v>
      </c>
      <c r="C54" t="s">
        <v>11</v>
      </c>
      <c r="D54" t="s">
        <v>311</v>
      </c>
      <c r="E54" t="s">
        <v>310</v>
      </c>
      <c r="F54" t="s">
        <v>6</v>
      </c>
      <c r="G54" t="s">
        <v>179</v>
      </c>
      <c r="H54" t="s">
        <v>40</v>
      </c>
      <c r="I54" t="s">
        <v>34</v>
      </c>
      <c r="J54">
        <v>8760</v>
      </c>
      <c r="K54" s="5">
        <v>1</v>
      </c>
      <c r="L54">
        <v>1</v>
      </c>
      <c r="M54" s="3">
        <f>10659.4302732183/1000</f>
        <v>10.6594302732183</v>
      </c>
      <c r="N54" s="3">
        <f>10586.96446/1000</f>
        <v>10.586964459999999</v>
      </c>
      <c r="O54" s="1">
        <v>0</v>
      </c>
      <c r="P54">
        <v>25</v>
      </c>
      <c r="Q54" s="1">
        <v>5.0000000000000001E-3</v>
      </c>
      <c r="R54">
        <v>1</v>
      </c>
      <c r="S54">
        <v>1</v>
      </c>
      <c r="T54" s="108">
        <f>Capacity!B57*1000</f>
        <v>18661.04</v>
      </c>
      <c r="U54" s="109">
        <v>0</v>
      </c>
      <c r="V54" s="109">
        <v>0</v>
      </c>
      <c r="W54" s="109">
        <v>0</v>
      </c>
      <c r="X54" s="123"/>
      <c r="Y54" s="123"/>
      <c r="Z54">
        <v>0.68</v>
      </c>
      <c r="AA54">
        <v>0.105</v>
      </c>
      <c r="AC54" s="123">
        <v>1</v>
      </c>
      <c r="AD54" s="123"/>
      <c r="AE54" s="122"/>
      <c r="AF54">
        <v>0</v>
      </c>
      <c r="AG54">
        <f>Z54*Conversions!$D$4</f>
        <v>0.84246395540036456</v>
      </c>
      <c r="AH54" s="3">
        <f t="shared" si="5"/>
        <v>9.8169663178179363</v>
      </c>
      <c r="AI54">
        <f t="shared" si="6"/>
        <v>13</v>
      </c>
      <c r="AJ54">
        <f t="shared" si="7"/>
        <v>0.14444511726871467</v>
      </c>
      <c r="AK54" s="107">
        <f t="shared" si="8"/>
        <v>67.963296395510568</v>
      </c>
      <c r="AL54" s="1">
        <f t="shared" si="4"/>
        <v>18661.04</v>
      </c>
    </row>
    <row r="55" spans="2:38" s="116" customFormat="1" x14ac:dyDescent="0.25">
      <c r="B55" s="116" t="s">
        <v>23</v>
      </c>
      <c r="C55" s="116" t="s">
        <v>11</v>
      </c>
      <c r="D55" s="116" t="s">
        <v>311</v>
      </c>
      <c r="F55" s="116" t="s">
        <v>6</v>
      </c>
      <c r="G55" s="116" t="s">
        <v>179</v>
      </c>
      <c r="H55" s="116" t="s">
        <v>40</v>
      </c>
      <c r="I55" s="116" t="s">
        <v>34</v>
      </c>
      <c r="J55" s="116">
        <v>8760</v>
      </c>
      <c r="K55" s="136">
        <v>1</v>
      </c>
      <c r="L55" s="116">
        <v>1</v>
      </c>
      <c r="M55" s="137">
        <f>N55</f>
        <v>34.540361669999996</v>
      </c>
      <c r="N55" s="138">
        <f>34540.36167/1000</f>
        <v>34.540361669999996</v>
      </c>
      <c r="O55" s="139">
        <v>0</v>
      </c>
      <c r="P55" s="116">
        <v>25</v>
      </c>
      <c r="Q55" s="139">
        <v>5.0000000000000001E-3</v>
      </c>
      <c r="R55" s="116">
        <v>1</v>
      </c>
      <c r="S55" s="116">
        <v>1</v>
      </c>
      <c r="T55" s="140">
        <f>Capacity!B58*1000</f>
        <v>0</v>
      </c>
      <c r="U55" s="141">
        <v>0</v>
      </c>
      <c r="V55" s="141">
        <v>0</v>
      </c>
      <c r="W55" s="141">
        <v>0</v>
      </c>
      <c r="X55" s="142"/>
      <c r="Y55" s="142"/>
      <c r="Z55" s="116">
        <v>6.7</v>
      </c>
      <c r="AA55" s="116">
        <v>0.112</v>
      </c>
      <c r="AB55" s="143"/>
      <c r="AC55" s="142">
        <v>1</v>
      </c>
      <c r="AD55" s="142"/>
      <c r="AE55" s="144"/>
      <c r="AF55" s="116">
        <v>0</v>
      </c>
      <c r="AG55" s="116">
        <f>Z55*Conversions!$D$4</f>
        <v>8.3007477958565321</v>
      </c>
      <c r="AH55" s="138">
        <f t="shared" si="5"/>
        <v>26.239613874143465</v>
      </c>
      <c r="AI55" s="116">
        <f t="shared" si="6"/>
        <v>13</v>
      </c>
      <c r="AJ55" s="116">
        <f t="shared" si="7"/>
        <v>0.14964415165301803</v>
      </c>
      <c r="AK55" s="145">
        <f t="shared" si="8"/>
        <v>175.34673814039604</v>
      </c>
      <c r="AL55" s="139">
        <f t="shared" si="4"/>
        <v>0</v>
      </c>
    </row>
    <row r="56" spans="2:38" x14ac:dyDescent="0.25">
      <c r="B56" t="s">
        <v>13</v>
      </c>
      <c r="C56" t="s">
        <v>8</v>
      </c>
      <c r="D56" t="s">
        <v>299</v>
      </c>
      <c r="E56" t="s">
        <v>301</v>
      </c>
      <c r="F56" t="s">
        <v>6</v>
      </c>
      <c r="G56" t="s">
        <v>179</v>
      </c>
      <c r="H56" t="s">
        <v>33</v>
      </c>
      <c r="I56" t="s">
        <v>34</v>
      </c>
      <c r="J56">
        <v>8760</v>
      </c>
      <c r="K56" s="5">
        <v>0.38096819999999998</v>
      </c>
      <c r="L56">
        <v>0.85</v>
      </c>
      <c r="M56" s="3">
        <f>5822.44460147077/1000</f>
        <v>5.82244460147077</v>
      </c>
      <c r="N56" s="3">
        <f>13721.03129/1000</f>
        <v>13.721031290000001</v>
      </c>
      <c r="O56" s="1">
        <v>133.5230182</v>
      </c>
      <c r="P56">
        <v>40</v>
      </c>
      <c r="Q56" s="1">
        <v>6.6000000000000003E-2</v>
      </c>
      <c r="R56">
        <v>0.3</v>
      </c>
      <c r="S56">
        <v>0.3</v>
      </c>
      <c r="T56" s="108">
        <f>Capacity!B61*1000</f>
        <v>63929.270834999996</v>
      </c>
      <c r="U56" s="109">
        <v>0</v>
      </c>
      <c r="V56" s="109">
        <v>0</v>
      </c>
      <c r="W56" s="109">
        <v>0</v>
      </c>
      <c r="X56" s="1">
        <f>CarriersTech_characteristics!$G$2</f>
        <v>17.207187650000002</v>
      </c>
      <c r="Y56" s="1">
        <f>CarriersTech_characteristics!$H$28*1000</f>
        <v>1942097.6230000001</v>
      </c>
      <c r="Z56" s="7">
        <v>3</v>
      </c>
      <c r="AA56">
        <v>0.105</v>
      </c>
      <c r="AB56" s="133"/>
      <c r="AC56" s="1">
        <f>1/K56/(1-Q56)</f>
        <v>2.8103758044980376</v>
      </c>
      <c r="AD56" s="123"/>
      <c r="AE56" s="129">
        <f>Y56/(X56*Conversions!$D$2)</f>
        <v>0.40631575182871843</v>
      </c>
      <c r="AF56" s="103">
        <f>O56/CarriersTech_characteristics!$G$2/Conversions!$D$2*AC56</f>
        <v>7.8507860294473842E-5</v>
      </c>
      <c r="AG56">
        <f>Z56*Conversions!$D$4</f>
        <v>3.7167527444133723</v>
      </c>
      <c r="AH56" s="3">
        <f t="shared" si="5"/>
        <v>2.1056918570573977</v>
      </c>
      <c r="AI56">
        <f t="shared" si="6"/>
        <v>20</v>
      </c>
      <c r="AJ56">
        <f t="shared" si="7"/>
        <v>0.12149326526701618</v>
      </c>
      <c r="AK56" s="107">
        <f t="shared" si="8"/>
        <v>17.33175787505207</v>
      </c>
      <c r="AL56" s="1">
        <f t="shared" si="4"/>
        <v>63929.270834999996</v>
      </c>
    </row>
    <row r="57" spans="2:38" x14ac:dyDescent="0.25">
      <c r="B57" t="s">
        <v>14</v>
      </c>
      <c r="C57" t="s">
        <v>8</v>
      </c>
      <c r="D57" t="s">
        <v>299</v>
      </c>
      <c r="E57" t="s">
        <v>306</v>
      </c>
      <c r="F57" t="s">
        <v>6</v>
      </c>
      <c r="G57" t="s">
        <v>179</v>
      </c>
      <c r="H57" t="s">
        <v>35</v>
      </c>
      <c r="I57" t="s">
        <v>34</v>
      </c>
      <c r="J57">
        <v>8760</v>
      </c>
      <c r="K57" s="5">
        <v>0.40444272199999998</v>
      </c>
      <c r="L57">
        <v>0.85</v>
      </c>
      <c r="M57" s="3">
        <f>8512.22780274884/1000</f>
        <v>8.5122278027488392</v>
      </c>
      <c r="N57" s="3">
        <f>8512.227803/1000</f>
        <v>8.512227803</v>
      </c>
      <c r="O57" s="1">
        <v>0</v>
      </c>
      <c r="P57">
        <v>25</v>
      </c>
      <c r="Q57" s="1">
        <v>0.02</v>
      </c>
      <c r="R57">
        <v>0.9</v>
      </c>
      <c r="S57">
        <v>0.9</v>
      </c>
      <c r="T57" s="108">
        <f>Capacity!B62*1000</f>
        <v>7730.2171470000003</v>
      </c>
      <c r="U57" s="109">
        <v>0</v>
      </c>
      <c r="V57" s="109">
        <v>0</v>
      </c>
      <c r="W57" s="109">
        <v>0</v>
      </c>
      <c r="X57" s="1">
        <f>CarriersTech_characteristics!$G$3</f>
        <v>37.681199999999997</v>
      </c>
      <c r="Y57" s="1">
        <f>CarriersTech_characteristics!$H$3*1000</f>
        <v>3025024.5490000001</v>
      </c>
      <c r="Z57">
        <v>2.9</v>
      </c>
      <c r="AA57">
        <v>0.105</v>
      </c>
      <c r="AC57" s="1">
        <f>1/K57/(1-Q57)</f>
        <v>2.5229979617863072</v>
      </c>
      <c r="AD57" s="123"/>
      <c r="AE57" s="129">
        <f>(Y57*Conversions!$D$3)/(X57*Conversions!$D$2)</f>
        <v>0.23958587284408495</v>
      </c>
      <c r="AF57">
        <v>0</v>
      </c>
      <c r="AG57">
        <f>Z57*Conversions!$D$4</f>
        <v>3.5928609862662602</v>
      </c>
      <c r="AH57" s="3">
        <f t="shared" si="5"/>
        <v>4.9193668164825795</v>
      </c>
      <c r="AI57">
        <f t="shared" si="6"/>
        <v>13</v>
      </c>
      <c r="AJ57">
        <f t="shared" si="7"/>
        <v>0.14444511726871467</v>
      </c>
      <c r="AK57" s="107">
        <f t="shared" si="8"/>
        <v>34.056996245369547</v>
      </c>
      <c r="AL57" s="1">
        <f t="shared" si="4"/>
        <v>7730.2171470000003</v>
      </c>
    </row>
    <row r="58" spans="2:38" x14ac:dyDescent="0.25">
      <c r="B58" t="s">
        <v>16</v>
      </c>
      <c r="C58" t="s">
        <v>8</v>
      </c>
      <c r="D58" t="s">
        <v>299</v>
      </c>
      <c r="F58" t="s">
        <v>6</v>
      </c>
      <c r="G58" t="s">
        <v>179</v>
      </c>
      <c r="H58" t="s">
        <v>35</v>
      </c>
      <c r="I58" t="s">
        <v>34</v>
      </c>
      <c r="J58">
        <v>8760</v>
      </c>
      <c r="K58" s="5">
        <v>0.28070162799999998</v>
      </c>
      <c r="L58">
        <v>0.85</v>
      </c>
      <c r="M58" s="3">
        <f>6679.75064927145/1000</f>
        <v>6.6797506492714502</v>
      </c>
      <c r="N58" s="3">
        <f>6679.750649/1000</f>
        <v>6.6797506489999998</v>
      </c>
      <c r="O58" s="1">
        <v>0</v>
      </c>
      <c r="P58">
        <v>25</v>
      </c>
      <c r="Q58" s="1">
        <v>0.01</v>
      </c>
      <c r="R58">
        <v>1</v>
      </c>
      <c r="S58">
        <v>1</v>
      </c>
      <c r="T58" s="108">
        <f>Capacity!B63*1000</f>
        <v>0</v>
      </c>
      <c r="U58" s="109">
        <v>0</v>
      </c>
      <c r="V58" s="109">
        <v>0</v>
      </c>
      <c r="W58" s="109">
        <v>0</v>
      </c>
      <c r="X58" s="1">
        <f>CarriersTech_characteristics!$G$3</f>
        <v>37.681199999999997</v>
      </c>
      <c r="Y58" s="1">
        <f>CarriersTech_characteristics!$H$3*1000</f>
        <v>3025024.5490000001</v>
      </c>
      <c r="Z58">
        <v>0.7</v>
      </c>
      <c r="AA58">
        <v>0.105</v>
      </c>
      <c r="AC58" s="1">
        <f>1/K58/(1-Q58)</f>
        <v>3.5984864687033813</v>
      </c>
      <c r="AD58" s="123"/>
      <c r="AE58" s="129">
        <f>(Y58*Conversions!$D$3)/(X58*Conversions!$D$2)</f>
        <v>0.23958587284408495</v>
      </c>
      <c r="AF58">
        <v>0</v>
      </c>
      <c r="AG58">
        <f>Z58*Conversions!$D$4</f>
        <v>0.86724230702978689</v>
      </c>
      <c r="AH58" s="3">
        <f t="shared" si="5"/>
        <v>5.8125083422416637</v>
      </c>
      <c r="AI58">
        <f t="shared" si="6"/>
        <v>13</v>
      </c>
      <c r="AJ58">
        <f t="shared" si="7"/>
        <v>0.14444511726871467</v>
      </c>
      <c r="AK58" s="107">
        <f t="shared" si="8"/>
        <v>40.240254929687353</v>
      </c>
      <c r="AL58" s="1">
        <f t="shared" si="4"/>
        <v>0</v>
      </c>
    </row>
    <row r="59" spans="2:38" x14ac:dyDescent="0.25">
      <c r="B59" t="s">
        <v>17</v>
      </c>
      <c r="C59" t="s">
        <v>8</v>
      </c>
      <c r="D59" t="s">
        <v>299</v>
      </c>
      <c r="E59" t="s">
        <v>307</v>
      </c>
      <c r="F59" t="s">
        <v>6</v>
      </c>
      <c r="G59" t="s">
        <v>179</v>
      </c>
      <c r="H59" t="s">
        <v>36</v>
      </c>
      <c r="I59" t="s">
        <v>34</v>
      </c>
      <c r="J59">
        <v>8760</v>
      </c>
      <c r="K59" s="5">
        <v>1</v>
      </c>
      <c r="L59">
        <v>0.70916666699999997</v>
      </c>
      <c r="M59" s="3">
        <f>20833.2103478327/1000</f>
        <v>20.833210347832701</v>
      </c>
      <c r="N59" s="3">
        <f>20833.21035/1000</f>
        <v>20.833210350000002</v>
      </c>
      <c r="O59" s="1">
        <v>0</v>
      </c>
      <c r="P59">
        <v>40</v>
      </c>
      <c r="Q59" s="1">
        <v>0.10780000000000001</v>
      </c>
      <c r="R59">
        <v>0.01</v>
      </c>
      <c r="S59">
        <v>0.01</v>
      </c>
      <c r="T59" s="108">
        <f>Capacity!B64*1000</f>
        <v>3327.6676479999996</v>
      </c>
      <c r="U59" s="109">
        <v>0</v>
      </c>
      <c r="V59" s="109">
        <v>0</v>
      </c>
      <c r="W59" s="109">
        <v>0</v>
      </c>
      <c r="X59" s="125"/>
      <c r="Y59" s="125"/>
      <c r="Z59">
        <v>4.3</v>
      </c>
      <c r="AA59">
        <v>0.105</v>
      </c>
      <c r="AC59" s="1">
        <f>1/K59/(1-Q59)</f>
        <v>1.1208249271463797</v>
      </c>
      <c r="AD59" s="123"/>
      <c r="AE59" s="124"/>
      <c r="AF59">
        <v>0</v>
      </c>
      <c r="AG59">
        <f>Z59*Conversions!$D$4</f>
        <v>5.3273456003258337</v>
      </c>
      <c r="AH59" s="3">
        <f t="shared" si="5"/>
        <v>15.505864747506866</v>
      </c>
      <c r="AI59">
        <f t="shared" si="6"/>
        <v>20</v>
      </c>
      <c r="AJ59">
        <f t="shared" si="7"/>
        <v>0.12149326526701618</v>
      </c>
      <c r="AK59" s="107">
        <f t="shared" si="8"/>
        <v>127.6273603596734</v>
      </c>
      <c r="AL59" s="1">
        <f t="shared" si="4"/>
        <v>3327.6676479999996</v>
      </c>
    </row>
    <row r="60" spans="2:38" x14ac:dyDescent="0.25">
      <c r="B60" t="s">
        <v>22</v>
      </c>
      <c r="C60" t="s">
        <v>8</v>
      </c>
      <c r="D60" t="s">
        <v>299</v>
      </c>
      <c r="F60" t="s">
        <v>6</v>
      </c>
      <c r="G60" t="s">
        <v>179</v>
      </c>
      <c r="H60" t="s">
        <v>36</v>
      </c>
      <c r="I60" t="s">
        <v>34</v>
      </c>
      <c r="J60">
        <v>8760</v>
      </c>
      <c r="K60" s="5">
        <v>1</v>
      </c>
      <c r="L60">
        <v>0.70916666699999997</v>
      </c>
      <c r="M60" s="105">
        <f>N60</f>
        <v>35.289429389999995</v>
      </c>
      <c r="N60" s="3">
        <f>35289.42939/1000</f>
        <v>35.289429389999995</v>
      </c>
      <c r="O60" s="1">
        <v>0</v>
      </c>
      <c r="P60">
        <v>30</v>
      </c>
      <c r="Q60" s="1">
        <v>0.05</v>
      </c>
      <c r="R60">
        <v>0.01</v>
      </c>
      <c r="S60">
        <v>0.01</v>
      </c>
      <c r="T60" s="108">
        <f>Capacity!B65*1000</f>
        <v>0</v>
      </c>
      <c r="U60" s="109">
        <v>0</v>
      </c>
      <c r="V60" s="109">
        <v>0</v>
      </c>
      <c r="W60" s="109">
        <v>0</v>
      </c>
      <c r="X60" s="125"/>
      <c r="Y60" s="125"/>
      <c r="Z60">
        <v>5</v>
      </c>
      <c r="AA60">
        <v>0.105</v>
      </c>
      <c r="AC60" s="1">
        <f>1/K60/(1-Q60)</f>
        <v>1.0526315789473684</v>
      </c>
      <c r="AD60" s="123"/>
      <c r="AE60" s="124"/>
      <c r="AF60">
        <v>0</v>
      </c>
      <c r="AG60">
        <f>Z60*Conversions!$D$4</f>
        <v>6.1945879073556211</v>
      </c>
      <c r="AH60" s="3">
        <f t="shared" si="5"/>
        <v>29.094841482644373</v>
      </c>
      <c r="AI60">
        <f t="shared" si="6"/>
        <v>15</v>
      </c>
      <c r="AJ60">
        <f t="shared" si="7"/>
        <v>0.13524800152154118</v>
      </c>
      <c r="AK60" s="107">
        <f t="shared" si="8"/>
        <v>215.12215452596087</v>
      </c>
      <c r="AL60" s="1">
        <f t="shared" si="4"/>
        <v>0</v>
      </c>
    </row>
    <row r="61" spans="2:38" x14ac:dyDescent="0.25">
      <c r="B61" t="s">
        <v>15</v>
      </c>
      <c r="C61" t="s">
        <v>8</v>
      </c>
      <c r="D61" t="s">
        <v>303</v>
      </c>
      <c r="E61" t="s">
        <v>304</v>
      </c>
      <c r="F61" t="s">
        <v>6</v>
      </c>
      <c r="G61" t="s">
        <v>179</v>
      </c>
      <c r="H61" t="s">
        <v>37</v>
      </c>
      <c r="I61" t="s">
        <v>34</v>
      </c>
      <c r="J61">
        <v>8760</v>
      </c>
      <c r="K61" s="5">
        <v>1</v>
      </c>
      <c r="L61">
        <v>1</v>
      </c>
      <c r="M61" s="3">
        <f>19631.8145207228/1000</f>
        <v>19.631814520722802</v>
      </c>
      <c r="N61" s="3">
        <f>19631.81452/1000</f>
        <v>19.631814519999999</v>
      </c>
      <c r="O61" s="1">
        <v>0</v>
      </c>
      <c r="P61">
        <v>40</v>
      </c>
      <c r="Q61" s="1">
        <v>6.0000000000000001E-3</v>
      </c>
      <c r="R61">
        <v>1</v>
      </c>
      <c r="S61">
        <v>1</v>
      </c>
      <c r="T61" s="108">
        <f>Capacity!B66*1000</f>
        <v>12168.961466000001</v>
      </c>
      <c r="U61" s="109">
        <v>0</v>
      </c>
      <c r="V61" s="109">
        <v>0</v>
      </c>
      <c r="W61" s="109">
        <v>0</v>
      </c>
      <c r="X61" s="123"/>
      <c r="Y61" s="126"/>
      <c r="Z61">
        <v>4.4000000000000004</v>
      </c>
      <c r="AA61">
        <v>0.105</v>
      </c>
      <c r="AC61" s="122"/>
      <c r="AD61" s="1">
        <f>K61-Q61</f>
        <v>0.99399999999999999</v>
      </c>
      <c r="AE61" s="122"/>
      <c r="AF61">
        <v>0</v>
      </c>
      <c r="AG61">
        <f>Z61*Conversions!$D$4</f>
        <v>5.4512373584729472</v>
      </c>
      <c r="AH61" s="3">
        <f t="shared" si="5"/>
        <v>14.180577162249854</v>
      </c>
      <c r="AI61">
        <f t="shared" si="6"/>
        <v>20</v>
      </c>
      <c r="AJ61">
        <f t="shared" si="7"/>
        <v>0.12149326526701618</v>
      </c>
      <c r="AK61" s="107">
        <f t="shared" si="8"/>
        <v>116.7190389614106</v>
      </c>
      <c r="AL61" s="1">
        <f t="shared" si="4"/>
        <v>12168.961466000001</v>
      </c>
    </row>
    <row r="62" spans="2:38" x14ac:dyDescent="0.25">
      <c r="B62" t="s">
        <v>18</v>
      </c>
      <c r="C62" t="s">
        <v>8</v>
      </c>
      <c r="D62" t="s">
        <v>303</v>
      </c>
      <c r="E62" t="s">
        <v>305</v>
      </c>
      <c r="F62" t="s">
        <v>6</v>
      </c>
      <c r="G62" t="s">
        <v>179</v>
      </c>
      <c r="H62" t="s">
        <v>37</v>
      </c>
      <c r="I62" t="s">
        <v>34</v>
      </c>
      <c r="J62">
        <v>8760</v>
      </c>
      <c r="K62" s="5">
        <v>1</v>
      </c>
      <c r="L62">
        <v>1</v>
      </c>
      <c r="M62" s="3">
        <f>11825.3487554956/1000</f>
        <v>11.825348755495598</v>
      </c>
      <c r="N62" s="3">
        <f>11825.34876/1000</f>
        <v>11.825348760000001</v>
      </c>
      <c r="O62" s="1">
        <v>0</v>
      </c>
      <c r="P62">
        <v>35</v>
      </c>
      <c r="Q62" s="1">
        <v>0.01</v>
      </c>
      <c r="R62">
        <v>1</v>
      </c>
      <c r="S62">
        <v>1</v>
      </c>
      <c r="T62" s="108">
        <f>Capacity!B67*1000</f>
        <v>1924.4800000000002</v>
      </c>
      <c r="U62" s="109">
        <v>0</v>
      </c>
      <c r="V62" s="109">
        <v>0</v>
      </c>
      <c r="W62" s="109">
        <v>0</v>
      </c>
      <c r="X62" s="123"/>
      <c r="Y62" s="126"/>
      <c r="Z62">
        <f>2.4</f>
        <v>2.4</v>
      </c>
      <c r="AA62">
        <v>8.3500000000000005E-2</v>
      </c>
      <c r="AC62" s="122"/>
      <c r="AD62" s="1">
        <f>K62-Q62</f>
        <v>0.99</v>
      </c>
      <c r="AE62" s="122"/>
      <c r="AF62">
        <v>0</v>
      </c>
      <c r="AG62">
        <f>Z62*Conversions!$D$4</f>
        <v>2.973402195530698</v>
      </c>
      <c r="AH62" s="3">
        <f t="shared" si="5"/>
        <v>8.851946559964901</v>
      </c>
      <c r="AI62">
        <f t="shared" si="6"/>
        <v>18</v>
      </c>
      <c r="AJ62">
        <f t="shared" si="7"/>
        <v>0.1093062199026277</v>
      </c>
      <c r="AK62" s="107">
        <f t="shared" si="8"/>
        <v>80.983008724026888</v>
      </c>
      <c r="AL62" s="1">
        <f t="shared" si="4"/>
        <v>1924.4800000000002</v>
      </c>
    </row>
    <row r="63" spans="2:38" x14ac:dyDescent="0.25">
      <c r="B63" t="s">
        <v>7</v>
      </c>
      <c r="C63" t="s">
        <v>8</v>
      </c>
      <c r="D63" t="s">
        <v>299</v>
      </c>
      <c r="E63" t="s">
        <v>302</v>
      </c>
      <c r="F63" t="s">
        <v>6</v>
      </c>
      <c r="G63" t="s">
        <v>179</v>
      </c>
      <c r="H63" t="s">
        <v>38</v>
      </c>
      <c r="I63" t="s">
        <v>34</v>
      </c>
      <c r="J63">
        <v>8760</v>
      </c>
      <c r="K63" s="5">
        <v>0.238845897</v>
      </c>
      <c r="L63">
        <v>1</v>
      </c>
      <c r="M63" s="3">
        <f>7713.45723965334/1000</f>
        <v>7.7134572396533407</v>
      </c>
      <c r="N63" s="3">
        <f>7713.45724/1000</f>
        <v>7.7134572399999994</v>
      </c>
      <c r="O63" s="1">
        <v>0</v>
      </c>
      <c r="P63">
        <v>20</v>
      </c>
      <c r="Q63" s="1">
        <v>0.1</v>
      </c>
      <c r="R63">
        <v>0.06</v>
      </c>
      <c r="S63">
        <v>0.06</v>
      </c>
      <c r="T63" s="108">
        <f>Capacity!B68*1000</f>
        <v>3734.75</v>
      </c>
      <c r="U63" s="109">
        <v>0</v>
      </c>
      <c r="V63" s="109">
        <v>0</v>
      </c>
      <c r="W63" s="109">
        <v>0</v>
      </c>
      <c r="X63" s="1">
        <f>CarriersTech_characteristics!$G$7</f>
        <v>13.648968</v>
      </c>
      <c r="Y63" s="1">
        <f>CarriersTech_characteristics!$H$5*1000</f>
        <v>1656436.6880000001</v>
      </c>
      <c r="Z63" s="104">
        <v>1</v>
      </c>
      <c r="AA63">
        <v>8.3500000000000005E-2</v>
      </c>
      <c r="AC63" s="1">
        <f>1/K63/(1-Q63)</f>
        <v>4.6519999927447406</v>
      </c>
      <c r="AD63" s="123"/>
      <c r="AE63" s="128">
        <f>Y63/(X63*Conversions!$D$2)</f>
        <v>0.43689545093040172</v>
      </c>
      <c r="AF63">
        <v>0</v>
      </c>
      <c r="AG63">
        <f>Z63*Conversions!$D$4</f>
        <v>1.2389175814711242</v>
      </c>
      <c r="AH63" s="3">
        <f t="shared" si="5"/>
        <v>6.4745396581822163</v>
      </c>
      <c r="AI63">
        <f t="shared" si="6"/>
        <v>10</v>
      </c>
      <c r="AJ63">
        <f t="shared" si="7"/>
        <v>0.15139063026119925</v>
      </c>
      <c r="AK63" s="107">
        <f t="shared" si="8"/>
        <v>42.767109477062611</v>
      </c>
      <c r="AL63" s="1">
        <f t="shared" si="4"/>
        <v>3734.75</v>
      </c>
    </row>
    <row r="64" spans="2:38" x14ac:dyDescent="0.25">
      <c r="B64" t="s">
        <v>19</v>
      </c>
      <c r="C64" t="s">
        <v>8</v>
      </c>
      <c r="D64" t="s">
        <v>311</v>
      </c>
      <c r="E64" t="s">
        <v>308</v>
      </c>
      <c r="F64" t="s">
        <v>6</v>
      </c>
      <c r="G64" t="s">
        <v>179</v>
      </c>
      <c r="H64" t="s">
        <v>39</v>
      </c>
      <c r="I64" t="s">
        <v>34</v>
      </c>
      <c r="J64">
        <v>8760</v>
      </c>
      <c r="K64" s="5">
        <v>1</v>
      </c>
      <c r="L64">
        <v>1</v>
      </c>
      <c r="M64" s="3">
        <f>5630.98419436319/1000</f>
        <v>5.6309841943631902</v>
      </c>
      <c r="N64" s="3">
        <f>5439.705856/1000</f>
        <v>5.4397058559999998</v>
      </c>
      <c r="O64" s="1">
        <v>0</v>
      </c>
      <c r="P64">
        <v>25</v>
      </c>
      <c r="Q64" s="1">
        <v>0.01</v>
      </c>
      <c r="R64">
        <v>1</v>
      </c>
      <c r="S64">
        <v>1</v>
      </c>
      <c r="T64" s="108">
        <f>Capacity!B69*1000</f>
        <v>24128.916825999997</v>
      </c>
      <c r="U64" s="109">
        <v>0</v>
      </c>
      <c r="V64" s="109">
        <v>0</v>
      </c>
      <c r="W64" s="109">
        <v>0</v>
      </c>
      <c r="X64" s="123"/>
      <c r="Y64" s="127" t="s">
        <v>323</v>
      </c>
      <c r="Z64">
        <v>0.35</v>
      </c>
      <c r="AA64">
        <v>0.105</v>
      </c>
      <c r="AC64" s="123">
        <v>1</v>
      </c>
      <c r="AD64" s="123"/>
      <c r="AE64" s="122"/>
      <c r="AF64">
        <v>0</v>
      </c>
      <c r="AG64">
        <f>Z64*Conversions!$D$4</f>
        <v>0.43362115351489344</v>
      </c>
      <c r="AH64" s="3">
        <f t="shared" si="5"/>
        <v>5.1973630408482965</v>
      </c>
      <c r="AI64">
        <f t="shared" si="6"/>
        <v>13</v>
      </c>
      <c r="AJ64">
        <f t="shared" si="7"/>
        <v>0.14444511726871467</v>
      </c>
      <c r="AK64" s="107">
        <f t="shared" si="8"/>
        <v>35.98157652625612</v>
      </c>
      <c r="AL64" s="1">
        <f t="shared" si="4"/>
        <v>24128.916825999997</v>
      </c>
    </row>
    <row r="65" spans="1:38" x14ac:dyDescent="0.25">
      <c r="B65" t="s">
        <v>20</v>
      </c>
      <c r="C65" t="s">
        <v>8</v>
      </c>
      <c r="D65" t="s">
        <v>311</v>
      </c>
      <c r="E65" t="s">
        <v>309</v>
      </c>
      <c r="F65" t="s">
        <v>6</v>
      </c>
      <c r="G65" t="s">
        <v>179</v>
      </c>
      <c r="H65" t="s">
        <v>39</v>
      </c>
      <c r="I65" t="s">
        <v>34</v>
      </c>
      <c r="J65">
        <v>8760</v>
      </c>
      <c r="K65" s="5">
        <v>1</v>
      </c>
      <c r="L65">
        <v>1</v>
      </c>
      <c r="M65" s="3">
        <f>5542.18769541597/1000</f>
        <v>5.5421876954159695</v>
      </c>
      <c r="N65" s="3">
        <f>5362.133837/1000</f>
        <v>5.362133837</v>
      </c>
      <c r="O65" s="1">
        <v>0</v>
      </c>
      <c r="P65">
        <v>25</v>
      </c>
      <c r="Q65" s="1">
        <v>6.0000000000000001E-3</v>
      </c>
      <c r="R65">
        <v>1</v>
      </c>
      <c r="S65">
        <v>1</v>
      </c>
      <c r="T65" s="108">
        <f>Capacity!B70*1000</f>
        <v>2030.8231740000001</v>
      </c>
      <c r="U65" s="109">
        <v>0</v>
      </c>
      <c r="V65" s="109">
        <v>0</v>
      </c>
      <c r="W65" s="109">
        <v>0</v>
      </c>
      <c r="X65" s="123"/>
      <c r="Y65" s="123"/>
      <c r="Z65">
        <v>0.51</v>
      </c>
      <c r="AA65">
        <v>0.104</v>
      </c>
      <c r="AC65" s="123">
        <v>1</v>
      </c>
      <c r="AD65" s="123"/>
      <c r="AE65" s="122"/>
      <c r="AF65">
        <v>0</v>
      </c>
      <c r="AG65">
        <f>Z65*Conversions!$D$4</f>
        <v>0.63184796655027331</v>
      </c>
      <c r="AH65" s="3">
        <f t="shared" si="5"/>
        <v>4.9103397288656963</v>
      </c>
      <c r="AI65">
        <f t="shared" si="6"/>
        <v>13</v>
      </c>
      <c r="AJ65">
        <f t="shared" si="7"/>
        <v>0.1437086289255039</v>
      </c>
      <c r="AK65" s="107">
        <f t="shared" si="8"/>
        <v>34.16871878592017</v>
      </c>
      <c r="AL65" s="1">
        <f t="shared" si="4"/>
        <v>2030.8231740000001</v>
      </c>
    </row>
    <row r="66" spans="1:38" x14ac:dyDescent="0.25">
      <c r="B66" t="s">
        <v>21</v>
      </c>
      <c r="C66" t="s">
        <v>8</v>
      </c>
      <c r="D66" t="s">
        <v>311</v>
      </c>
      <c r="E66" t="s">
        <v>310</v>
      </c>
      <c r="F66" t="s">
        <v>6</v>
      </c>
      <c r="G66" t="s">
        <v>179</v>
      </c>
      <c r="H66" t="s">
        <v>40</v>
      </c>
      <c r="I66" t="s">
        <v>34</v>
      </c>
      <c r="J66">
        <v>8760</v>
      </c>
      <c r="K66" s="5">
        <v>1</v>
      </c>
      <c r="L66">
        <v>1</v>
      </c>
      <c r="M66" s="3">
        <f>10659.4302732183/1000</f>
        <v>10.6594302732183</v>
      </c>
      <c r="N66" s="3">
        <f>10586.96446/1000</f>
        <v>10.586964459999999</v>
      </c>
      <c r="O66" s="1">
        <v>0</v>
      </c>
      <c r="P66">
        <v>25</v>
      </c>
      <c r="Q66" s="1">
        <v>5.0000000000000001E-3</v>
      </c>
      <c r="R66">
        <v>1</v>
      </c>
      <c r="S66">
        <v>1</v>
      </c>
      <c r="T66" s="108">
        <f>Capacity!B71*1000</f>
        <v>22161.370000000003</v>
      </c>
      <c r="U66" s="109">
        <v>0</v>
      </c>
      <c r="V66" s="109">
        <v>0</v>
      </c>
      <c r="W66" s="109">
        <v>0</v>
      </c>
      <c r="X66" s="123"/>
      <c r="Y66" s="123"/>
      <c r="Z66">
        <v>0.68</v>
      </c>
      <c r="AA66">
        <v>0.105</v>
      </c>
      <c r="AC66" s="123">
        <v>1</v>
      </c>
      <c r="AD66" s="123"/>
      <c r="AE66" s="122"/>
      <c r="AF66">
        <v>0</v>
      </c>
      <c r="AG66">
        <f>Z66*Conversions!$D$4</f>
        <v>0.84246395540036456</v>
      </c>
      <c r="AH66" s="3">
        <f t="shared" si="5"/>
        <v>9.8169663178179363</v>
      </c>
      <c r="AI66">
        <f t="shared" si="6"/>
        <v>13</v>
      </c>
      <c r="AJ66">
        <f t="shared" si="7"/>
        <v>0.14444511726871467</v>
      </c>
      <c r="AK66" s="107">
        <f t="shared" si="8"/>
        <v>67.963296395510568</v>
      </c>
      <c r="AL66" s="1">
        <f t="shared" si="4"/>
        <v>22161.370000000003</v>
      </c>
    </row>
    <row r="67" spans="1:38" s="116" customFormat="1" x14ac:dyDescent="0.25">
      <c r="B67" s="116" t="s">
        <v>23</v>
      </c>
      <c r="C67" s="116" t="s">
        <v>8</v>
      </c>
      <c r="D67" s="116" t="s">
        <v>311</v>
      </c>
      <c r="F67" s="116" t="s">
        <v>6</v>
      </c>
      <c r="G67" s="116" t="s">
        <v>179</v>
      </c>
      <c r="H67" s="116" t="s">
        <v>40</v>
      </c>
      <c r="I67" s="116" t="s">
        <v>34</v>
      </c>
      <c r="J67" s="116">
        <v>8760</v>
      </c>
      <c r="K67" s="136">
        <v>1</v>
      </c>
      <c r="L67" s="116">
        <v>1</v>
      </c>
      <c r="M67" s="137">
        <f>N67</f>
        <v>34.540361669999996</v>
      </c>
      <c r="N67" s="138">
        <f>34540.36167/1000</f>
        <v>34.540361669999996</v>
      </c>
      <c r="O67" s="139">
        <v>0</v>
      </c>
      <c r="P67" s="116">
        <v>25</v>
      </c>
      <c r="Q67" s="139">
        <v>5.0000000000000001E-3</v>
      </c>
      <c r="R67" s="116">
        <v>1</v>
      </c>
      <c r="S67" s="116">
        <v>1</v>
      </c>
      <c r="T67" s="140">
        <f>Capacity!B72*1000</f>
        <v>0</v>
      </c>
      <c r="U67" s="141">
        <v>0</v>
      </c>
      <c r="V67" s="141">
        <v>0</v>
      </c>
      <c r="W67" s="141">
        <v>0</v>
      </c>
      <c r="X67" s="142"/>
      <c r="Y67" s="142"/>
      <c r="Z67" s="116">
        <v>6.7</v>
      </c>
      <c r="AA67" s="116">
        <v>0.112</v>
      </c>
      <c r="AB67" s="143"/>
      <c r="AC67" s="142">
        <v>1</v>
      </c>
      <c r="AD67" s="142"/>
      <c r="AE67" s="144"/>
      <c r="AF67" s="116">
        <v>0</v>
      </c>
      <c r="AG67" s="116">
        <f>Z67*Conversions!$D$4</f>
        <v>8.3007477958565321</v>
      </c>
      <c r="AH67" s="138">
        <f t="shared" si="5"/>
        <v>26.239613874143465</v>
      </c>
      <c r="AI67" s="116">
        <f t="shared" si="6"/>
        <v>13</v>
      </c>
      <c r="AJ67" s="116">
        <f t="shared" si="7"/>
        <v>0.14964415165301803</v>
      </c>
      <c r="AK67" s="145">
        <f t="shared" si="8"/>
        <v>175.34673814039604</v>
      </c>
      <c r="AL67" s="139">
        <f t="shared" si="4"/>
        <v>0</v>
      </c>
    </row>
    <row r="68" spans="1:38" x14ac:dyDescent="0.25">
      <c r="A68" s="110"/>
      <c r="B68" s="110" t="s">
        <v>13</v>
      </c>
      <c r="C68" s="110" t="s">
        <v>82</v>
      </c>
      <c r="D68" s="110" t="s">
        <v>299</v>
      </c>
      <c r="E68" s="110" t="s">
        <v>301</v>
      </c>
      <c r="F68" s="110" t="s">
        <v>6</v>
      </c>
      <c r="G68" s="110" t="s">
        <v>179</v>
      </c>
      <c r="H68" s="110" t="s">
        <v>33</v>
      </c>
      <c r="I68" s="110" t="s">
        <v>34</v>
      </c>
      <c r="J68" s="110">
        <v>8760</v>
      </c>
      <c r="K68" s="111">
        <v>0.38096819999999998</v>
      </c>
      <c r="L68" s="110"/>
      <c r="M68" s="112"/>
      <c r="N68" s="112">
        <f>13721.03129/1000</f>
        <v>13.721031290000001</v>
      </c>
      <c r="O68" s="113">
        <v>133.5230182</v>
      </c>
      <c r="P68" s="110">
        <v>40</v>
      </c>
      <c r="Q68" s="113">
        <v>6.6000000000000003E-2</v>
      </c>
      <c r="R68" s="110"/>
      <c r="S68" s="110"/>
      <c r="T68" s="117">
        <f>T8+T20+T32+T44+T56</f>
        <v>264372.46999899996</v>
      </c>
      <c r="U68" s="117">
        <f>U8+U20+U32+U44+U56</f>
        <v>0</v>
      </c>
      <c r="V68" s="117">
        <f t="shared" ref="V68:W68" si="9">V8+V20+V32+V44+V56</f>
        <v>0</v>
      </c>
      <c r="W68" s="117">
        <f t="shared" si="9"/>
        <v>0</v>
      </c>
      <c r="X68" s="1">
        <f>CarriersTech_characteristics!$G$2</f>
        <v>17.207187650000002</v>
      </c>
      <c r="Y68" s="1">
        <f>CarriersTech_characteristics!$H$28*1000</f>
        <v>1942097.6230000001</v>
      </c>
      <c r="Z68" s="110"/>
      <c r="AA68" s="110"/>
      <c r="AC68" s="1">
        <f>1/K68/(1-Q68)</f>
        <v>2.8103758044980376</v>
      </c>
      <c r="AD68" s="123"/>
      <c r="AE68" s="129">
        <f>Y68/(X68*Conversions!$D$2)</f>
        <v>0.40631575182871843</v>
      </c>
      <c r="AF68" s="114"/>
      <c r="AG68" s="110"/>
      <c r="AH68" s="110"/>
      <c r="AI68" s="110"/>
      <c r="AJ68" s="110"/>
      <c r="AK68" s="110"/>
      <c r="AL68" s="110"/>
    </row>
    <row r="69" spans="1:38" s="110" customFormat="1" x14ac:dyDescent="0.25">
      <c r="B69" s="110" t="s">
        <v>14</v>
      </c>
      <c r="C69" s="110" t="s">
        <v>82</v>
      </c>
      <c r="D69" s="110" t="s">
        <v>299</v>
      </c>
      <c r="E69" s="110" t="s">
        <v>306</v>
      </c>
      <c r="F69" s="110" t="s">
        <v>6</v>
      </c>
      <c r="G69" s="110" t="s">
        <v>179</v>
      </c>
      <c r="H69" s="110" t="s">
        <v>35</v>
      </c>
      <c r="I69" s="110" t="s">
        <v>34</v>
      </c>
      <c r="J69" s="110">
        <v>8760</v>
      </c>
      <c r="K69" s="111">
        <v>0.40444272199999998</v>
      </c>
      <c r="L69" s="110">
        <v>0.85</v>
      </c>
      <c r="M69" s="112">
        <f>8512.22780274884/1000</f>
        <v>8.5122278027488392</v>
      </c>
      <c r="N69" s="112">
        <f>8512.227803/1000</f>
        <v>8.512227803</v>
      </c>
      <c r="O69" s="113">
        <v>0</v>
      </c>
      <c r="P69" s="110">
        <v>25</v>
      </c>
      <c r="Q69" s="113">
        <v>0.02</v>
      </c>
      <c r="R69" s="110">
        <v>0.9</v>
      </c>
      <c r="S69" s="110">
        <v>0.9</v>
      </c>
      <c r="T69" s="117">
        <f t="shared" ref="T69:W69" si="10">T9+T21+T33+T45+T57</f>
        <v>31397.200000000001</v>
      </c>
      <c r="U69" s="117">
        <f t="shared" ref="U69:U79" si="11">U9+U21+U33+U45+U57</f>
        <v>0</v>
      </c>
      <c r="V69" s="117">
        <f t="shared" si="10"/>
        <v>0</v>
      </c>
      <c r="W69" s="117">
        <f t="shared" si="10"/>
        <v>0</v>
      </c>
      <c r="X69" s="1">
        <f>CarriersTech_characteristics!$G$3</f>
        <v>37.681199999999997</v>
      </c>
      <c r="Y69" s="1">
        <f>CarriersTech_characteristics!$H$3*1000</f>
        <v>3025024.5490000001</v>
      </c>
      <c r="AB69" s="134"/>
      <c r="AC69" s="1">
        <f>1/K69/(1-Q69)</f>
        <v>2.5229979617863072</v>
      </c>
      <c r="AD69" s="123"/>
      <c r="AE69" s="129">
        <f>(Y69*Conversions!$D$3)/(X69*Conversions!$D$2)</f>
        <v>0.23958587284408495</v>
      </c>
      <c r="AH69" s="112"/>
      <c r="AK69" s="115"/>
    </row>
    <row r="70" spans="1:38" s="110" customFormat="1" x14ac:dyDescent="0.25">
      <c r="B70" s="110" t="s">
        <v>16</v>
      </c>
      <c r="C70" s="110" t="s">
        <v>82</v>
      </c>
      <c r="D70" s="110" t="s">
        <v>299</v>
      </c>
      <c r="F70" s="110" t="s">
        <v>6</v>
      </c>
      <c r="G70" s="110" t="s">
        <v>179</v>
      </c>
      <c r="H70" s="110" t="s">
        <v>35</v>
      </c>
      <c r="I70" s="110" t="s">
        <v>34</v>
      </c>
      <c r="J70" s="110">
        <v>8760</v>
      </c>
      <c r="K70" s="111">
        <v>0.28070162799999998</v>
      </c>
      <c r="L70" s="110">
        <v>0.85</v>
      </c>
      <c r="M70" s="112">
        <f>6679.75064927145/1000</f>
        <v>6.6797506492714502</v>
      </c>
      <c r="N70" s="112">
        <f>6679.750649/1000</f>
        <v>6.6797506489999998</v>
      </c>
      <c r="O70" s="113">
        <v>0</v>
      </c>
      <c r="P70" s="110">
        <v>25</v>
      </c>
      <c r="Q70" s="113">
        <v>0.01</v>
      </c>
      <c r="R70" s="110">
        <v>1</v>
      </c>
      <c r="S70" s="110">
        <v>1</v>
      </c>
      <c r="T70" s="117">
        <f t="shared" ref="T70:W70" si="12">T10+T22+T34+T46+T58</f>
        <v>0</v>
      </c>
      <c r="U70" s="117">
        <f t="shared" si="11"/>
        <v>0</v>
      </c>
      <c r="V70" s="117">
        <f t="shared" si="12"/>
        <v>0</v>
      </c>
      <c r="W70" s="117">
        <f t="shared" si="12"/>
        <v>0</v>
      </c>
      <c r="X70" s="1">
        <f>CarriersTech_characteristics!$G$3</f>
        <v>37.681199999999997</v>
      </c>
      <c r="Y70" s="1">
        <f>CarriersTech_characteristics!$H$3*1000</f>
        <v>3025024.5490000001</v>
      </c>
      <c r="AB70" s="134"/>
      <c r="AC70" s="1">
        <f>1/K70/(1-Q70)</f>
        <v>3.5984864687033813</v>
      </c>
      <c r="AD70" s="123"/>
      <c r="AE70" s="129">
        <f>(Y70*Conversions!$D$3)/(X70*Conversions!$D$2)</f>
        <v>0.23958587284408495</v>
      </c>
      <c r="AH70" s="112"/>
      <c r="AK70" s="115"/>
    </row>
    <row r="71" spans="1:38" s="110" customFormat="1" x14ac:dyDescent="0.25">
      <c r="B71" s="110" t="s">
        <v>17</v>
      </c>
      <c r="C71" s="110" t="s">
        <v>82</v>
      </c>
      <c r="D71" s="110" t="s">
        <v>299</v>
      </c>
      <c r="E71" s="110" t="s">
        <v>307</v>
      </c>
      <c r="F71" s="110" t="s">
        <v>6</v>
      </c>
      <c r="G71" s="110" t="s">
        <v>179</v>
      </c>
      <c r="H71" s="110" t="s">
        <v>36</v>
      </c>
      <c r="I71" s="110" t="s">
        <v>34</v>
      </c>
      <c r="J71" s="110">
        <v>8760</v>
      </c>
      <c r="K71" s="111">
        <v>1</v>
      </c>
      <c r="L71" s="110">
        <v>0.70916666699999997</v>
      </c>
      <c r="M71" s="112">
        <f>20833.2103478327/1000</f>
        <v>20.833210347832701</v>
      </c>
      <c r="N71" s="112">
        <f>20833.21035/1000</f>
        <v>20.833210350000002</v>
      </c>
      <c r="O71" s="113">
        <v>0</v>
      </c>
      <c r="P71" s="110">
        <v>40</v>
      </c>
      <c r="Q71" s="113">
        <v>0.10780000000000001</v>
      </c>
      <c r="R71" s="110">
        <v>0.01</v>
      </c>
      <c r="S71" s="110">
        <v>0.01</v>
      </c>
      <c r="T71" s="117">
        <f t="shared" ref="T71:W71" si="13">T11+T23+T35+T47+T59</f>
        <v>8180.0099999999993</v>
      </c>
      <c r="U71" s="117">
        <f t="shared" si="11"/>
        <v>0</v>
      </c>
      <c r="V71" s="117">
        <f t="shared" si="13"/>
        <v>0</v>
      </c>
      <c r="W71" s="117">
        <f t="shared" si="13"/>
        <v>0</v>
      </c>
      <c r="X71" s="125"/>
      <c r="Y71" s="125"/>
      <c r="AB71" s="134"/>
      <c r="AC71" s="1">
        <f>1/K71/(1-Q71)</f>
        <v>1.1208249271463797</v>
      </c>
      <c r="AD71" s="123"/>
      <c r="AE71" s="124"/>
      <c r="AH71" s="112"/>
      <c r="AK71" s="115"/>
    </row>
    <row r="72" spans="1:38" s="110" customFormat="1" x14ac:dyDescent="0.25">
      <c r="B72" s="110" t="s">
        <v>22</v>
      </c>
      <c r="C72" s="110" t="s">
        <v>82</v>
      </c>
      <c r="D72" s="110" t="s">
        <v>299</v>
      </c>
      <c r="F72" s="110" t="s">
        <v>6</v>
      </c>
      <c r="G72" s="110" t="s">
        <v>179</v>
      </c>
      <c r="H72" s="110" t="s">
        <v>36</v>
      </c>
      <c r="I72" s="110" t="s">
        <v>34</v>
      </c>
      <c r="J72" s="110">
        <v>8760</v>
      </c>
      <c r="K72" s="111">
        <v>1</v>
      </c>
      <c r="L72" s="110">
        <v>0.70916666699999997</v>
      </c>
      <c r="M72" s="112"/>
      <c r="N72" s="112">
        <f>35289.42939/1000</f>
        <v>35.289429389999995</v>
      </c>
      <c r="O72" s="113">
        <v>0</v>
      </c>
      <c r="P72" s="110">
        <v>30</v>
      </c>
      <c r="Q72" s="113">
        <v>0.05</v>
      </c>
      <c r="R72" s="110">
        <v>0.01</v>
      </c>
      <c r="S72" s="110">
        <v>0.01</v>
      </c>
      <c r="T72" s="117">
        <f t="shared" ref="T72:W72" si="14">T12+T24+T36+T48+T60</f>
        <v>0</v>
      </c>
      <c r="U72" s="117">
        <f t="shared" si="11"/>
        <v>0</v>
      </c>
      <c r="V72" s="117">
        <f t="shared" si="14"/>
        <v>0</v>
      </c>
      <c r="W72" s="117">
        <f t="shared" si="14"/>
        <v>0</v>
      </c>
      <c r="X72" s="125"/>
      <c r="Y72" s="125"/>
      <c r="AB72" s="134"/>
      <c r="AC72" s="1">
        <f>1/K72/(1-Q72)</f>
        <v>1.0526315789473684</v>
      </c>
      <c r="AD72" s="123"/>
      <c r="AE72" s="124"/>
      <c r="AH72" s="112"/>
      <c r="AK72" s="115"/>
    </row>
    <row r="73" spans="1:38" s="110" customFormat="1" x14ac:dyDescent="0.25">
      <c r="B73" s="110" t="s">
        <v>15</v>
      </c>
      <c r="C73" s="110" t="s">
        <v>82</v>
      </c>
      <c r="D73" s="110" t="s">
        <v>303</v>
      </c>
      <c r="E73" s="110" t="s">
        <v>304</v>
      </c>
      <c r="F73" s="110" t="s">
        <v>6</v>
      </c>
      <c r="G73" s="110" t="s">
        <v>179</v>
      </c>
      <c r="H73" s="110" t="s">
        <v>37</v>
      </c>
      <c r="I73" s="110" t="s">
        <v>34</v>
      </c>
      <c r="J73" s="110">
        <v>8760</v>
      </c>
      <c r="K73" s="111">
        <v>1</v>
      </c>
      <c r="L73" s="110">
        <v>1</v>
      </c>
      <c r="M73" s="112">
        <f>19631.8145207228/1000</f>
        <v>19.631814520722802</v>
      </c>
      <c r="N73" s="112">
        <f>19631.81452/1000</f>
        <v>19.631814519999999</v>
      </c>
      <c r="O73" s="113">
        <v>0</v>
      </c>
      <c r="P73" s="110">
        <v>40</v>
      </c>
      <c r="Q73" s="113">
        <v>6.0000000000000001E-3</v>
      </c>
      <c r="R73" s="110">
        <v>1</v>
      </c>
      <c r="S73" s="110">
        <v>1</v>
      </c>
      <c r="T73" s="117">
        <f t="shared" ref="T73:W73" si="15">T13+T25+T37+T49+T61</f>
        <v>46491.18</v>
      </c>
      <c r="U73" s="117">
        <f t="shared" si="11"/>
        <v>0</v>
      </c>
      <c r="V73" s="117">
        <f t="shared" si="15"/>
        <v>0</v>
      </c>
      <c r="W73" s="117">
        <f t="shared" si="15"/>
        <v>0</v>
      </c>
      <c r="X73" s="123"/>
      <c r="Y73" s="126"/>
      <c r="AB73" s="134"/>
      <c r="AC73" s="122"/>
      <c r="AD73" s="1">
        <f>K73-Q73</f>
        <v>0.99399999999999999</v>
      </c>
      <c r="AE73" s="122"/>
      <c r="AH73" s="112"/>
      <c r="AK73" s="115"/>
    </row>
    <row r="74" spans="1:38" s="110" customFormat="1" x14ac:dyDescent="0.25">
      <c r="B74" s="110" t="s">
        <v>18</v>
      </c>
      <c r="C74" s="110" t="s">
        <v>82</v>
      </c>
      <c r="D74" s="110" t="s">
        <v>303</v>
      </c>
      <c r="E74" s="110" t="s">
        <v>305</v>
      </c>
      <c r="F74" s="110" t="s">
        <v>6</v>
      </c>
      <c r="G74" s="110" t="s">
        <v>179</v>
      </c>
      <c r="H74" s="110" t="s">
        <v>37</v>
      </c>
      <c r="I74" s="110" t="s">
        <v>34</v>
      </c>
      <c r="J74" s="110">
        <v>8760</v>
      </c>
      <c r="K74" s="111">
        <v>1</v>
      </c>
      <c r="L74" s="110">
        <v>1</v>
      </c>
      <c r="M74" s="112">
        <f>11825.3487554956/1000</f>
        <v>11.825348755495598</v>
      </c>
      <c r="N74" s="112">
        <f>11825.34876/1000</f>
        <v>11.825348760000001</v>
      </c>
      <c r="O74" s="113">
        <v>0</v>
      </c>
      <c r="P74" s="110">
        <v>35</v>
      </c>
      <c r="Q74" s="113">
        <v>0.01</v>
      </c>
      <c r="R74" s="110">
        <v>1</v>
      </c>
      <c r="S74" s="110">
        <v>1</v>
      </c>
      <c r="T74" s="117">
        <f t="shared" ref="T74:W74" si="16">T14+T26+T38+T50+T62</f>
        <v>4939.05</v>
      </c>
      <c r="U74" s="117">
        <f t="shared" si="11"/>
        <v>0</v>
      </c>
      <c r="V74" s="117">
        <f t="shared" si="16"/>
        <v>0</v>
      </c>
      <c r="W74" s="117">
        <f t="shared" si="16"/>
        <v>0</v>
      </c>
      <c r="X74" s="123"/>
      <c r="Y74" s="126"/>
      <c r="AB74" s="134"/>
      <c r="AC74" s="122"/>
      <c r="AD74" s="1">
        <f>K74-Q74</f>
        <v>0.99</v>
      </c>
      <c r="AE74" s="122"/>
      <c r="AH74" s="112"/>
      <c r="AK74" s="115"/>
    </row>
    <row r="75" spans="1:38" s="110" customFormat="1" x14ac:dyDescent="0.25">
      <c r="B75" s="110" t="s">
        <v>7</v>
      </c>
      <c r="C75" s="110" t="s">
        <v>82</v>
      </c>
      <c r="D75" s="110" t="s">
        <v>299</v>
      </c>
      <c r="E75" s="110" t="s">
        <v>302</v>
      </c>
      <c r="F75" s="110" t="s">
        <v>6</v>
      </c>
      <c r="G75" s="110" t="s">
        <v>179</v>
      </c>
      <c r="H75" s="110" t="s">
        <v>38</v>
      </c>
      <c r="I75" s="110" t="s">
        <v>34</v>
      </c>
      <c r="J75" s="110">
        <v>8760</v>
      </c>
      <c r="K75" s="111">
        <v>0.238845897</v>
      </c>
      <c r="L75" s="110">
        <v>1</v>
      </c>
      <c r="M75" s="112">
        <f>7713.45723965334/1000</f>
        <v>7.7134572396533407</v>
      </c>
      <c r="N75" s="112">
        <f>7713.45724/1000</f>
        <v>7.7134572399999994</v>
      </c>
      <c r="O75" s="113">
        <v>0</v>
      </c>
      <c r="P75" s="110">
        <v>20</v>
      </c>
      <c r="Q75" s="113">
        <v>0.1</v>
      </c>
      <c r="R75" s="110">
        <v>0.06</v>
      </c>
      <c r="S75" s="110">
        <v>0.06</v>
      </c>
      <c r="T75" s="117">
        <f t="shared" ref="T75:W75" si="17">T15+T27+T39+T51+T63</f>
        <v>10830.04</v>
      </c>
      <c r="U75" s="117">
        <f t="shared" si="11"/>
        <v>0</v>
      </c>
      <c r="V75" s="117">
        <f t="shared" si="17"/>
        <v>0</v>
      </c>
      <c r="W75" s="117">
        <f t="shared" si="17"/>
        <v>0</v>
      </c>
      <c r="X75" s="1">
        <f>CarriersTech_characteristics!$G$7</f>
        <v>13.648968</v>
      </c>
      <c r="Y75" s="1">
        <f>CarriersTech_characteristics!$H$5*1000</f>
        <v>1656436.6880000001</v>
      </c>
      <c r="Z75" s="118"/>
      <c r="AB75" s="134"/>
      <c r="AC75" s="1">
        <f>1/K75/(1-Q75)</f>
        <v>4.6519999927447406</v>
      </c>
      <c r="AD75" s="123"/>
      <c r="AE75" s="128">
        <f>Y75/(X75*Conversions!$D$2)</f>
        <v>0.43689545093040172</v>
      </c>
      <c r="AH75" s="112"/>
      <c r="AK75" s="115"/>
    </row>
    <row r="76" spans="1:38" s="110" customFormat="1" x14ac:dyDescent="0.25">
      <c r="B76" s="110" t="s">
        <v>19</v>
      </c>
      <c r="C76" s="110" t="s">
        <v>82</v>
      </c>
      <c r="D76" s="110" t="s">
        <v>311</v>
      </c>
      <c r="E76" s="110" t="s">
        <v>308</v>
      </c>
      <c r="F76" s="110" t="s">
        <v>6</v>
      </c>
      <c r="G76" s="110" t="s">
        <v>179</v>
      </c>
      <c r="H76" s="110" t="s">
        <v>39</v>
      </c>
      <c r="I76" s="110" t="s">
        <v>34</v>
      </c>
      <c r="J76" s="110">
        <v>8760</v>
      </c>
      <c r="K76" s="111">
        <v>1</v>
      </c>
      <c r="L76" s="110">
        <v>1</v>
      </c>
      <c r="M76" s="112">
        <f>5630.98419436319/1000</f>
        <v>5.6309841943631902</v>
      </c>
      <c r="N76" s="112">
        <f>5439.705856/1000</f>
        <v>5.4397058559999998</v>
      </c>
      <c r="O76" s="113">
        <v>0</v>
      </c>
      <c r="P76" s="110">
        <v>25</v>
      </c>
      <c r="Q76" s="113">
        <v>0.01</v>
      </c>
      <c r="R76" s="110">
        <v>1</v>
      </c>
      <c r="S76" s="110">
        <v>1</v>
      </c>
      <c r="T76" s="117">
        <f t="shared" ref="T76:W76" si="18">T16+T28+T40+T52+T64</f>
        <v>58366.792573999992</v>
      </c>
      <c r="U76" s="117">
        <f t="shared" si="11"/>
        <v>0</v>
      </c>
      <c r="V76" s="117">
        <f t="shared" si="18"/>
        <v>0</v>
      </c>
      <c r="W76" s="117">
        <f t="shared" si="18"/>
        <v>0</v>
      </c>
      <c r="X76" s="123"/>
      <c r="Y76" s="127" t="s">
        <v>323</v>
      </c>
      <c r="AB76" s="134"/>
      <c r="AC76" s="123">
        <v>1</v>
      </c>
      <c r="AD76" s="123"/>
      <c r="AE76" s="122"/>
      <c r="AH76" s="112"/>
      <c r="AK76" s="115"/>
    </row>
    <row r="77" spans="1:38" s="110" customFormat="1" x14ac:dyDescent="0.25">
      <c r="B77" s="110" t="s">
        <v>20</v>
      </c>
      <c r="C77" s="110" t="s">
        <v>82</v>
      </c>
      <c r="D77" s="110" t="s">
        <v>311</v>
      </c>
      <c r="E77" s="110" t="s">
        <v>309</v>
      </c>
      <c r="F77" s="110" t="s">
        <v>6</v>
      </c>
      <c r="G77" s="110" t="s">
        <v>179</v>
      </c>
      <c r="H77" s="110" t="s">
        <v>39</v>
      </c>
      <c r="I77" s="110" t="s">
        <v>34</v>
      </c>
      <c r="J77" s="110">
        <v>8760</v>
      </c>
      <c r="K77" s="111">
        <v>1</v>
      </c>
      <c r="L77" s="110">
        <v>1</v>
      </c>
      <c r="M77" s="112">
        <f>5542.18769541597/1000</f>
        <v>5.5421876954159695</v>
      </c>
      <c r="N77" s="112">
        <f>5362.133837/1000</f>
        <v>5.362133837</v>
      </c>
      <c r="O77" s="113">
        <v>0</v>
      </c>
      <c r="P77" s="110">
        <v>25</v>
      </c>
      <c r="Q77" s="113">
        <v>6.0000000000000001E-3</v>
      </c>
      <c r="R77" s="110">
        <v>1</v>
      </c>
      <c r="S77" s="110">
        <v>1</v>
      </c>
      <c r="T77" s="117">
        <f t="shared" ref="T77:W77" si="19">T17+T29+T41+T53+T65</f>
        <v>9468.2674249999982</v>
      </c>
      <c r="U77" s="117">
        <f t="shared" si="11"/>
        <v>0</v>
      </c>
      <c r="V77" s="117">
        <f t="shared" si="19"/>
        <v>0</v>
      </c>
      <c r="W77" s="117">
        <f t="shared" si="19"/>
        <v>0</v>
      </c>
      <c r="X77" s="123"/>
      <c r="Y77" s="123"/>
      <c r="AB77" s="134"/>
      <c r="AC77" s="123">
        <v>1</v>
      </c>
      <c r="AD77" s="123"/>
      <c r="AE77" s="122"/>
      <c r="AH77" s="112"/>
      <c r="AK77" s="115"/>
    </row>
    <row r="78" spans="1:38" s="110" customFormat="1" x14ac:dyDescent="0.25">
      <c r="B78" s="110" t="s">
        <v>21</v>
      </c>
      <c r="C78" s="110" t="s">
        <v>82</v>
      </c>
      <c r="D78" s="110" t="s">
        <v>311</v>
      </c>
      <c r="E78" s="110" t="s">
        <v>310</v>
      </c>
      <c r="F78" s="110" t="s">
        <v>6</v>
      </c>
      <c r="G78" s="110" t="s">
        <v>179</v>
      </c>
      <c r="H78" s="110" t="s">
        <v>40</v>
      </c>
      <c r="I78" s="110" t="s">
        <v>34</v>
      </c>
      <c r="J78" s="110">
        <v>8760</v>
      </c>
      <c r="K78" s="111">
        <v>1</v>
      </c>
      <c r="L78" s="110">
        <v>1</v>
      </c>
      <c r="M78" s="112">
        <f>10659.4302732183/1000</f>
        <v>10.6594302732183</v>
      </c>
      <c r="N78" s="112">
        <f>10586.96446/1000</f>
        <v>10.586964459999999</v>
      </c>
      <c r="O78" s="113">
        <v>0</v>
      </c>
      <c r="P78" s="110">
        <v>25</v>
      </c>
      <c r="Q78" s="113">
        <v>5.0000000000000001E-3</v>
      </c>
      <c r="R78" s="110">
        <v>1</v>
      </c>
      <c r="S78" s="110">
        <v>1</v>
      </c>
      <c r="T78" s="117">
        <f t="shared" ref="T78:W78" si="20">T18+T30+T42+T54+T66</f>
        <v>46169.83</v>
      </c>
      <c r="U78" s="117">
        <f t="shared" si="11"/>
        <v>0</v>
      </c>
      <c r="V78" s="117">
        <f t="shared" si="20"/>
        <v>0</v>
      </c>
      <c r="W78" s="117">
        <f t="shared" si="20"/>
        <v>0</v>
      </c>
      <c r="X78" s="123"/>
      <c r="Y78" s="123"/>
      <c r="AB78" s="134"/>
      <c r="AC78" s="123">
        <v>1</v>
      </c>
      <c r="AD78" s="123"/>
      <c r="AE78" s="122"/>
      <c r="AH78" s="112"/>
      <c r="AK78" s="115"/>
    </row>
    <row r="79" spans="1:38" s="110" customFormat="1" x14ac:dyDescent="0.25">
      <c r="B79" s="110" t="s">
        <v>23</v>
      </c>
      <c r="C79" s="110" t="s">
        <v>82</v>
      </c>
      <c r="D79" s="110" t="s">
        <v>311</v>
      </c>
      <c r="F79" s="110" t="s">
        <v>6</v>
      </c>
      <c r="G79" s="110" t="s">
        <v>179</v>
      </c>
      <c r="H79" s="110" t="s">
        <v>40</v>
      </c>
      <c r="I79" s="110" t="s">
        <v>34</v>
      </c>
      <c r="J79" s="110">
        <v>8760</v>
      </c>
      <c r="K79" s="111">
        <v>1</v>
      </c>
      <c r="L79" s="110">
        <v>1</v>
      </c>
      <c r="M79" s="112"/>
      <c r="N79" s="112">
        <f>34540.36167/1000</f>
        <v>34.540361669999996</v>
      </c>
      <c r="O79" s="113">
        <v>0</v>
      </c>
      <c r="P79" s="110">
        <v>25</v>
      </c>
      <c r="Q79" s="113">
        <v>5.0000000000000001E-3</v>
      </c>
      <c r="R79" s="110">
        <v>1</v>
      </c>
      <c r="S79" s="110">
        <v>1</v>
      </c>
      <c r="T79" s="117">
        <f t="shared" ref="T79:W79" si="21">T19+T31+T43+T55+T67</f>
        <v>0</v>
      </c>
      <c r="U79" s="117">
        <f t="shared" si="11"/>
        <v>0</v>
      </c>
      <c r="V79" s="117">
        <f t="shared" si="21"/>
        <v>0</v>
      </c>
      <c r="W79" s="117">
        <f t="shared" si="21"/>
        <v>0</v>
      </c>
      <c r="X79" s="123"/>
      <c r="Y79" s="123"/>
      <c r="AB79" s="134"/>
      <c r="AC79" s="123">
        <v>1</v>
      </c>
      <c r="AD79" s="123"/>
      <c r="AE79" s="122"/>
    </row>
    <row r="86" spans="8:8" x14ac:dyDescent="0.25">
      <c r="H86" s="1"/>
    </row>
    <row r="87" spans="8:8" x14ac:dyDescent="0.25">
      <c r="H87" s="1"/>
    </row>
    <row r="88" spans="8:8" x14ac:dyDescent="0.25">
      <c r="H88" s="1"/>
    </row>
    <row r="89" spans="8:8" x14ac:dyDescent="0.25">
      <c r="H89" s="1"/>
    </row>
    <row r="90" spans="8:8" x14ac:dyDescent="0.25">
      <c r="H90" s="1"/>
    </row>
    <row r="91" spans="8:8" x14ac:dyDescent="0.25">
      <c r="H91" s="1"/>
    </row>
    <row r="92" spans="8:8" x14ac:dyDescent="0.25">
      <c r="H92" s="1"/>
    </row>
    <row r="93" spans="8:8" x14ac:dyDescent="0.25">
      <c r="H93" s="1"/>
    </row>
    <row r="94" spans="8:8" x14ac:dyDescent="0.25">
      <c r="H94" s="1"/>
    </row>
    <row r="95" spans="8:8" x14ac:dyDescent="0.25">
      <c r="H95" s="1"/>
    </row>
    <row r="96" spans="8:8" x14ac:dyDescent="0.25">
      <c r="H96" s="1"/>
    </row>
    <row r="97" spans="8:8" x14ac:dyDescent="0.25">
      <c r="H97" s="1"/>
    </row>
    <row r="98" spans="8:8" x14ac:dyDescent="0.25">
      <c r="H98" s="1"/>
    </row>
    <row r="99" spans="8:8" x14ac:dyDescent="0.25">
      <c r="H99" s="1"/>
    </row>
    <row r="100" spans="8:8" x14ac:dyDescent="0.25">
      <c r="H100" s="1"/>
    </row>
    <row r="101" spans="8:8" x14ac:dyDescent="0.25">
      <c r="H101" s="1"/>
    </row>
    <row r="102" spans="8:8" x14ac:dyDescent="0.25">
      <c r="H102" s="1"/>
    </row>
    <row r="103" spans="8:8" x14ac:dyDescent="0.25">
      <c r="H103" s="1"/>
    </row>
    <row r="104" spans="8:8" x14ac:dyDescent="0.25">
      <c r="H104" s="1"/>
    </row>
  </sheetData>
  <sortState xmlns:xlrd2="http://schemas.microsoft.com/office/spreadsheetml/2017/richdata2" ref="B23:AK67">
    <sortCondition ref="C23:C67"/>
  </sortState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BB800-7660-4A55-809A-F775AB2D0288}">
  <dimension ref="A1:AL104"/>
  <sheetViews>
    <sheetView workbookViewId="0">
      <pane xSplit="3" ySplit="7" topLeftCell="V8" activePane="bottomRight" state="frozen"/>
      <selection pane="topRight" activeCell="C1" sqref="C1"/>
      <selection pane="bottomLeft" activeCell="A7" sqref="A7"/>
      <selection pane="bottomRight" activeCell="AJ9" sqref="AJ9"/>
    </sheetView>
  </sheetViews>
  <sheetFormatPr defaultRowHeight="15" x14ac:dyDescent="0.25"/>
  <cols>
    <col min="2" max="2" width="16.5703125" bestFit="1" customWidth="1"/>
    <col min="3" max="3" width="6" customWidth="1"/>
    <col min="4" max="4" width="13.85546875" bestFit="1" customWidth="1"/>
    <col min="5" max="5" width="14.85546875" bestFit="1" customWidth="1"/>
    <col min="6" max="6" width="16" bestFit="1" customWidth="1"/>
    <col min="7" max="7" width="12.140625" bestFit="1" customWidth="1"/>
    <col min="8" max="8" width="15.7109375" bestFit="1" customWidth="1"/>
    <col min="9" max="9" width="11.42578125" bestFit="1" customWidth="1"/>
    <col min="10" max="10" width="11.42578125" customWidth="1"/>
    <col min="11" max="11" width="8.28515625" bestFit="1" customWidth="1"/>
    <col min="12" max="12" width="13.140625" bestFit="1" customWidth="1"/>
    <col min="13" max="13" width="18.140625" customWidth="1"/>
    <col min="14" max="14" width="18.42578125" customWidth="1"/>
    <col min="15" max="15" width="14" customWidth="1"/>
    <col min="16" max="16" width="8.5703125" bestFit="1" customWidth="1"/>
    <col min="17" max="17" width="9.28515625" bestFit="1" customWidth="1"/>
    <col min="18" max="18" width="11.42578125" customWidth="1"/>
    <col min="19" max="19" width="13.85546875" customWidth="1"/>
    <col min="20" max="20" width="14.7109375" customWidth="1"/>
    <col min="21" max="21" width="10.140625" customWidth="1"/>
    <col min="22" max="22" width="12" customWidth="1"/>
    <col min="23" max="23" width="12.42578125" customWidth="1"/>
    <col min="24" max="24" width="18.7109375" bestFit="1" customWidth="1"/>
    <col min="25" max="25" width="19.42578125" bestFit="1" customWidth="1"/>
    <col min="28" max="28" width="10.140625" style="134" customWidth="1"/>
    <col min="29" max="29" width="17.42578125" bestFit="1" customWidth="1"/>
    <col min="30" max="30" width="17.42578125" customWidth="1"/>
    <col min="31" max="31" width="16.140625" bestFit="1" customWidth="1"/>
    <col min="32" max="32" width="20.28515625" customWidth="1"/>
    <col min="34" max="34" width="18.7109375" customWidth="1"/>
    <col min="37" max="37" width="9.5703125" bestFit="1" customWidth="1"/>
    <col min="38" max="38" width="16.5703125" bestFit="1" customWidth="1"/>
  </cols>
  <sheetData>
    <row r="1" spans="1:38" s="7" customFormat="1" x14ac:dyDescent="0.25">
      <c r="A1" s="7" t="s">
        <v>204</v>
      </c>
      <c r="G1" s="7" t="s">
        <v>237</v>
      </c>
      <c r="H1" s="7" t="s">
        <v>237</v>
      </c>
      <c r="I1" s="7" t="s">
        <v>237</v>
      </c>
      <c r="J1" s="7" t="s">
        <v>237</v>
      </c>
      <c r="K1" s="7" t="s">
        <v>203</v>
      </c>
      <c r="L1" s="7" t="s">
        <v>203</v>
      </c>
      <c r="M1" s="7" t="s">
        <v>203</v>
      </c>
      <c r="N1" s="7" t="s">
        <v>203</v>
      </c>
      <c r="O1" s="7" t="s">
        <v>203</v>
      </c>
      <c r="P1" s="7" t="s">
        <v>208</v>
      </c>
      <c r="Q1" s="7" t="s">
        <v>209</v>
      </c>
      <c r="R1" s="7" t="s">
        <v>209</v>
      </c>
      <c r="S1" s="7" t="s">
        <v>209</v>
      </c>
      <c r="T1" s="7" t="s">
        <v>210</v>
      </c>
      <c r="V1" s="7" t="s">
        <v>211</v>
      </c>
      <c r="W1" s="7" t="s">
        <v>211</v>
      </c>
      <c r="X1" s="7" t="s">
        <v>322</v>
      </c>
      <c r="Y1" s="7" t="s">
        <v>321</v>
      </c>
      <c r="Z1" s="7" t="s">
        <v>335</v>
      </c>
      <c r="AA1" s="7" t="s">
        <v>335</v>
      </c>
      <c r="AB1" s="130"/>
    </row>
    <row r="2" spans="1:38" s="119" customFormat="1" x14ac:dyDescent="0.25">
      <c r="A2" s="119" t="s">
        <v>282</v>
      </c>
      <c r="B2" s="119" t="s">
        <v>0</v>
      </c>
      <c r="C2" s="119" t="s">
        <v>2</v>
      </c>
      <c r="F2" s="119" t="s">
        <v>1</v>
      </c>
      <c r="G2" s="119" t="s">
        <v>29</v>
      </c>
      <c r="H2" s="119" t="s">
        <v>30</v>
      </c>
      <c r="I2" s="119" t="s">
        <v>31</v>
      </c>
      <c r="J2" s="119" t="s">
        <v>32</v>
      </c>
      <c r="K2" s="119" t="s">
        <v>4</v>
      </c>
      <c r="L2" s="119" t="s">
        <v>5</v>
      </c>
      <c r="M2" s="119" t="s">
        <v>289</v>
      </c>
      <c r="N2" s="119" t="s">
        <v>289</v>
      </c>
      <c r="O2" s="119" t="s">
        <v>290</v>
      </c>
      <c r="P2" s="119" t="s">
        <v>25</v>
      </c>
      <c r="Q2" s="119" t="s">
        <v>26</v>
      </c>
      <c r="R2" s="119" t="s">
        <v>27</v>
      </c>
      <c r="S2" s="119" t="s">
        <v>28</v>
      </c>
      <c r="T2" s="119" t="s">
        <v>121</v>
      </c>
      <c r="U2" s="119" t="s">
        <v>365</v>
      </c>
      <c r="V2" s="119" t="s">
        <v>294</v>
      </c>
      <c r="W2" s="119" t="s">
        <v>295</v>
      </c>
      <c r="X2" s="119" t="s">
        <v>65</v>
      </c>
      <c r="Y2" s="119" t="s">
        <v>49</v>
      </c>
      <c r="AB2" s="131"/>
    </row>
    <row r="3" spans="1:38" s="7" customFormat="1" x14ac:dyDescent="0.25">
      <c r="A3" s="7" t="s">
        <v>83</v>
      </c>
      <c r="K3" s="7" t="s">
        <v>84</v>
      </c>
      <c r="L3" s="7" t="s">
        <v>85</v>
      </c>
      <c r="M3" s="7" t="s">
        <v>86</v>
      </c>
      <c r="N3" s="7" t="s">
        <v>87</v>
      </c>
      <c r="O3" s="7" t="s">
        <v>88</v>
      </c>
      <c r="P3" s="7" t="s">
        <v>89</v>
      </c>
      <c r="Q3" s="7" t="s">
        <v>90</v>
      </c>
      <c r="R3" s="7" t="s">
        <v>91</v>
      </c>
      <c r="S3" s="7" t="s">
        <v>205</v>
      </c>
      <c r="T3" s="7" t="s">
        <v>92</v>
      </c>
      <c r="U3" s="7" t="s">
        <v>103</v>
      </c>
      <c r="V3" s="7" t="s">
        <v>206</v>
      </c>
      <c r="W3" s="7" t="s">
        <v>104</v>
      </c>
      <c r="X3" s="7" t="s">
        <v>105</v>
      </c>
      <c r="Y3" s="7" t="s">
        <v>207</v>
      </c>
      <c r="Z3" s="7" t="s">
        <v>357</v>
      </c>
      <c r="AA3" s="7" t="s">
        <v>358</v>
      </c>
      <c r="AB3" s="130"/>
      <c r="AC3" s="7" t="s">
        <v>93</v>
      </c>
      <c r="AD3" s="7" t="s">
        <v>94</v>
      </c>
      <c r="AE3" s="7" t="s">
        <v>95</v>
      </c>
      <c r="AF3" s="7" t="s">
        <v>96</v>
      </c>
      <c r="AG3" s="7" t="s">
        <v>97</v>
      </c>
      <c r="AH3" s="7" t="s">
        <v>345</v>
      </c>
      <c r="AI3" s="7" t="s">
        <v>346</v>
      </c>
      <c r="AJ3" s="7" t="s">
        <v>349</v>
      </c>
      <c r="AK3" s="7" t="s">
        <v>350</v>
      </c>
      <c r="AL3" s="7" t="s">
        <v>368</v>
      </c>
    </row>
    <row r="4" spans="1:38" s="7" customFormat="1" x14ac:dyDescent="0.25">
      <c r="A4" s="7" t="s">
        <v>213</v>
      </c>
      <c r="C4" s="7" t="s">
        <v>215</v>
      </c>
      <c r="G4" s="7" t="s">
        <v>286</v>
      </c>
      <c r="H4" s="7" t="s">
        <v>214</v>
      </c>
      <c r="I4" s="7" t="s">
        <v>214</v>
      </c>
      <c r="J4" s="7" t="s">
        <v>238</v>
      </c>
      <c r="K4" s="7" t="s">
        <v>216</v>
      </c>
      <c r="L4" s="7" t="s">
        <v>224</v>
      </c>
      <c r="M4" s="7" t="s">
        <v>217</v>
      </c>
      <c r="N4" s="7" t="s">
        <v>218</v>
      </c>
      <c r="O4" s="7" t="s">
        <v>240</v>
      </c>
      <c r="P4" s="7" t="s">
        <v>219</v>
      </c>
      <c r="Q4" s="7" t="s">
        <v>291</v>
      </c>
      <c r="T4" s="7" t="s">
        <v>220</v>
      </c>
      <c r="U4" s="7" t="s">
        <v>366</v>
      </c>
      <c r="V4" s="7" t="s">
        <v>221</v>
      </c>
      <c r="W4" s="7" t="s">
        <v>222</v>
      </c>
      <c r="X4" s="7" t="s">
        <v>102</v>
      </c>
      <c r="Y4" s="7" t="s">
        <v>102</v>
      </c>
      <c r="Z4" s="7" t="s">
        <v>340</v>
      </c>
      <c r="AA4" s="7" t="s">
        <v>348</v>
      </c>
      <c r="AB4" s="130"/>
      <c r="AC4" s="7" t="s">
        <v>314</v>
      </c>
      <c r="AD4" s="7" t="s">
        <v>318</v>
      </c>
      <c r="AE4" s="7" t="s">
        <v>324</v>
      </c>
      <c r="AH4" s="7" t="s">
        <v>341</v>
      </c>
      <c r="AI4" s="7" t="s">
        <v>344</v>
      </c>
      <c r="AL4" s="7" t="s">
        <v>369</v>
      </c>
    </row>
    <row r="5" spans="1:38" s="7" customFormat="1" x14ac:dyDescent="0.25">
      <c r="A5" s="7" t="s">
        <v>283</v>
      </c>
      <c r="G5" s="7" t="s">
        <v>212</v>
      </c>
      <c r="H5" s="7" t="s">
        <v>102</v>
      </c>
      <c r="M5" s="7" t="s">
        <v>223</v>
      </c>
      <c r="N5" s="7" t="s">
        <v>223</v>
      </c>
      <c r="P5" s="7" t="s">
        <v>102</v>
      </c>
      <c r="R5" s="7" t="s">
        <v>102</v>
      </c>
      <c r="S5" s="7" t="s">
        <v>102</v>
      </c>
      <c r="T5" s="7" t="s">
        <v>367</v>
      </c>
      <c r="U5" s="7" t="s">
        <v>367</v>
      </c>
      <c r="V5" s="7" t="s">
        <v>367</v>
      </c>
      <c r="W5" s="7" t="s">
        <v>367</v>
      </c>
      <c r="AA5" s="7" t="s">
        <v>347</v>
      </c>
      <c r="AB5" s="130"/>
      <c r="AC5" s="7" t="s">
        <v>312</v>
      </c>
      <c r="AD5" s="121" t="s">
        <v>320</v>
      </c>
      <c r="AE5" s="7" t="s">
        <v>359</v>
      </c>
      <c r="AF5" s="7" t="s">
        <v>360</v>
      </c>
      <c r="AG5" s="7" t="s">
        <v>361</v>
      </c>
      <c r="AH5" s="7" t="s">
        <v>339</v>
      </c>
      <c r="AI5" s="7" t="s">
        <v>343</v>
      </c>
      <c r="AJ5" s="7" t="s">
        <v>362</v>
      </c>
      <c r="AK5" s="7" t="s">
        <v>356</v>
      </c>
      <c r="AL5" s="7" t="s">
        <v>370</v>
      </c>
    </row>
    <row r="6" spans="1:38" s="4" customFormat="1" ht="15.75" thickBot="1" x14ac:dyDescent="0.3">
      <c r="A6" s="4" t="s">
        <v>284</v>
      </c>
      <c r="C6" s="4" t="s">
        <v>285</v>
      </c>
      <c r="D6" s="4" t="s">
        <v>298</v>
      </c>
      <c r="E6" s="4" t="s">
        <v>300</v>
      </c>
      <c r="F6" s="120"/>
      <c r="G6" s="120"/>
      <c r="H6" s="4" t="s">
        <v>287</v>
      </c>
      <c r="M6" s="4" t="s">
        <v>288</v>
      </c>
      <c r="N6" s="4" t="s">
        <v>288</v>
      </c>
      <c r="P6" s="4" t="s">
        <v>219</v>
      </c>
      <c r="R6" s="4" t="s">
        <v>292</v>
      </c>
      <c r="S6" s="4" t="s">
        <v>293</v>
      </c>
      <c r="V6" s="4" t="s">
        <v>355</v>
      </c>
      <c r="W6" s="4" t="s">
        <v>297</v>
      </c>
      <c r="AA6" s="4" t="s">
        <v>201</v>
      </c>
      <c r="AB6" s="132"/>
      <c r="AC6" s="4" t="s">
        <v>313</v>
      </c>
      <c r="AD6" s="4" t="s">
        <v>319</v>
      </c>
      <c r="AE6" s="4" t="s">
        <v>316</v>
      </c>
      <c r="AF6" s="4" t="s">
        <v>334</v>
      </c>
      <c r="AG6" s="4" t="s">
        <v>338</v>
      </c>
      <c r="AH6" s="4" t="s">
        <v>288</v>
      </c>
      <c r="AI6" s="4" t="s">
        <v>342</v>
      </c>
      <c r="AJ6" s="4" t="s">
        <v>202</v>
      </c>
      <c r="AK6" s="4" t="s">
        <v>351</v>
      </c>
      <c r="AL6" s="4" t="s">
        <v>296</v>
      </c>
    </row>
    <row r="7" spans="1:38" s="4" customFormat="1" ht="16.5" thickTop="1" thickBot="1" x14ac:dyDescent="0.3">
      <c r="A7" s="4" t="s">
        <v>98</v>
      </c>
      <c r="K7" s="4" t="s">
        <v>99</v>
      </c>
      <c r="L7" s="4" t="s">
        <v>99</v>
      </c>
      <c r="M7" s="4" t="s">
        <v>269</v>
      </c>
      <c r="N7" s="4" t="s">
        <v>269</v>
      </c>
      <c r="O7" s="4" t="s">
        <v>239</v>
      </c>
      <c r="P7" s="4" t="s">
        <v>100</v>
      </c>
      <c r="Q7" s="4" t="s">
        <v>99</v>
      </c>
      <c r="R7" s="4" t="s">
        <v>354</v>
      </c>
      <c r="S7" s="4" t="s">
        <v>354</v>
      </c>
      <c r="T7" s="4" t="s">
        <v>179</v>
      </c>
      <c r="U7" s="4" t="s">
        <v>179</v>
      </c>
      <c r="V7" s="4" t="s">
        <v>179</v>
      </c>
      <c r="W7" s="4" t="s">
        <v>179</v>
      </c>
      <c r="X7" s="4" t="s">
        <v>317</v>
      </c>
      <c r="Y7" s="4" t="s">
        <v>325</v>
      </c>
      <c r="Z7" s="4" t="s">
        <v>336</v>
      </c>
      <c r="AA7" s="4" t="s">
        <v>99</v>
      </c>
      <c r="AB7" s="132"/>
      <c r="AC7" s="4" t="s">
        <v>315</v>
      </c>
      <c r="AD7" s="4" t="s">
        <v>99</v>
      </c>
      <c r="AE7" s="4" t="s">
        <v>189</v>
      </c>
      <c r="AF7" s="4" t="s">
        <v>333</v>
      </c>
      <c r="AG7" s="4" t="s">
        <v>337</v>
      </c>
      <c r="AH7" s="4" t="s">
        <v>337</v>
      </c>
      <c r="AI7" s="4" t="s">
        <v>100</v>
      </c>
      <c r="AJ7" s="4" t="s">
        <v>353</v>
      </c>
      <c r="AK7" s="4" t="s">
        <v>352</v>
      </c>
      <c r="AL7" s="4" t="s">
        <v>179</v>
      </c>
    </row>
    <row r="8" spans="1:38" ht="15.75" thickTop="1" x14ac:dyDescent="0.25">
      <c r="B8" t="s">
        <v>13</v>
      </c>
      <c r="C8" t="s">
        <v>12</v>
      </c>
      <c r="D8" t="s">
        <v>299</v>
      </c>
      <c r="E8" t="s">
        <v>395</v>
      </c>
      <c r="F8" t="s">
        <v>6</v>
      </c>
      <c r="G8" t="s">
        <v>179</v>
      </c>
      <c r="H8" t="s">
        <v>33</v>
      </c>
      <c r="I8" t="s">
        <v>34</v>
      </c>
      <c r="J8">
        <v>8760</v>
      </c>
      <c r="K8" s="5">
        <v>0.38096819999999998</v>
      </c>
      <c r="L8">
        <v>0.85</v>
      </c>
      <c r="M8" s="3">
        <f>11751.5992748699/1000</f>
        <v>11.7515992748699</v>
      </c>
      <c r="N8" s="3">
        <f>13721.03129/1000</f>
        <v>13.721031290000001</v>
      </c>
      <c r="O8" s="1">
        <v>133.5230182</v>
      </c>
      <c r="P8">
        <v>40</v>
      </c>
      <c r="Q8" s="1">
        <v>6.6000000000000003E-2</v>
      </c>
      <c r="R8">
        <v>0.3</v>
      </c>
      <c r="S8">
        <v>0.3</v>
      </c>
      <c r="T8" s="108">
        <f>Capacity!B5*1000</f>
        <v>67226.538983999999</v>
      </c>
      <c r="U8" s="109">
        <f>Capacity!AR5*1000</f>
        <v>220</v>
      </c>
      <c r="V8" s="109">
        <f>Capacity!D5*1000</f>
        <v>0</v>
      </c>
      <c r="W8" s="109">
        <f>Capacity!X5*1000</f>
        <v>0</v>
      </c>
      <c r="X8" s="1">
        <f>CarriersTech_characteristics!$G$2</f>
        <v>17.207187650000002</v>
      </c>
      <c r="Y8" s="1">
        <f>CarriersTech_characteristics!$H$28*1000</f>
        <v>1942097.6230000001</v>
      </c>
      <c r="Z8" s="7">
        <v>3</v>
      </c>
      <c r="AA8">
        <v>0.105</v>
      </c>
      <c r="AB8" s="133"/>
      <c r="AC8" s="1">
        <f>1/K8/(1-Q8)</f>
        <v>2.8103758044980376</v>
      </c>
      <c r="AD8" s="123"/>
      <c r="AE8" s="129">
        <f>Y8/(X8*Conversions!$D$2)</f>
        <v>0.40631575182871843</v>
      </c>
      <c r="AF8" s="103">
        <f>O8/X8/Conversions!$D$2*AC8</f>
        <v>7.8507860294473842E-5</v>
      </c>
      <c r="AG8">
        <f>Z8*Conversions!$D$4</f>
        <v>3.7167527444133723</v>
      </c>
      <c r="AH8" s="3">
        <f t="shared" ref="AH8:AH39" si="0">M8-AG8</f>
        <v>8.0348465304565266</v>
      </c>
      <c r="AI8">
        <f>P8</f>
        <v>40</v>
      </c>
      <c r="AJ8">
        <f>AA8/(1-(1+AA8)^-AI8)</f>
        <v>0.10697140835497033</v>
      </c>
      <c r="AK8" s="107">
        <f t="shared" ref="AK8:AK39" si="1">AH8/AJ8</f>
        <v>75.11209447475872</v>
      </c>
      <c r="AL8" s="135">
        <f>T8-U8</f>
        <v>67006.538983999999</v>
      </c>
    </row>
    <row r="9" spans="1:38" x14ac:dyDescent="0.25">
      <c r="B9" t="s">
        <v>14</v>
      </c>
      <c r="C9" t="s">
        <v>12</v>
      </c>
      <c r="D9" t="s">
        <v>299</v>
      </c>
      <c r="E9" t="s">
        <v>398</v>
      </c>
      <c r="F9" t="s">
        <v>6</v>
      </c>
      <c r="G9" t="s">
        <v>179</v>
      </c>
      <c r="H9" t="s">
        <v>35</v>
      </c>
      <c r="I9" t="s">
        <v>34</v>
      </c>
      <c r="J9">
        <v>8760</v>
      </c>
      <c r="K9" s="5">
        <v>0.40444272199999998</v>
      </c>
      <c r="L9">
        <v>0.85</v>
      </c>
      <c r="M9" s="3">
        <f>8512.22780274884/1000</f>
        <v>8.5122278027488392</v>
      </c>
      <c r="N9" s="3">
        <f>8512.227803/1000</f>
        <v>8.512227803</v>
      </c>
      <c r="O9" s="1">
        <v>0</v>
      </c>
      <c r="P9">
        <v>25</v>
      </c>
      <c r="Q9" s="1">
        <v>0.02</v>
      </c>
      <c r="R9">
        <v>0.9</v>
      </c>
      <c r="S9">
        <v>0.9</v>
      </c>
      <c r="T9" s="108">
        <f>Capacity!B6*1000</f>
        <v>7330.5467170000011</v>
      </c>
      <c r="U9" s="109">
        <f>Capacity!AR6*1000</f>
        <v>0</v>
      </c>
      <c r="V9" s="109">
        <f>Capacity!D6*1000</f>
        <v>0</v>
      </c>
      <c r="W9" s="109">
        <f>Capacity!X6*1000</f>
        <v>0</v>
      </c>
      <c r="X9" s="1">
        <f>CarriersTech_characteristics!$G$3</f>
        <v>37.681199999999997</v>
      </c>
      <c r="Y9" s="1">
        <f>CarriersTech_characteristics!$H$3*1000</f>
        <v>3025024.5490000001</v>
      </c>
      <c r="Z9">
        <v>2.9</v>
      </c>
      <c r="AA9">
        <v>0.105</v>
      </c>
      <c r="AC9" s="1">
        <f>1/K9/(1-Q9)</f>
        <v>2.5229979617863072</v>
      </c>
      <c r="AD9" s="123"/>
      <c r="AE9" s="129">
        <f>(Y9*Conversions!$D$3)/(X9*Conversions!$D$2)</f>
        <v>0.23958587284408495</v>
      </c>
      <c r="AF9">
        <v>0</v>
      </c>
      <c r="AG9">
        <f>Z9*Conversions!$D$4</f>
        <v>3.5928609862662602</v>
      </c>
      <c r="AH9" s="3">
        <f t="shared" si="0"/>
        <v>4.9193668164825795</v>
      </c>
      <c r="AI9">
        <f t="shared" ref="AI9:AI18" si="2">P9</f>
        <v>25</v>
      </c>
      <c r="AJ9">
        <f t="shared" ref="AJ8:AJ39" si="3">AA9/(1-(1+AA9)^-AI9)</f>
        <v>0.11442931981310331</v>
      </c>
      <c r="AK9" s="107">
        <f t="shared" si="1"/>
        <v>42.990440077048</v>
      </c>
      <c r="AL9" s="135">
        <f t="shared" ref="AL9:AL67" si="4">T9-U9</f>
        <v>7330.5467170000011</v>
      </c>
    </row>
    <row r="10" spans="1:38" x14ac:dyDescent="0.25">
      <c r="B10" t="s">
        <v>16</v>
      </c>
      <c r="C10" t="s">
        <v>12</v>
      </c>
      <c r="D10" t="s">
        <v>299</v>
      </c>
      <c r="F10" t="s">
        <v>6</v>
      </c>
      <c r="G10" t="s">
        <v>179</v>
      </c>
      <c r="H10" t="s">
        <v>35</v>
      </c>
      <c r="I10" t="s">
        <v>34</v>
      </c>
      <c r="J10">
        <v>8760</v>
      </c>
      <c r="K10" s="5">
        <v>0.28070162799999998</v>
      </c>
      <c r="L10">
        <v>0.85</v>
      </c>
      <c r="M10" s="3">
        <f>6679.75064927145/1000</f>
        <v>6.6797506492714502</v>
      </c>
      <c r="N10" s="3">
        <f>6679.750649/1000</f>
        <v>6.6797506489999998</v>
      </c>
      <c r="O10" s="1">
        <v>0</v>
      </c>
      <c r="P10">
        <v>25</v>
      </c>
      <c r="Q10" s="1">
        <v>0.01</v>
      </c>
      <c r="R10">
        <v>1</v>
      </c>
      <c r="S10">
        <v>1</v>
      </c>
      <c r="T10" s="108">
        <f>Capacity!B7*1000</f>
        <v>0</v>
      </c>
      <c r="U10" s="109">
        <f>Capacity!AR7*1000</f>
        <v>0</v>
      </c>
      <c r="V10" s="109">
        <f>Capacity!D7*1000</f>
        <v>0</v>
      </c>
      <c r="W10" s="109">
        <f>Capacity!X7*1000</f>
        <v>0</v>
      </c>
      <c r="X10" s="1">
        <f>CarriersTech_characteristics!$G$3</f>
        <v>37.681199999999997</v>
      </c>
      <c r="Y10" s="1">
        <f>CarriersTech_characteristics!$H$3*1000</f>
        <v>3025024.5490000001</v>
      </c>
      <c r="Z10">
        <v>0.7</v>
      </c>
      <c r="AA10">
        <v>0.105</v>
      </c>
      <c r="AC10" s="1">
        <f>1/K10/(1-Q10)</f>
        <v>3.5984864687033813</v>
      </c>
      <c r="AD10" s="123"/>
      <c r="AE10" s="129">
        <f>(Y10*Conversions!$D$3)/(X10*Conversions!$D$2)</f>
        <v>0.23958587284408495</v>
      </c>
      <c r="AF10">
        <v>0</v>
      </c>
      <c r="AG10">
        <f>Z10*Conversions!$D$4</f>
        <v>0.86724230702978689</v>
      </c>
      <c r="AH10" s="3">
        <f t="shared" si="0"/>
        <v>5.8125083422416637</v>
      </c>
      <c r="AI10">
        <f t="shared" si="2"/>
        <v>25</v>
      </c>
      <c r="AJ10">
        <f t="shared" si="3"/>
        <v>0.11442931981310331</v>
      </c>
      <c r="AK10" s="107">
        <f t="shared" si="1"/>
        <v>50.795620840316076</v>
      </c>
      <c r="AL10" s="135">
        <f t="shared" si="4"/>
        <v>0</v>
      </c>
    </row>
    <row r="11" spans="1:38" x14ac:dyDescent="0.25">
      <c r="B11" t="s">
        <v>17</v>
      </c>
      <c r="C11" t="s">
        <v>12</v>
      </c>
      <c r="D11" t="s">
        <v>299</v>
      </c>
      <c r="E11" t="s">
        <v>396</v>
      </c>
      <c r="F11" t="s">
        <v>6</v>
      </c>
      <c r="G11" t="s">
        <v>179</v>
      </c>
      <c r="H11" t="s">
        <v>36</v>
      </c>
      <c r="I11" t="s">
        <v>34</v>
      </c>
      <c r="J11">
        <v>8760</v>
      </c>
      <c r="K11" s="5">
        <v>1</v>
      </c>
      <c r="L11">
        <v>0.70916666699999997</v>
      </c>
      <c r="M11" s="3">
        <f>20833.2103478327/1000</f>
        <v>20.833210347832701</v>
      </c>
      <c r="N11" s="3">
        <f>20833.21035/1000</f>
        <v>20.833210350000002</v>
      </c>
      <c r="O11" s="1">
        <v>0</v>
      </c>
      <c r="P11">
        <v>40</v>
      </c>
      <c r="Q11" s="1">
        <v>0.10780000000000001</v>
      </c>
      <c r="R11">
        <v>0.01</v>
      </c>
      <c r="S11">
        <v>0.01</v>
      </c>
      <c r="T11" s="108">
        <f>Capacity!B8*1000</f>
        <v>1603.5183979999999</v>
      </c>
      <c r="U11" s="109">
        <f>Capacity!AR8*1000</f>
        <v>0</v>
      </c>
      <c r="V11" s="109">
        <f>Capacity!D8*1000</f>
        <v>0</v>
      </c>
      <c r="W11" s="109">
        <f>Capacity!X8*1000</f>
        <v>0</v>
      </c>
      <c r="X11" s="125"/>
      <c r="Y11" s="125"/>
      <c r="Z11">
        <v>4.3</v>
      </c>
      <c r="AA11">
        <v>0.105</v>
      </c>
      <c r="AC11" s="1">
        <f>1/K11/(1-Q11)</f>
        <v>1.1208249271463797</v>
      </c>
      <c r="AD11" s="123"/>
      <c r="AE11" s="124"/>
      <c r="AF11">
        <v>0</v>
      </c>
      <c r="AG11">
        <f>Z11*Conversions!$D$4</f>
        <v>5.3273456003258337</v>
      </c>
      <c r="AH11" s="3">
        <f t="shared" si="0"/>
        <v>15.505864747506866</v>
      </c>
      <c r="AI11">
        <f t="shared" si="2"/>
        <v>40</v>
      </c>
      <c r="AJ11">
        <f t="shared" si="3"/>
        <v>0.10697140835497033</v>
      </c>
      <c r="AK11" s="107">
        <f t="shared" si="1"/>
        <v>144.95335703212137</v>
      </c>
      <c r="AL11" s="135">
        <f t="shared" si="4"/>
        <v>1603.5183979999999</v>
      </c>
    </row>
    <row r="12" spans="1:38" x14ac:dyDescent="0.25">
      <c r="B12" t="s">
        <v>22</v>
      </c>
      <c r="C12" t="s">
        <v>12</v>
      </c>
      <c r="D12" t="s">
        <v>299</v>
      </c>
      <c r="F12" t="s">
        <v>6</v>
      </c>
      <c r="G12" t="s">
        <v>179</v>
      </c>
      <c r="H12" t="s">
        <v>36</v>
      </c>
      <c r="I12" t="s">
        <v>34</v>
      </c>
      <c r="J12">
        <v>8760</v>
      </c>
      <c r="K12" s="5">
        <v>1</v>
      </c>
      <c r="L12">
        <v>0.70916666699999997</v>
      </c>
      <c r="M12" s="105">
        <f>N12</f>
        <v>35.289429389999995</v>
      </c>
      <c r="N12" s="3">
        <f>35289.42939/1000</f>
        <v>35.289429389999995</v>
      </c>
      <c r="O12" s="1">
        <v>0</v>
      </c>
      <c r="P12">
        <v>30</v>
      </c>
      <c r="Q12" s="1">
        <v>0.05</v>
      </c>
      <c r="R12">
        <v>0.01</v>
      </c>
      <c r="S12">
        <v>0.01</v>
      </c>
      <c r="T12" s="108">
        <f>Capacity!B9*1000</f>
        <v>0</v>
      </c>
      <c r="U12" s="109">
        <f>Capacity!AR9*1000</f>
        <v>0</v>
      </c>
      <c r="V12" s="109">
        <f>Capacity!D9*1000</f>
        <v>0</v>
      </c>
      <c r="W12" s="109">
        <f>Capacity!X9*1000</f>
        <v>0</v>
      </c>
      <c r="X12" s="125"/>
      <c r="Y12" s="125"/>
      <c r="Z12">
        <v>5</v>
      </c>
      <c r="AA12">
        <v>0.105</v>
      </c>
      <c r="AC12" s="1">
        <f>1/K12/(1-Q12)</f>
        <v>1.0526315789473684</v>
      </c>
      <c r="AD12" s="123"/>
      <c r="AE12" s="124"/>
      <c r="AF12">
        <v>0</v>
      </c>
      <c r="AG12">
        <f>Z12*Conversions!$D$4</f>
        <v>6.1945879073556211</v>
      </c>
      <c r="AH12" s="3">
        <f t="shared" si="0"/>
        <v>29.094841482644373</v>
      </c>
      <c r="AI12">
        <f t="shared" si="2"/>
        <v>30</v>
      </c>
      <c r="AJ12">
        <f t="shared" si="3"/>
        <v>0.11052848152960514</v>
      </c>
      <c r="AK12" s="107">
        <f t="shared" si="1"/>
        <v>263.2338839727143</v>
      </c>
      <c r="AL12" s="135">
        <f t="shared" si="4"/>
        <v>0</v>
      </c>
    </row>
    <row r="13" spans="1:38" x14ac:dyDescent="0.25">
      <c r="B13" t="s">
        <v>15</v>
      </c>
      <c r="C13" t="s">
        <v>12</v>
      </c>
      <c r="D13" t="s">
        <v>303</v>
      </c>
      <c r="E13" t="s">
        <v>397</v>
      </c>
      <c r="F13" t="s">
        <v>6</v>
      </c>
      <c r="G13" t="s">
        <v>179</v>
      </c>
      <c r="H13" t="s">
        <v>37</v>
      </c>
      <c r="I13" t="s">
        <v>34</v>
      </c>
      <c r="J13">
        <v>8760</v>
      </c>
      <c r="K13" s="5">
        <v>1</v>
      </c>
      <c r="L13">
        <v>1</v>
      </c>
      <c r="M13" s="3">
        <f>19631.8145207228/1000</f>
        <v>19.631814520722802</v>
      </c>
      <c r="N13" s="3">
        <f>19631.81452/1000</f>
        <v>19.631814519999999</v>
      </c>
      <c r="O13" s="1">
        <v>0</v>
      </c>
      <c r="P13">
        <v>40</v>
      </c>
      <c r="Q13" s="1">
        <v>6.0000000000000001E-3</v>
      </c>
      <c r="R13">
        <v>1</v>
      </c>
      <c r="S13">
        <v>1</v>
      </c>
      <c r="T13" s="108">
        <f>Capacity!B10*1000</f>
        <v>20527.317305</v>
      </c>
      <c r="U13" s="109">
        <f>Capacity!AR10*1000</f>
        <v>0</v>
      </c>
      <c r="V13" s="109">
        <f>Capacity!D10*1000</f>
        <v>0</v>
      </c>
      <c r="W13" s="109">
        <f>Capacity!X10*1000</f>
        <v>0</v>
      </c>
      <c r="X13" s="123"/>
      <c r="Y13" s="126"/>
      <c r="Z13">
        <v>4.4000000000000004</v>
      </c>
      <c r="AA13">
        <v>0.105</v>
      </c>
      <c r="AC13" s="122"/>
      <c r="AD13" s="1">
        <f>K13-Q13</f>
        <v>0.99399999999999999</v>
      </c>
      <c r="AE13" s="122"/>
      <c r="AF13">
        <v>0</v>
      </c>
      <c r="AG13">
        <f>Z13*Conversions!$D$4</f>
        <v>5.4512373584729472</v>
      </c>
      <c r="AH13" s="3">
        <f t="shared" si="0"/>
        <v>14.180577162249854</v>
      </c>
      <c r="AI13">
        <f t="shared" si="2"/>
        <v>40</v>
      </c>
      <c r="AJ13">
        <f t="shared" si="3"/>
        <v>0.10697140835497033</v>
      </c>
      <c r="AK13" s="107">
        <f t="shared" si="1"/>
        <v>132.56418121741001</v>
      </c>
      <c r="AL13" s="135">
        <f t="shared" si="4"/>
        <v>20527.317305</v>
      </c>
    </row>
    <row r="14" spans="1:38" x14ac:dyDescent="0.25">
      <c r="B14" t="s">
        <v>18</v>
      </c>
      <c r="C14" t="s">
        <v>12</v>
      </c>
      <c r="D14" t="s">
        <v>303</v>
      </c>
      <c r="E14" t="s">
        <v>399</v>
      </c>
      <c r="F14" t="s">
        <v>6</v>
      </c>
      <c r="G14" t="s">
        <v>179</v>
      </c>
      <c r="H14" t="s">
        <v>37</v>
      </c>
      <c r="I14" t="s">
        <v>34</v>
      </c>
      <c r="J14">
        <v>8760</v>
      </c>
      <c r="K14" s="5">
        <v>1</v>
      </c>
      <c r="L14">
        <v>1</v>
      </c>
      <c r="M14" s="3">
        <f>11825.3487554956/1000</f>
        <v>11.825348755495598</v>
      </c>
      <c r="N14" s="3">
        <f>11825.34876/1000</f>
        <v>11.825348760000001</v>
      </c>
      <c r="O14" s="1">
        <v>0</v>
      </c>
      <c r="P14">
        <v>35</v>
      </c>
      <c r="Q14" s="1">
        <v>0.01</v>
      </c>
      <c r="R14">
        <v>1</v>
      </c>
      <c r="S14">
        <v>1</v>
      </c>
      <c r="T14" s="108">
        <f>Capacity!B11*1000</f>
        <v>1698.7499999999998</v>
      </c>
      <c r="U14" s="109">
        <f>Capacity!AR11*1000</f>
        <v>0</v>
      </c>
      <c r="V14" s="109">
        <f>Capacity!D11*1000</f>
        <v>28.000000000000004</v>
      </c>
      <c r="W14" s="109">
        <f>Capacity!X11*1000</f>
        <v>28.000000000000004</v>
      </c>
      <c r="X14" s="123"/>
      <c r="Y14" s="126"/>
      <c r="Z14">
        <f>2.4</f>
        <v>2.4</v>
      </c>
      <c r="AA14">
        <v>8.3500000000000005E-2</v>
      </c>
      <c r="AC14" s="122"/>
      <c r="AD14" s="1">
        <f>K14-Q14</f>
        <v>0.99</v>
      </c>
      <c r="AE14" s="122"/>
      <c r="AF14">
        <v>0</v>
      </c>
      <c r="AG14">
        <f>Z14*Conversions!$D$4</f>
        <v>2.973402195530698</v>
      </c>
      <c r="AH14" s="3">
        <f t="shared" si="0"/>
        <v>8.851946559964901</v>
      </c>
      <c r="AI14">
        <f t="shared" si="2"/>
        <v>35</v>
      </c>
      <c r="AJ14">
        <f t="shared" si="3"/>
        <v>8.8866958914066166E-2</v>
      </c>
      <c r="AK14" s="107">
        <f t="shared" si="1"/>
        <v>99.608973550278478</v>
      </c>
      <c r="AL14" s="135">
        <f t="shared" si="4"/>
        <v>1698.7499999999998</v>
      </c>
    </row>
    <row r="15" spans="1:38" x14ac:dyDescent="0.25">
      <c r="B15" t="s">
        <v>7</v>
      </c>
      <c r="C15" t="s">
        <v>12</v>
      </c>
      <c r="D15" t="s">
        <v>299</v>
      </c>
      <c r="E15" t="s">
        <v>400</v>
      </c>
      <c r="F15" t="s">
        <v>6</v>
      </c>
      <c r="G15" t="s">
        <v>179</v>
      </c>
      <c r="H15" t="s">
        <v>38</v>
      </c>
      <c r="I15" t="s">
        <v>34</v>
      </c>
      <c r="J15">
        <v>8760</v>
      </c>
      <c r="K15" s="5">
        <v>0.238845897</v>
      </c>
      <c r="L15">
        <v>1</v>
      </c>
      <c r="M15" s="3">
        <f>7713.45723965334/1000</f>
        <v>7.7134572396533407</v>
      </c>
      <c r="N15" s="3">
        <f>7713.45724/1000</f>
        <v>7.7134572399999994</v>
      </c>
      <c r="O15" s="1">
        <v>0</v>
      </c>
      <c r="P15">
        <v>20</v>
      </c>
      <c r="Q15" s="1">
        <v>0.1</v>
      </c>
      <c r="R15">
        <v>0.06</v>
      </c>
      <c r="S15">
        <v>0.06</v>
      </c>
      <c r="T15" s="108">
        <f>Capacity!B12*1000</f>
        <v>3357.15</v>
      </c>
      <c r="U15" s="109">
        <f>Capacity!AR12*1000</f>
        <v>0</v>
      </c>
      <c r="V15" s="109">
        <f>Capacity!D12*1000</f>
        <v>143.00000000000003</v>
      </c>
      <c r="W15" s="109">
        <f>Capacity!X12*1000</f>
        <v>143.00000000000003</v>
      </c>
      <c r="X15" s="1">
        <f>CarriersTech_characteristics!$G$7</f>
        <v>13.648968</v>
      </c>
      <c r="Y15" s="1">
        <f>CarriersTech_characteristics!$H$5*1000</f>
        <v>1656436.6880000001</v>
      </c>
      <c r="Z15" s="104">
        <v>1</v>
      </c>
      <c r="AA15">
        <v>8.3500000000000005E-2</v>
      </c>
      <c r="AC15" s="1">
        <f>1/K15/(1-Q15)</f>
        <v>4.6519999927447406</v>
      </c>
      <c r="AD15" s="123"/>
      <c r="AE15" s="128">
        <f>Y15/(X15*Conversions!$D$2)</f>
        <v>0.43689545093040172</v>
      </c>
      <c r="AF15">
        <v>0</v>
      </c>
      <c r="AG15">
        <f>Z15*Conversions!$D$4</f>
        <v>1.2389175814711242</v>
      </c>
      <c r="AH15" s="3">
        <f t="shared" si="0"/>
        <v>6.4745396581822163</v>
      </c>
      <c r="AI15">
        <f t="shared" si="2"/>
        <v>20</v>
      </c>
      <c r="AJ15">
        <f t="shared" si="3"/>
        <v>0.10451929579519206</v>
      </c>
      <c r="AK15" s="107">
        <f t="shared" si="1"/>
        <v>61.945879073556178</v>
      </c>
      <c r="AL15" s="135">
        <f t="shared" si="4"/>
        <v>3357.15</v>
      </c>
    </row>
    <row r="16" spans="1:38" x14ac:dyDescent="0.25">
      <c r="B16" t="s">
        <v>19</v>
      </c>
      <c r="C16" t="s">
        <v>12</v>
      </c>
      <c r="D16" t="s">
        <v>311</v>
      </c>
      <c r="E16" t="s">
        <v>401</v>
      </c>
      <c r="F16" t="s">
        <v>6</v>
      </c>
      <c r="G16" t="s">
        <v>179</v>
      </c>
      <c r="H16" t="s">
        <v>39</v>
      </c>
      <c r="I16" t="s">
        <v>34</v>
      </c>
      <c r="J16">
        <v>8760</v>
      </c>
      <c r="K16" s="5">
        <v>1</v>
      </c>
      <c r="L16">
        <v>1</v>
      </c>
      <c r="M16" s="3">
        <f>5630.98419436319/1000</f>
        <v>5.6309841943631902</v>
      </c>
      <c r="N16" s="3">
        <f>5439.705856/1000</f>
        <v>5.4397058559999998</v>
      </c>
      <c r="O16" s="1">
        <v>0</v>
      </c>
      <c r="P16">
        <v>25</v>
      </c>
      <c r="Q16" s="1">
        <v>0.01</v>
      </c>
      <c r="R16">
        <v>1</v>
      </c>
      <c r="S16">
        <v>1</v>
      </c>
      <c r="T16" s="108">
        <f>Capacity!B13*1000</f>
        <v>19996.724187999997</v>
      </c>
      <c r="U16" s="109">
        <f>Capacity!AR13*1000</f>
        <v>0</v>
      </c>
      <c r="V16" s="109">
        <f>Capacity!D13*1000</f>
        <v>4791</v>
      </c>
      <c r="W16" s="109">
        <f>Capacity!X13*1000</f>
        <v>4791</v>
      </c>
      <c r="X16" s="123"/>
      <c r="Y16" s="127" t="s">
        <v>323</v>
      </c>
      <c r="Z16">
        <v>0.35</v>
      </c>
      <c r="AA16">
        <v>0.105</v>
      </c>
      <c r="AC16" s="123">
        <v>1</v>
      </c>
      <c r="AD16" s="123"/>
      <c r="AE16" s="122"/>
      <c r="AF16">
        <v>0</v>
      </c>
      <c r="AG16">
        <f>Z16*Conversions!$D$4</f>
        <v>0.43362115351489344</v>
      </c>
      <c r="AH16" s="3">
        <f t="shared" si="0"/>
        <v>5.1973630408482965</v>
      </c>
      <c r="AI16">
        <f t="shared" si="2"/>
        <v>25</v>
      </c>
      <c r="AJ16">
        <f t="shared" si="3"/>
        <v>0.11442931981310331</v>
      </c>
      <c r="AK16" s="107">
        <f t="shared" si="1"/>
        <v>45.419854363699066</v>
      </c>
      <c r="AL16" s="135">
        <f t="shared" si="4"/>
        <v>19996.724187999997</v>
      </c>
    </row>
    <row r="17" spans="2:38" x14ac:dyDescent="0.25">
      <c r="B17" t="s">
        <v>20</v>
      </c>
      <c r="C17" t="s">
        <v>12</v>
      </c>
      <c r="D17" t="s">
        <v>311</v>
      </c>
      <c r="E17" t="s">
        <v>402</v>
      </c>
      <c r="F17" t="s">
        <v>6</v>
      </c>
      <c r="G17" t="s">
        <v>179</v>
      </c>
      <c r="H17" t="s">
        <v>39</v>
      </c>
      <c r="I17" t="s">
        <v>34</v>
      </c>
      <c r="J17">
        <v>8760</v>
      </c>
      <c r="K17" s="5">
        <v>1</v>
      </c>
      <c r="L17">
        <v>1</v>
      </c>
      <c r="M17" s="3">
        <f>5542.18769541597/1000</f>
        <v>5.5421876954159695</v>
      </c>
      <c r="N17" s="3">
        <f>5362.133837/1000</f>
        <v>5.362133837</v>
      </c>
      <c r="O17" s="1">
        <v>0</v>
      </c>
      <c r="P17">
        <v>25</v>
      </c>
      <c r="Q17" s="1">
        <v>6.0000000000000001E-3</v>
      </c>
      <c r="R17">
        <v>1</v>
      </c>
      <c r="S17">
        <v>1</v>
      </c>
      <c r="T17" s="108">
        <f>Capacity!B14*1000</f>
        <v>2666.3458109999992</v>
      </c>
      <c r="U17" s="109">
        <f>Capacity!AR14*1000</f>
        <v>0</v>
      </c>
      <c r="V17" s="109">
        <f>Capacity!D14*1000</f>
        <v>766</v>
      </c>
      <c r="W17" s="109">
        <f>Capacity!X14*1000</f>
        <v>766</v>
      </c>
      <c r="X17" s="123"/>
      <c r="Y17" s="123"/>
      <c r="Z17">
        <v>0.51</v>
      </c>
      <c r="AA17">
        <v>0.104</v>
      </c>
      <c r="AC17" s="123">
        <v>1</v>
      </c>
      <c r="AD17" s="123"/>
      <c r="AE17" s="122"/>
      <c r="AF17">
        <v>0</v>
      </c>
      <c r="AG17">
        <f>Z17*Conversions!$D$4</f>
        <v>0.63184796655027331</v>
      </c>
      <c r="AH17" s="3">
        <f t="shared" si="0"/>
        <v>4.9103397288656963</v>
      </c>
      <c r="AI17">
        <f t="shared" si="2"/>
        <v>25</v>
      </c>
      <c r="AJ17">
        <f t="shared" si="3"/>
        <v>0.11357300490974749</v>
      </c>
      <c r="AK17" s="107">
        <f t="shared" si="1"/>
        <v>43.235095635338453</v>
      </c>
      <c r="AL17" s="135">
        <f t="shared" si="4"/>
        <v>2666.3458109999992</v>
      </c>
    </row>
    <row r="18" spans="2:38" x14ac:dyDescent="0.25">
      <c r="B18" t="s">
        <v>21</v>
      </c>
      <c r="C18" t="s">
        <v>12</v>
      </c>
      <c r="D18" t="s">
        <v>311</v>
      </c>
      <c r="E18" t="s">
        <v>403</v>
      </c>
      <c r="F18" t="s">
        <v>6</v>
      </c>
      <c r="G18" t="s">
        <v>179</v>
      </c>
      <c r="H18" t="s">
        <v>40</v>
      </c>
      <c r="I18" t="s">
        <v>34</v>
      </c>
      <c r="J18">
        <v>8760</v>
      </c>
      <c r="K18" s="5">
        <v>1</v>
      </c>
      <c r="L18">
        <v>1</v>
      </c>
      <c r="M18" s="3">
        <f>10659.4302732183/1000</f>
        <v>10.6594302732183</v>
      </c>
      <c r="N18" s="3">
        <f>10586.96446/1000</f>
        <v>10.586964459999999</v>
      </c>
      <c r="O18" s="1">
        <v>0</v>
      </c>
      <c r="P18">
        <v>25</v>
      </c>
      <c r="Q18" s="1">
        <v>5.0000000000000001E-3</v>
      </c>
      <c r="R18">
        <v>1</v>
      </c>
      <c r="S18">
        <v>1</v>
      </c>
      <c r="T18" s="108">
        <f>Capacity!B15*1000</f>
        <v>5301.42</v>
      </c>
      <c r="U18" s="109">
        <f>Capacity!AR15*1000</f>
        <v>0</v>
      </c>
      <c r="V18" s="109">
        <f>Capacity!D15*1000</f>
        <v>2</v>
      </c>
      <c r="W18" s="109">
        <f>Capacity!X15*1000</f>
        <v>2</v>
      </c>
      <c r="X18" s="123"/>
      <c r="Y18" s="123"/>
      <c r="Z18">
        <v>0.68</v>
      </c>
      <c r="AA18">
        <v>0.105</v>
      </c>
      <c r="AC18" s="123">
        <v>1</v>
      </c>
      <c r="AD18" s="123"/>
      <c r="AE18" s="122"/>
      <c r="AF18">
        <v>0</v>
      </c>
      <c r="AG18">
        <f>Z18*Conversions!$D$4</f>
        <v>0.84246395540036456</v>
      </c>
      <c r="AH18" s="3">
        <f t="shared" si="0"/>
        <v>9.8169663178179363</v>
      </c>
      <c r="AI18">
        <f t="shared" si="2"/>
        <v>25</v>
      </c>
      <c r="AJ18">
        <f t="shared" si="3"/>
        <v>0.11442931981310331</v>
      </c>
      <c r="AK18" s="107">
        <f t="shared" si="1"/>
        <v>85.790655173446154</v>
      </c>
      <c r="AL18" s="135">
        <f t="shared" si="4"/>
        <v>5301.42</v>
      </c>
    </row>
    <row r="19" spans="2:38" s="116" customFormat="1" x14ac:dyDescent="0.25">
      <c r="B19" s="116" t="s">
        <v>23</v>
      </c>
      <c r="C19" s="116" t="s">
        <v>12</v>
      </c>
      <c r="D19" s="116" t="s">
        <v>311</v>
      </c>
      <c r="F19" s="116" t="s">
        <v>6</v>
      </c>
      <c r="G19" s="116" t="s">
        <v>179</v>
      </c>
      <c r="H19" s="116" t="s">
        <v>40</v>
      </c>
      <c r="I19" s="116" t="s">
        <v>34</v>
      </c>
      <c r="J19" s="116">
        <v>8760</v>
      </c>
      <c r="K19" s="136">
        <v>1</v>
      </c>
      <c r="L19" s="116">
        <v>1</v>
      </c>
      <c r="M19" s="137">
        <f>N19</f>
        <v>34.540361669999996</v>
      </c>
      <c r="N19" s="138">
        <f>34540.36167/1000</f>
        <v>34.540361669999996</v>
      </c>
      <c r="O19" s="139">
        <v>0</v>
      </c>
      <c r="P19" s="116">
        <v>25</v>
      </c>
      <c r="Q19" s="139">
        <v>5.0000000000000001E-3</v>
      </c>
      <c r="R19" s="116">
        <v>1</v>
      </c>
      <c r="S19" s="116">
        <v>1</v>
      </c>
      <c r="T19" s="140">
        <f>Capacity!B16*1000</f>
        <v>0</v>
      </c>
      <c r="U19" s="141">
        <f>Capacity!AR16*1000</f>
        <v>0</v>
      </c>
      <c r="V19" s="141">
        <f>Capacity!D16*1000</f>
        <v>0</v>
      </c>
      <c r="W19" s="141">
        <f>Capacity!X16*1000</f>
        <v>0</v>
      </c>
      <c r="X19" s="142"/>
      <c r="Y19" s="142"/>
      <c r="Z19" s="116">
        <v>6.7</v>
      </c>
      <c r="AA19" s="116">
        <v>0.112</v>
      </c>
      <c r="AB19" s="143"/>
      <c r="AC19" s="142">
        <v>1</v>
      </c>
      <c r="AD19" s="142"/>
      <c r="AE19" s="144"/>
      <c r="AF19" s="116">
        <v>0</v>
      </c>
      <c r="AG19" s="116">
        <f>Z19*Conversions!$D$4</f>
        <v>8.3007477958565321</v>
      </c>
      <c r="AH19" s="138">
        <f t="shared" si="0"/>
        <v>26.239613874143465</v>
      </c>
      <c r="AI19" s="116">
        <f>P19</f>
        <v>25</v>
      </c>
      <c r="AJ19" s="116">
        <f t="shared" si="3"/>
        <v>0.12047788778229078</v>
      </c>
      <c r="AK19" s="145">
        <f t="shared" si="1"/>
        <v>217.79609816499843</v>
      </c>
      <c r="AL19" s="146">
        <f t="shared" si="4"/>
        <v>0</v>
      </c>
    </row>
    <row r="20" spans="2:38" x14ac:dyDescent="0.25">
      <c r="B20" t="s">
        <v>13</v>
      </c>
      <c r="C20" t="s">
        <v>9</v>
      </c>
      <c r="D20" t="s">
        <v>299</v>
      </c>
      <c r="E20" t="s">
        <v>395</v>
      </c>
      <c r="F20" t="s">
        <v>6</v>
      </c>
      <c r="G20" t="s">
        <v>179</v>
      </c>
      <c r="H20" t="s">
        <v>33</v>
      </c>
      <c r="I20" t="s">
        <v>34</v>
      </c>
      <c r="J20">
        <v>8760</v>
      </c>
      <c r="K20" s="5">
        <v>0.38096819999999998</v>
      </c>
      <c r="L20">
        <v>0.85</v>
      </c>
      <c r="M20" s="3">
        <f>26148.8463751508/1000</f>
        <v>26.1488463751508</v>
      </c>
      <c r="N20" s="3">
        <f>13721.03129/1000</f>
        <v>13.721031290000001</v>
      </c>
      <c r="O20" s="1">
        <v>133.5230182</v>
      </c>
      <c r="P20">
        <v>40</v>
      </c>
      <c r="Q20" s="1">
        <v>6.6000000000000003E-2</v>
      </c>
      <c r="R20">
        <v>0.3</v>
      </c>
      <c r="S20">
        <v>0.3</v>
      </c>
      <c r="T20" s="108">
        <f>Capacity!B19*1000</f>
        <v>1010.929706</v>
      </c>
      <c r="U20" s="109">
        <f>Capacity!AR19*1000</f>
        <v>0</v>
      </c>
      <c r="V20" s="109">
        <f>Capacity!D19*1000</f>
        <v>0</v>
      </c>
      <c r="W20" s="109">
        <f>Capacity!X19*1000</f>
        <v>0</v>
      </c>
      <c r="X20" s="1">
        <f>CarriersTech_characteristics!$G$2</f>
        <v>17.207187650000002</v>
      </c>
      <c r="Y20" s="1">
        <f>CarriersTech_characteristics!$H$28*1000</f>
        <v>1942097.6230000001</v>
      </c>
      <c r="Z20" s="7">
        <v>3</v>
      </c>
      <c r="AA20">
        <v>0.105</v>
      </c>
      <c r="AB20" s="133"/>
      <c r="AC20" s="1">
        <f>1/K20/(1-Q20)</f>
        <v>2.8103758044980376</v>
      </c>
      <c r="AD20" s="123"/>
      <c r="AE20" s="129">
        <f>Y20/(X20*Conversions!$D$2)</f>
        <v>0.40631575182871843</v>
      </c>
      <c r="AF20" s="103">
        <f>O20/CarriersTech_characteristics!$G$2/Conversions!$D$2*AC20</f>
        <v>7.8507860294473842E-5</v>
      </c>
      <c r="AG20">
        <f>Z20*Conversions!$D$4</f>
        <v>3.7167527444133723</v>
      </c>
      <c r="AH20" s="3">
        <f t="shared" si="0"/>
        <v>22.432093630737427</v>
      </c>
      <c r="AI20">
        <f>P20</f>
        <v>40</v>
      </c>
      <c r="AJ20">
        <f t="shared" si="3"/>
        <v>0.10697140835497033</v>
      </c>
      <c r="AK20" s="107">
        <f t="shared" si="1"/>
        <v>209.70176961959331</v>
      </c>
      <c r="AL20" s="135">
        <f t="shared" si="4"/>
        <v>1010.929706</v>
      </c>
    </row>
    <row r="21" spans="2:38" x14ac:dyDescent="0.25">
      <c r="B21" t="s">
        <v>14</v>
      </c>
      <c r="C21" t="s">
        <v>9</v>
      </c>
      <c r="D21" t="s">
        <v>299</v>
      </c>
      <c r="E21" t="s">
        <v>398</v>
      </c>
      <c r="F21" t="s">
        <v>6</v>
      </c>
      <c r="G21" t="s">
        <v>179</v>
      </c>
      <c r="H21" t="s">
        <v>35</v>
      </c>
      <c r="I21" t="s">
        <v>34</v>
      </c>
      <c r="J21">
        <v>8760</v>
      </c>
      <c r="K21" s="5">
        <v>0.40444272199999998</v>
      </c>
      <c r="L21">
        <v>0.85</v>
      </c>
      <c r="M21" s="3">
        <f>8512.22780274884/1000</f>
        <v>8.5122278027488392</v>
      </c>
      <c r="N21" s="3">
        <f>8512.227803/1000</f>
        <v>8.512227803</v>
      </c>
      <c r="O21" s="1">
        <v>0</v>
      </c>
      <c r="P21">
        <v>25</v>
      </c>
      <c r="Q21" s="1">
        <v>0.02</v>
      </c>
      <c r="R21">
        <v>0.9</v>
      </c>
      <c r="S21">
        <v>0.9</v>
      </c>
      <c r="T21" s="108">
        <f>Capacity!B20*1000</f>
        <v>2002.456891</v>
      </c>
      <c r="U21" s="109">
        <f>Capacity!AR20*1000</f>
        <v>0</v>
      </c>
      <c r="V21" s="109">
        <f>Capacity!D20*1000</f>
        <v>0</v>
      </c>
      <c r="W21" s="109">
        <f>Capacity!X20*1000</f>
        <v>0</v>
      </c>
      <c r="X21" s="1">
        <f>CarriersTech_characteristics!$G$3</f>
        <v>37.681199999999997</v>
      </c>
      <c r="Y21" s="1">
        <f>CarriersTech_characteristics!$H$3*1000</f>
        <v>3025024.5490000001</v>
      </c>
      <c r="Z21">
        <v>2.9</v>
      </c>
      <c r="AA21">
        <v>0.105</v>
      </c>
      <c r="AC21" s="1">
        <f>1/K21/(1-Q21)</f>
        <v>2.5229979617863072</v>
      </c>
      <c r="AD21" s="123"/>
      <c r="AE21" s="129">
        <f>(Y21*Conversions!$D$3)/(X21*Conversions!$D$2)</f>
        <v>0.23958587284408495</v>
      </c>
      <c r="AF21">
        <v>0</v>
      </c>
      <c r="AG21">
        <f>Z21*Conversions!$D$4</f>
        <v>3.5928609862662602</v>
      </c>
      <c r="AH21" s="3">
        <f t="shared" si="0"/>
        <v>4.9193668164825795</v>
      </c>
      <c r="AI21">
        <f t="shared" ref="AI21:AI30" si="5">P21</f>
        <v>25</v>
      </c>
      <c r="AJ21">
        <f t="shared" si="3"/>
        <v>0.11442931981310331</v>
      </c>
      <c r="AK21" s="107">
        <f t="shared" si="1"/>
        <v>42.990440077048</v>
      </c>
      <c r="AL21" s="135">
        <f t="shared" si="4"/>
        <v>2002.456891</v>
      </c>
    </row>
    <row r="22" spans="2:38" x14ac:dyDescent="0.25">
      <c r="B22" t="s">
        <v>16</v>
      </c>
      <c r="C22" t="s">
        <v>9</v>
      </c>
      <c r="D22" t="s">
        <v>299</v>
      </c>
      <c r="F22" t="s">
        <v>6</v>
      </c>
      <c r="G22" t="s">
        <v>179</v>
      </c>
      <c r="H22" t="s">
        <v>35</v>
      </c>
      <c r="I22" t="s">
        <v>34</v>
      </c>
      <c r="J22">
        <v>8760</v>
      </c>
      <c r="K22" s="5">
        <v>0.28070162799999998</v>
      </c>
      <c r="L22">
        <v>0.85</v>
      </c>
      <c r="M22" s="3">
        <f>6679.75064927145/1000</f>
        <v>6.6797506492714502</v>
      </c>
      <c r="N22" s="3">
        <f>6679.750649/1000</f>
        <v>6.6797506489999998</v>
      </c>
      <c r="O22" s="1">
        <v>0</v>
      </c>
      <c r="P22">
        <v>25</v>
      </c>
      <c r="Q22" s="1">
        <v>0.01</v>
      </c>
      <c r="R22">
        <v>1</v>
      </c>
      <c r="S22">
        <v>1</v>
      </c>
      <c r="T22" s="108">
        <f>Capacity!B21*1000</f>
        <v>0</v>
      </c>
      <c r="U22" s="109">
        <f>Capacity!AR21*1000</f>
        <v>0</v>
      </c>
      <c r="V22" s="109">
        <f>Capacity!D21*1000</f>
        <v>0</v>
      </c>
      <c r="W22" s="109">
        <f>Capacity!X21*1000</f>
        <v>0</v>
      </c>
      <c r="X22" s="1">
        <f>CarriersTech_characteristics!$G$3</f>
        <v>37.681199999999997</v>
      </c>
      <c r="Y22" s="1">
        <f>CarriersTech_characteristics!$H$3*1000</f>
        <v>3025024.5490000001</v>
      </c>
      <c r="Z22">
        <v>0.7</v>
      </c>
      <c r="AA22">
        <v>0.105</v>
      </c>
      <c r="AC22" s="1">
        <f>1/K22/(1-Q22)</f>
        <v>3.5984864687033813</v>
      </c>
      <c r="AD22" s="123"/>
      <c r="AE22" s="129">
        <f>(Y22*Conversions!$D$3)/(X22*Conversions!$D$2)</f>
        <v>0.23958587284408495</v>
      </c>
      <c r="AF22">
        <v>0</v>
      </c>
      <c r="AG22">
        <f>Z22*Conversions!$D$4</f>
        <v>0.86724230702978689</v>
      </c>
      <c r="AH22" s="3">
        <f t="shared" si="0"/>
        <v>5.8125083422416637</v>
      </c>
      <c r="AI22">
        <f t="shared" si="5"/>
        <v>25</v>
      </c>
      <c r="AJ22">
        <f t="shared" si="3"/>
        <v>0.11442931981310331</v>
      </c>
      <c r="AK22" s="107">
        <f t="shared" si="1"/>
        <v>50.795620840316076</v>
      </c>
      <c r="AL22" s="135">
        <f t="shared" si="4"/>
        <v>0</v>
      </c>
    </row>
    <row r="23" spans="2:38" x14ac:dyDescent="0.25">
      <c r="B23" t="s">
        <v>17</v>
      </c>
      <c r="C23" t="s">
        <v>9</v>
      </c>
      <c r="D23" t="s">
        <v>299</v>
      </c>
      <c r="E23" t="s">
        <v>396</v>
      </c>
      <c r="F23" t="s">
        <v>6</v>
      </c>
      <c r="G23" t="s">
        <v>179</v>
      </c>
      <c r="H23" t="s">
        <v>36</v>
      </c>
      <c r="I23" t="s">
        <v>34</v>
      </c>
      <c r="J23">
        <v>8760</v>
      </c>
      <c r="K23" s="5">
        <v>1</v>
      </c>
      <c r="L23">
        <v>0.70916666699999997</v>
      </c>
      <c r="M23" s="3">
        <f>20833.2103478327/1000</f>
        <v>20.833210347832701</v>
      </c>
      <c r="N23" s="3">
        <f>20833.21035/1000</f>
        <v>20.833210350000002</v>
      </c>
      <c r="O23" s="1">
        <v>0</v>
      </c>
      <c r="P23">
        <v>40</v>
      </c>
      <c r="Q23" s="1">
        <v>0.10780000000000001</v>
      </c>
      <c r="R23">
        <v>0.01</v>
      </c>
      <c r="S23">
        <v>0.01</v>
      </c>
      <c r="T23" s="108">
        <f>Capacity!B22*1000</f>
        <v>0</v>
      </c>
      <c r="U23" s="109">
        <f>Capacity!AR22*1000</f>
        <v>0</v>
      </c>
      <c r="V23" s="109">
        <f>Capacity!D22*1000</f>
        <v>0</v>
      </c>
      <c r="W23" s="109">
        <f>Capacity!X22*1000</f>
        <v>0</v>
      </c>
      <c r="X23" s="125"/>
      <c r="Y23" s="125"/>
      <c r="Z23">
        <v>4.3</v>
      </c>
      <c r="AA23">
        <v>0.105</v>
      </c>
      <c r="AC23" s="1">
        <f>1/K23/(1-Q23)</f>
        <v>1.1208249271463797</v>
      </c>
      <c r="AD23" s="123"/>
      <c r="AE23" s="124"/>
      <c r="AF23">
        <v>0</v>
      </c>
      <c r="AG23">
        <f>Z23*Conversions!$D$4</f>
        <v>5.3273456003258337</v>
      </c>
      <c r="AH23" s="3">
        <f t="shared" si="0"/>
        <v>15.505864747506866</v>
      </c>
      <c r="AI23">
        <f t="shared" si="5"/>
        <v>40</v>
      </c>
      <c r="AJ23">
        <f t="shared" si="3"/>
        <v>0.10697140835497033</v>
      </c>
      <c r="AK23" s="107">
        <f t="shared" si="1"/>
        <v>144.95335703212137</v>
      </c>
      <c r="AL23" s="135">
        <f t="shared" si="4"/>
        <v>0</v>
      </c>
    </row>
    <row r="24" spans="2:38" x14ac:dyDescent="0.25">
      <c r="B24" t="s">
        <v>22</v>
      </c>
      <c r="C24" t="s">
        <v>9</v>
      </c>
      <c r="D24" t="s">
        <v>299</v>
      </c>
      <c r="F24" t="s">
        <v>6</v>
      </c>
      <c r="G24" t="s">
        <v>179</v>
      </c>
      <c r="H24" t="s">
        <v>36</v>
      </c>
      <c r="I24" t="s">
        <v>34</v>
      </c>
      <c r="J24">
        <v>8760</v>
      </c>
      <c r="K24" s="5">
        <v>1</v>
      </c>
      <c r="L24">
        <v>0.70916666699999997</v>
      </c>
      <c r="M24" s="105">
        <f>N24</f>
        <v>35.289429389999995</v>
      </c>
      <c r="N24" s="3">
        <f>35289.42939/1000</f>
        <v>35.289429389999995</v>
      </c>
      <c r="O24" s="1">
        <v>0</v>
      </c>
      <c r="P24">
        <v>30</v>
      </c>
      <c r="Q24" s="1">
        <v>0.05</v>
      </c>
      <c r="R24">
        <v>0.01</v>
      </c>
      <c r="S24">
        <v>0.01</v>
      </c>
      <c r="T24" s="108">
        <f>Capacity!B23*1000</f>
        <v>0</v>
      </c>
      <c r="U24" s="109">
        <f>Capacity!AR23*1000</f>
        <v>0</v>
      </c>
      <c r="V24" s="109">
        <f>Capacity!D23*1000</f>
        <v>0</v>
      </c>
      <c r="W24" s="109">
        <f>Capacity!X23*1000</f>
        <v>0</v>
      </c>
      <c r="X24" s="125"/>
      <c r="Y24" s="125"/>
      <c r="Z24">
        <v>5</v>
      </c>
      <c r="AA24">
        <v>0.105</v>
      </c>
      <c r="AC24" s="1">
        <f>1/K24/(1-Q24)</f>
        <v>1.0526315789473684</v>
      </c>
      <c r="AD24" s="123"/>
      <c r="AE24" s="124"/>
      <c r="AF24">
        <v>0</v>
      </c>
      <c r="AG24">
        <f>Z24*Conversions!$D$4</f>
        <v>6.1945879073556211</v>
      </c>
      <c r="AH24" s="3">
        <f t="shared" si="0"/>
        <v>29.094841482644373</v>
      </c>
      <c r="AI24">
        <f t="shared" si="5"/>
        <v>30</v>
      </c>
      <c r="AJ24">
        <f t="shared" si="3"/>
        <v>0.11052848152960514</v>
      </c>
      <c r="AK24" s="107">
        <f t="shared" si="1"/>
        <v>263.2338839727143</v>
      </c>
      <c r="AL24" s="135">
        <f t="shared" si="4"/>
        <v>0</v>
      </c>
    </row>
    <row r="25" spans="2:38" x14ac:dyDescent="0.25">
      <c r="B25" t="s">
        <v>15</v>
      </c>
      <c r="C25" t="s">
        <v>9</v>
      </c>
      <c r="D25" t="s">
        <v>303</v>
      </c>
      <c r="E25" t="s">
        <v>397</v>
      </c>
      <c r="F25" t="s">
        <v>6</v>
      </c>
      <c r="G25" t="s">
        <v>179</v>
      </c>
      <c r="H25" t="s">
        <v>37</v>
      </c>
      <c r="I25" t="s">
        <v>34</v>
      </c>
      <c r="J25">
        <v>8760</v>
      </c>
      <c r="K25" s="5">
        <v>1</v>
      </c>
      <c r="L25">
        <v>1</v>
      </c>
      <c r="M25" s="3">
        <f>19631.8145207228/1000</f>
        <v>19.631814520722802</v>
      </c>
      <c r="N25" s="3">
        <f>19631.81452/1000</f>
        <v>19.631814519999999</v>
      </c>
      <c r="O25" s="1">
        <v>0</v>
      </c>
      <c r="P25">
        <v>40</v>
      </c>
      <c r="Q25" s="1">
        <v>6.0000000000000001E-3</v>
      </c>
      <c r="R25">
        <v>1</v>
      </c>
      <c r="S25">
        <v>1</v>
      </c>
      <c r="T25" s="108">
        <f>Capacity!B24*1000</f>
        <v>1842.8252929999999</v>
      </c>
      <c r="U25" s="109">
        <f>Capacity!AR24*1000</f>
        <v>0</v>
      </c>
      <c r="V25" s="109">
        <f>Capacity!D24*1000</f>
        <v>0</v>
      </c>
      <c r="W25" s="109">
        <f>Capacity!X24*1000</f>
        <v>0</v>
      </c>
      <c r="X25" s="123"/>
      <c r="Y25" s="126"/>
      <c r="Z25">
        <v>4.4000000000000004</v>
      </c>
      <c r="AA25">
        <v>0.105</v>
      </c>
      <c r="AC25" s="122"/>
      <c r="AD25" s="1">
        <f>K25-Q25</f>
        <v>0.99399999999999999</v>
      </c>
      <c r="AE25" s="122"/>
      <c r="AF25">
        <v>0</v>
      </c>
      <c r="AG25">
        <f>Z25*Conversions!$D$4</f>
        <v>5.4512373584729472</v>
      </c>
      <c r="AH25" s="3">
        <f t="shared" si="0"/>
        <v>14.180577162249854</v>
      </c>
      <c r="AI25">
        <f t="shared" si="5"/>
        <v>40</v>
      </c>
      <c r="AJ25">
        <f t="shared" si="3"/>
        <v>0.10697140835497033</v>
      </c>
      <c r="AK25" s="107">
        <f t="shared" si="1"/>
        <v>132.56418121741001</v>
      </c>
      <c r="AL25" s="135">
        <f t="shared" si="4"/>
        <v>1842.8252929999999</v>
      </c>
    </row>
    <row r="26" spans="2:38" x14ac:dyDescent="0.25">
      <c r="B26" t="s">
        <v>18</v>
      </c>
      <c r="C26" t="s">
        <v>9</v>
      </c>
      <c r="D26" t="s">
        <v>303</v>
      </c>
      <c r="E26" t="s">
        <v>399</v>
      </c>
      <c r="F26" t="s">
        <v>6</v>
      </c>
      <c r="G26" t="s">
        <v>179</v>
      </c>
      <c r="H26" t="s">
        <v>37</v>
      </c>
      <c r="I26" t="s">
        <v>34</v>
      </c>
      <c r="J26">
        <v>8760</v>
      </c>
      <c r="K26" s="5">
        <v>1</v>
      </c>
      <c r="L26">
        <v>1</v>
      </c>
      <c r="M26" s="3">
        <f>11825.3487554956/1000</f>
        <v>11.825348755495598</v>
      </c>
      <c r="N26" s="3">
        <f>11825.34876/1000</f>
        <v>11.825348760000001</v>
      </c>
      <c r="O26" s="1">
        <v>0</v>
      </c>
      <c r="P26">
        <v>35</v>
      </c>
      <c r="Q26" s="1">
        <v>0.01</v>
      </c>
      <c r="R26">
        <v>1</v>
      </c>
      <c r="S26">
        <v>1</v>
      </c>
      <c r="T26" s="108">
        <f>Capacity!B25*1000</f>
        <v>299.35000000000002</v>
      </c>
      <c r="U26" s="109">
        <f>Capacity!AR25*1000</f>
        <v>0</v>
      </c>
      <c r="V26" s="109">
        <f>Capacity!D25*1000</f>
        <v>9.9999999999999982</v>
      </c>
      <c r="W26" s="109">
        <f>Capacity!X25*1000</f>
        <v>9.9999999999999982</v>
      </c>
      <c r="X26" s="123"/>
      <c r="Y26" s="126"/>
      <c r="Z26">
        <f>2.4</f>
        <v>2.4</v>
      </c>
      <c r="AA26">
        <v>8.3500000000000005E-2</v>
      </c>
      <c r="AC26" s="122"/>
      <c r="AD26" s="1">
        <f>K26-Q26</f>
        <v>0.99</v>
      </c>
      <c r="AE26" s="122"/>
      <c r="AF26">
        <v>0</v>
      </c>
      <c r="AG26">
        <f>Z26*Conversions!$D$4</f>
        <v>2.973402195530698</v>
      </c>
      <c r="AH26" s="3">
        <f t="shared" si="0"/>
        <v>8.851946559964901</v>
      </c>
      <c r="AI26">
        <f t="shared" si="5"/>
        <v>35</v>
      </c>
      <c r="AJ26">
        <f t="shared" si="3"/>
        <v>8.8866958914066166E-2</v>
      </c>
      <c r="AK26" s="107">
        <f t="shared" si="1"/>
        <v>99.608973550278478</v>
      </c>
      <c r="AL26" s="135">
        <f t="shared" si="4"/>
        <v>299.35000000000002</v>
      </c>
    </row>
    <row r="27" spans="2:38" x14ac:dyDescent="0.25">
      <c r="B27" t="s">
        <v>7</v>
      </c>
      <c r="C27" t="s">
        <v>9</v>
      </c>
      <c r="D27" t="s">
        <v>299</v>
      </c>
      <c r="E27" t="s">
        <v>400</v>
      </c>
      <c r="F27" t="s">
        <v>6</v>
      </c>
      <c r="G27" t="s">
        <v>179</v>
      </c>
      <c r="H27" t="s">
        <v>38</v>
      </c>
      <c r="I27" t="s">
        <v>34</v>
      </c>
      <c r="J27">
        <v>8760</v>
      </c>
      <c r="K27" s="5">
        <v>0.238845897</v>
      </c>
      <c r="L27">
        <v>1</v>
      </c>
      <c r="M27" s="3">
        <f>7713.45723965334/1000</f>
        <v>7.7134572396533407</v>
      </c>
      <c r="N27" s="3">
        <f>7713.45724/1000</f>
        <v>7.7134572399999994</v>
      </c>
      <c r="O27" s="1">
        <v>0</v>
      </c>
      <c r="P27">
        <v>20</v>
      </c>
      <c r="Q27" s="1">
        <v>0.1</v>
      </c>
      <c r="R27">
        <v>0.06</v>
      </c>
      <c r="S27">
        <v>0.06</v>
      </c>
      <c r="T27" s="108">
        <f>Capacity!B26*1000</f>
        <v>15.8</v>
      </c>
      <c r="U27" s="109">
        <f>Capacity!AR26*1000</f>
        <v>0</v>
      </c>
      <c r="V27" s="109">
        <f>Capacity!D26*1000</f>
        <v>1</v>
      </c>
      <c r="W27" s="109">
        <f>Capacity!X26*1000</f>
        <v>1</v>
      </c>
      <c r="X27" s="1">
        <f>CarriersTech_characteristics!$G$7</f>
        <v>13.648968</v>
      </c>
      <c r="Y27" s="1">
        <f>CarriersTech_characteristics!$H$5*1000</f>
        <v>1656436.6880000001</v>
      </c>
      <c r="Z27" s="104">
        <v>1</v>
      </c>
      <c r="AA27">
        <v>8.3500000000000005E-2</v>
      </c>
      <c r="AC27" s="1">
        <f>1/K27/(1-Q27)</f>
        <v>4.6519999927447406</v>
      </c>
      <c r="AD27" s="123"/>
      <c r="AE27" s="128">
        <f>Y27/(X27*Conversions!$D$2)</f>
        <v>0.43689545093040172</v>
      </c>
      <c r="AF27">
        <v>0</v>
      </c>
      <c r="AG27">
        <f>Z27*Conversions!$D$4</f>
        <v>1.2389175814711242</v>
      </c>
      <c r="AH27" s="3">
        <f t="shared" si="0"/>
        <v>6.4745396581822163</v>
      </c>
      <c r="AI27">
        <f t="shared" si="5"/>
        <v>20</v>
      </c>
      <c r="AJ27">
        <f t="shared" si="3"/>
        <v>0.10451929579519206</v>
      </c>
      <c r="AK27" s="107">
        <f t="shared" si="1"/>
        <v>61.945879073556178</v>
      </c>
      <c r="AL27" s="135">
        <f t="shared" si="4"/>
        <v>15.8</v>
      </c>
    </row>
    <row r="28" spans="2:38" x14ac:dyDescent="0.25">
      <c r="B28" t="s">
        <v>19</v>
      </c>
      <c r="C28" t="s">
        <v>9</v>
      </c>
      <c r="D28" t="s">
        <v>311</v>
      </c>
      <c r="E28" t="s">
        <v>401</v>
      </c>
      <c r="F28" t="s">
        <v>6</v>
      </c>
      <c r="G28" t="s">
        <v>179</v>
      </c>
      <c r="H28" t="s">
        <v>39</v>
      </c>
      <c r="I28" t="s">
        <v>34</v>
      </c>
      <c r="J28">
        <v>8760</v>
      </c>
      <c r="K28" s="5">
        <v>1</v>
      </c>
      <c r="L28">
        <v>1</v>
      </c>
      <c r="M28" s="3">
        <f>5630.98419436319/1000</f>
        <v>5.6309841943631902</v>
      </c>
      <c r="N28" s="3">
        <f>5439.705856/1000</f>
        <v>5.4397058559999998</v>
      </c>
      <c r="O28" s="1">
        <v>0</v>
      </c>
      <c r="P28">
        <v>25</v>
      </c>
      <c r="Q28" s="1">
        <v>0.01</v>
      </c>
      <c r="R28">
        <v>1</v>
      </c>
      <c r="S28">
        <v>1</v>
      </c>
      <c r="T28" s="108">
        <f>Capacity!B27*1000</f>
        <v>171.48962199999997</v>
      </c>
      <c r="U28" s="109">
        <f>Capacity!AR27*1000</f>
        <v>0</v>
      </c>
      <c r="V28" s="109">
        <f>Capacity!D27*1000</f>
        <v>7</v>
      </c>
      <c r="W28" s="109">
        <f>Capacity!X27*1000</f>
        <v>7</v>
      </c>
      <c r="X28" s="123"/>
      <c r="Y28" s="127" t="s">
        <v>323</v>
      </c>
      <c r="Z28">
        <v>0.35</v>
      </c>
      <c r="AA28">
        <v>0.105</v>
      </c>
      <c r="AC28" s="123">
        <v>1</v>
      </c>
      <c r="AD28" s="123"/>
      <c r="AE28" s="122"/>
      <c r="AF28">
        <v>0</v>
      </c>
      <c r="AG28">
        <f>Z28*Conversions!$D$4</f>
        <v>0.43362115351489344</v>
      </c>
      <c r="AH28" s="3">
        <f t="shared" si="0"/>
        <v>5.1973630408482965</v>
      </c>
      <c r="AI28">
        <f t="shared" si="5"/>
        <v>25</v>
      </c>
      <c r="AJ28">
        <f t="shared" si="3"/>
        <v>0.11442931981310331</v>
      </c>
      <c r="AK28" s="107">
        <f t="shared" si="1"/>
        <v>45.419854363699066</v>
      </c>
      <c r="AL28" s="135">
        <f t="shared" si="4"/>
        <v>171.48962199999997</v>
      </c>
    </row>
    <row r="29" spans="2:38" x14ac:dyDescent="0.25">
      <c r="B29" t="s">
        <v>20</v>
      </c>
      <c r="C29" t="s">
        <v>9</v>
      </c>
      <c r="D29" t="s">
        <v>311</v>
      </c>
      <c r="E29" t="s">
        <v>402</v>
      </c>
      <c r="F29" t="s">
        <v>6</v>
      </c>
      <c r="G29" t="s">
        <v>179</v>
      </c>
      <c r="H29" t="s">
        <v>39</v>
      </c>
      <c r="I29" t="s">
        <v>34</v>
      </c>
      <c r="J29">
        <v>8760</v>
      </c>
      <c r="K29" s="5">
        <v>1</v>
      </c>
      <c r="L29">
        <v>1</v>
      </c>
      <c r="M29" s="3">
        <f>5542.18769541597/1000</f>
        <v>5.5421876954159695</v>
      </c>
      <c r="N29" s="3">
        <f>5362.133837/1000</f>
        <v>5.362133837</v>
      </c>
      <c r="O29" s="1">
        <v>0</v>
      </c>
      <c r="P29">
        <v>25</v>
      </c>
      <c r="Q29" s="1">
        <v>6.0000000000000001E-3</v>
      </c>
      <c r="R29">
        <v>1</v>
      </c>
      <c r="S29">
        <v>1</v>
      </c>
      <c r="T29" s="108">
        <f>Capacity!B28*1000</f>
        <v>67.610377999999997</v>
      </c>
      <c r="U29" s="109">
        <f>Capacity!AR28*1000</f>
        <v>0</v>
      </c>
      <c r="V29" s="109">
        <f>Capacity!D28*1000</f>
        <v>8</v>
      </c>
      <c r="W29" s="109">
        <f>Capacity!X28*1000</f>
        <v>8</v>
      </c>
      <c r="X29" s="123"/>
      <c r="Y29" s="123"/>
      <c r="Z29">
        <v>0.51</v>
      </c>
      <c r="AA29">
        <v>0.104</v>
      </c>
      <c r="AC29" s="123">
        <v>1</v>
      </c>
      <c r="AD29" s="123"/>
      <c r="AE29" s="122"/>
      <c r="AF29">
        <v>0</v>
      </c>
      <c r="AG29">
        <f>Z29*Conversions!$D$4</f>
        <v>0.63184796655027331</v>
      </c>
      <c r="AH29" s="3">
        <f t="shared" si="0"/>
        <v>4.9103397288656963</v>
      </c>
      <c r="AI29">
        <f t="shared" si="5"/>
        <v>25</v>
      </c>
      <c r="AJ29">
        <f t="shared" si="3"/>
        <v>0.11357300490974749</v>
      </c>
      <c r="AK29" s="107">
        <f t="shared" si="1"/>
        <v>43.235095635338453</v>
      </c>
      <c r="AL29" s="135">
        <f t="shared" si="4"/>
        <v>67.610377999999997</v>
      </c>
    </row>
    <row r="30" spans="2:38" x14ac:dyDescent="0.25">
      <c r="B30" t="s">
        <v>21</v>
      </c>
      <c r="C30" t="s">
        <v>9</v>
      </c>
      <c r="D30" t="s">
        <v>311</v>
      </c>
      <c r="E30" t="s">
        <v>403</v>
      </c>
      <c r="F30" t="s">
        <v>6</v>
      </c>
      <c r="G30" t="s">
        <v>179</v>
      </c>
      <c r="H30" t="s">
        <v>40</v>
      </c>
      <c r="I30" t="s">
        <v>34</v>
      </c>
      <c r="J30">
        <v>8760</v>
      </c>
      <c r="K30" s="5">
        <v>1</v>
      </c>
      <c r="L30">
        <v>1</v>
      </c>
      <c r="M30" s="3">
        <f>10659.4302732183/1000</f>
        <v>10.6594302732183</v>
      </c>
      <c r="N30" s="3">
        <f>10586.96446/1000</f>
        <v>10.586964459999999</v>
      </c>
      <c r="O30" s="1">
        <v>0</v>
      </c>
      <c r="P30">
        <v>25</v>
      </c>
      <c r="Q30" s="1">
        <v>5.0000000000000001E-3</v>
      </c>
      <c r="R30">
        <v>1</v>
      </c>
      <c r="S30">
        <v>1</v>
      </c>
      <c r="T30" s="108">
        <f>Capacity!B29*1000</f>
        <v>0</v>
      </c>
      <c r="U30" s="109">
        <f>Capacity!AR29*1000</f>
        <v>0</v>
      </c>
      <c r="V30" s="109">
        <f>Capacity!D29*1000</f>
        <v>0</v>
      </c>
      <c r="W30" s="109">
        <f>Capacity!X29*1000</f>
        <v>0</v>
      </c>
      <c r="X30" s="123"/>
      <c r="Y30" s="123"/>
      <c r="Z30">
        <v>0.68</v>
      </c>
      <c r="AA30">
        <v>0.105</v>
      </c>
      <c r="AC30" s="123">
        <v>1</v>
      </c>
      <c r="AD30" s="123"/>
      <c r="AE30" s="122"/>
      <c r="AF30">
        <v>0</v>
      </c>
      <c r="AG30">
        <f>Z30*Conversions!$D$4</f>
        <v>0.84246395540036456</v>
      </c>
      <c r="AH30" s="3">
        <f t="shared" si="0"/>
        <v>9.8169663178179363</v>
      </c>
      <c r="AI30">
        <f t="shared" si="5"/>
        <v>25</v>
      </c>
      <c r="AJ30">
        <f t="shared" si="3"/>
        <v>0.11442931981310331</v>
      </c>
      <c r="AK30" s="107">
        <f t="shared" si="1"/>
        <v>85.790655173446154</v>
      </c>
      <c r="AL30" s="135">
        <f t="shared" si="4"/>
        <v>0</v>
      </c>
    </row>
    <row r="31" spans="2:38" s="116" customFormat="1" x14ac:dyDescent="0.25">
      <c r="B31" s="116" t="s">
        <v>23</v>
      </c>
      <c r="C31" s="116" t="s">
        <v>9</v>
      </c>
      <c r="D31" s="116" t="s">
        <v>311</v>
      </c>
      <c r="F31" s="116" t="s">
        <v>6</v>
      </c>
      <c r="G31" s="116" t="s">
        <v>179</v>
      </c>
      <c r="H31" s="116" t="s">
        <v>40</v>
      </c>
      <c r="I31" s="116" t="s">
        <v>34</v>
      </c>
      <c r="J31" s="116">
        <v>8760</v>
      </c>
      <c r="K31" s="136">
        <v>1</v>
      </c>
      <c r="L31" s="116">
        <v>1</v>
      </c>
      <c r="M31" s="137">
        <f>N31</f>
        <v>34.540361669999996</v>
      </c>
      <c r="N31" s="138">
        <f>34540.36167/1000</f>
        <v>34.540361669999996</v>
      </c>
      <c r="O31" s="139">
        <v>0</v>
      </c>
      <c r="P31" s="116">
        <v>25</v>
      </c>
      <c r="Q31" s="139">
        <v>5.0000000000000001E-3</v>
      </c>
      <c r="R31" s="116">
        <v>1</v>
      </c>
      <c r="S31" s="116">
        <v>1</v>
      </c>
      <c r="T31" s="140">
        <f>Capacity!B30*1000</f>
        <v>0</v>
      </c>
      <c r="U31" s="141">
        <f>Capacity!AR30*1000</f>
        <v>0</v>
      </c>
      <c r="V31" s="141">
        <f>Capacity!D30*1000</f>
        <v>0</v>
      </c>
      <c r="W31" s="141">
        <f>Capacity!X30*1000</f>
        <v>0</v>
      </c>
      <c r="X31" s="142"/>
      <c r="Y31" s="142"/>
      <c r="Z31" s="116">
        <v>6.7</v>
      </c>
      <c r="AA31" s="116">
        <v>0.112</v>
      </c>
      <c r="AB31" s="143"/>
      <c r="AC31" s="142">
        <v>1</v>
      </c>
      <c r="AD31" s="142"/>
      <c r="AE31" s="144"/>
      <c r="AF31" s="116">
        <v>0</v>
      </c>
      <c r="AG31" s="116">
        <f>Z31*Conversions!$D$4</f>
        <v>8.3007477958565321</v>
      </c>
      <c r="AH31" s="138">
        <f t="shared" si="0"/>
        <v>26.239613874143465</v>
      </c>
      <c r="AI31" s="116">
        <f>P31</f>
        <v>25</v>
      </c>
      <c r="AJ31" s="116">
        <f t="shared" si="3"/>
        <v>0.12047788778229078</v>
      </c>
      <c r="AK31" s="145">
        <f t="shared" si="1"/>
        <v>217.79609816499843</v>
      </c>
      <c r="AL31" s="146">
        <f t="shared" si="4"/>
        <v>0</v>
      </c>
    </row>
    <row r="32" spans="2:38" x14ac:dyDescent="0.25">
      <c r="B32" t="s">
        <v>13</v>
      </c>
      <c r="C32" t="s">
        <v>10</v>
      </c>
      <c r="D32" t="s">
        <v>299</v>
      </c>
      <c r="E32" t="s">
        <v>395</v>
      </c>
      <c r="F32" t="s">
        <v>6</v>
      </c>
      <c r="G32" t="s">
        <v>179</v>
      </c>
      <c r="H32" t="s">
        <v>33</v>
      </c>
      <c r="I32" t="s">
        <v>34</v>
      </c>
      <c r="J32">
        <v>8760</v>
      </c>
      <c r="K32" s="5">
        <v>0.38096819999999998</v>
      </c>
      <c r="L32">
        <v>0.85</v>
      </c>
      <c r="M32" s="3">
        <f>6514.90571684157/1000</f>
        <v>6.5149057168415698</v>
      </c>
      <c r="N32" s="3">
        <f>13721.03129/1000</f>
        <v>13.721031290000001</v>
      </c>
      <c r="O32" s="1">
        <v>133.5230182</v>
      </c>
      <c r="P32">
        <v>40</v>
      </c>
      <c r="Q32" s="1">
        <v>6.6000000000000003E-2</v>
      </c>
      <c r="R32">
        <v>0.3</v>
      </c>
      <c r="S32">
        <v>0.3</v>
      </c>
      <c r="T32" s="108">
        <f>Capacity!B33*1000</f>
        <v>41729.904175000003</v>
      </c>
      <c r="U32" s="109">
        <f>Capacity!AR33*1000</f>
        <v>0</v>
      </c>
      <c r="V32" s="109">
        <f>Capacity!D33*1000</f>
        <v>0</v>
      </c>
      <c r="W32" s="109">
        <f>Capacity!X33*1000</f>
        <v>0</v>
      </c>
      <c r="X32" s="1">
        <f>CarriersTech_characteristics!$G$2</f>
        <v>17.207187650000002</v>
      </c>
      <c r="Y32" s="1">
        <f>CarriersTech_characteristics!$H$28*1000</f>
        <v>1942097.6230000001</v>
      </c>
      <c r="Z32" s="7">
        <v>3</v>
      </c>
      <c r="AA32">
        <v>0.105</v>
      </c>
      <c r="AB32" s="133"/>
      <c r="AC32" s="1">
        <f>1/K32/(1-Q32)</f>
        <v>2.8103758044980376</v>
      </c>
      <c r="AD32" s="123"/>
      <c r="AE32" s="129">
        <f>Y32/(X32*Conversions!$D$2)</f>
        <v>0.40631575182871843</v>
      </c>
      <c r="AF32" s="103">
        <f>O32/CarriersTech_characteristics!$G$2/Conversions!$D$2*AC32</f>
        <v>7.8507860294473842E-5</v>
      </c>
      <c r="AG32">
        <f>Z32*Conversions!$D$4</f>
        <v>3.7167527444133723</v>
      </c>
      <c r="AH32" s="3">
        <f t="shared" si="0"/>
        <v>2.7981529724281975</v>
      </c>
      <c r="AI32">
        <f>P32</f>
        <v>40</v>
      </c>
      <c r="AJ32">
        <f t="shared" si="3"/>
        <v>0.10697140835497033</v>
      </c>
      <c r="AK32" s="107">
        <f>AH32/AJ32</f>
        <v>26.157952068303153</v>
      </c>
      <c r="AL32" s="135">
        <f t="shared" si="4"/>
        <v>41729.904175000003</v>
      </c>
    </row>
    <row r="33" spans="2:38" x14ac:dyDescent="0.25">
      <c r="B33" t="s">
        <v>14</v>
      </c>
      <c r="C33" t="s">
        <v>10</v>
      </c>
      <c r="D33" t="s">
        <v>299</v>
      </c>
      <c r="E33" t="s">
        <v>398</v>
      </c>
      <c r="F33" t="s">
        <v>6</v>
      </c>
      <c r="G33" t="s">
        <v>179</v>
      </c>
      <c r="H33" t="s">
        <v>35</v>
      </c>
      <c r="I33" t="s">
        <v>34</v>
      </c>
      <c r="J33">
        <v>8760</v>
      </c>
      <c r="K33" s="5">
        <v>0.40444272199999998</v>
      </c>
      <c r="L33">
        <v>0.85</v>
      </c>
      <c r="M33" s="3">
        <f>8512.22780274884/1000</f>
        <v>8.5122278027488392</v>
      </c>
      <c r="N33" s="3">
        <f>8512.227803/1000</f>
        <v>8.512227803</v>
      </c>
      <c r="O33" s="1">
        <v>0</v>
      </c>
      <c r="P33">
        <v>25</v>
      </c>
      <c r="Q33" s="1">
        <v>0.02</v>
      </c>
      <c r="R33">
        <v>0.9</v>
      </c>
      <c r="S33">
        <v>0.9</v>
      </c>
      <c r="T33" s="108">
        <f>Capacity!B34*1000</f>
        <v>770.80433300000004</v>
      </c>
      <c r="U33" s="109">
        <f>Capacity!AR34*1000</f>
        <v>0</v>
      </c>
      <c r="V33" s="109">
        <f>Capacity!D34*1000</f>
        <v>0</v>
      </c>
      <c r="W33" s="109">
        <f>Capacity!X34*1000</f>
        <v>0</v>
      </c>
      <c r="X33" s="1">
        <f>CarriersTech_characteristics!$G$3</f>
        <v>37.681199999999997</v>
      </c>
      <c r="Y33" s="1">
        <f>CarriersTech_characteristics!$H$3*1000</f>
        <v>3025024.5490000001</v>
      </c>
      <c r="Z33">
        <v>2.9</v>
      </c>
      <c r="AA33">
        <v>0.105</v>
      </c>
      <c r="AC33" s="1">
        <f>1/K33/(1-Q33)</f>
        <v>2.5229979617863072</v>
      </c>
      <c r="AD33" s="123"/>
      <c r="AE33" s="129">
        <f>(Y33*Conversions!$D$3)/(X33*Conversions!$D$2)</f>
        <v>0.23958587284408495</v>
      </c>
      <c r="AF33">
        <v>0</v>
      </c>
      <c r="AG33">
        <f>Z33*Conversions!$D$4</f>
        <v>3.5928609862662602</v>
      </c>
      <c r="AH33" s="3">
        <f t="shared" si="0"/>
        <v>4.9193668164825795</v>
      </c>
      <c r="AI33">
        <f t="shared" ref="AI33:AI42" si="6">P33</f>
        <v>25</v>
      </c>
      <c r="AJ33">
        <f t="shared" si="3"/>
        <v>0.11442931981310331</v>
      </c>
      <c r="AK33" s="107">
        <f t="shared" si="1"/>
        <v>42.990440077048</v>
      </c>
      <c r="AL33" s="135">
        <f t="shared" si="4"/>
        <v>770.80433300000004</v>
      </c>
    </row>
    <row r="34" spans="2:38" x14ac:dyDescent="0.25">
      <c r="B34" t="s">
        <v>16</v>
      </c>
      <c r="C34" t="s">
        <v>10</v>
      </c>
      <c r="D34" t="s">
        <v>299</v>
      </c>
      <c r="F34" t="s">
        <v>6</v>
      </c>
      <c r="G34" t="s">
        <v>179</v>
      </c>
      <c r="H34" t="s">
        <v>35</v>
      </c>
      <c r="I34" t="s">
        <v>34</v>
      </c>
      <c r="J34">
        <v>8760</v>
      </c>
      <c r="K34" s="5">
        <v>0.28070162799999998</v>
      </c>
      <c r="L34">
        <v>0.85</v>
      </c>
      <c r="M34" s="3">
        <f>6679.75064927145/1000</f>
        <v>6.6797506492714502</v>
      </c>
      <c r="N34" s="3">
        <f>6679.750649/1000</f>
        <v>6.6797506489999998</v>
      </c>
      <c r="O34" s="1">
        <v>0</v>
      </c>
      <c r="P34">
        <v>25</v>
      </c>
      <c r="Q34" s="1">
        <v>0.01</v>
      </c>
      <c r="R34">
        <v>1</v>
      </c>
      <c r="S34">
        <v>1</v>
      </c>
      <c r="T34" s="108">
        <f>Capacity!B35*1000</f>
        <v>0</v>
      </c>
      <c r="U34" s="109">
        <f>Capacity!AR35*1000</f>
        <v>0</v>
      </c>
      <c r="V34" s="109">
        <f>Capacity!D35*1000</f>
        <v>0</v>
      </c>
      <c r="W34" s="109">
        <f>Capacity!X35*1000</f>
        <v>0</v>
      </c>
      <c r="X34" s="1">
        <f>CarriersTech_characteristics!$G$3</f>
        <v>37.681199999999997</v>
      </c>
      <c r="Y34" s="1">
        <f>CarriersTech_characteristics!$H$3*1000</f>
        <v>3025024.5490000001</v>
      </c>
      <c r="Z34">
        <v>0.7</v>
      </c>
      <c r="AA34">
        <v>0.105</v>
      </c>
      <c r="AC34" s="1">
        <f>1/K34/(1-Q34)</f>
        <v>3.5984864687033813</v>
      </c>
      <c r="AD34" s="123"/>
      <c r="AE34" s="129">
        <f>(Y34*Conversions!$D$3)/(X34*Conversions!$D$2)</f>
        <v>0.23958587284408495</v>
      </c>
      <c r="AF34">
        <v>0</v>
      </c>
      <c r="AG34">
        <f>Z34*Conversions!$D$4</f>
        <v>0.86724230702978689</v>
      </c>
      <c r="AH34" s="3">
        <f t="shared" si="0"/>
        <v>5.8125083422416637</v>
      </c>
      <c r="AI34">
        <f t="shared" si="6"/>
        <v>25</v>
      </c>
      <c r="AJ34">
        <f t="shared" si="3"/>
        <v>0.11442931981310331</v>
      </c>
      <c r="AK34" s="107">
        <f t="shared" si="1"/>
        <v>50.795620840316076</v>
      </c>
      <c r="AL34" s="135">
        <f t="shared" si="4"/>
        <v>0</v>
      </c>
    </row>
    <row r="35" spans="2:38" x14ac:dyDescent="0.25">
      <c r="B35" t="s">
        <v>17</v>
      </c>
      <c r="C35" t="s">
        <v>10</v>
      </c>
      <c r="D35" t="s">
        <v>299</v>
      </c>
      <c r="E35" t="s">
        <v>396</v>
      </c>
      <c r="F35" t="s">
        <v>6</v>
      </c>
      <c r="G35" t="s">
        <v>179</v>
      </c>
      <c r="H35" t="s">
        <v>36</v>
      </c>
      <c r="I35" t="s">
        <v>34</v>
      </c>
      <c r="J35">
        <v>8760</v>
      </c>
      <c r="K35" s="5">
        <v>1</v>
      </c>
      <c r="L35">
        <v>0.70916666699999997</v>
      </c>
      <c r="M35" s="3">
        <f>20833.2103478327/1000</f>
        <v>20.833210347832701</v>
      </c>
      <c r="N35" s="3">
        <f>20833.21035/1000</f>
        <v>20.833210350000002</v>
      </c>
      <c r="O35" s="1">
        <v>0</v>
      </c>
      <c r="P35">
        <v>40</v>
      </c>
      <c r="Q35" s="1">
        <v>0.10780000000000001</v>
      </c>
      <c r="R35">
        <v>0.01</v>
      </c>
      <c r="S35">
        <v>0.01</v>
      </c>
      <c r="T35" s="108">
        <f>Capacity!B36*1000</f>
        <v>0</v>
      </c>
      <c r="U35" s="109">
        <f>Capacity!AR36*1000</f>
        <v>0</v>
      </c>
      <c r="V35" s="109">
        <f>Capacity!D36*1000</f>
        <v>0</v>
      </c>
      <c r="W35" s="109">
        <f>Capacity!X36*1000</f>
        <v>0</v>
      </c>
      <c r="X35" s="125"/>
      <c r="Y35" s="125"/>
      <c r="Z35">
        <v>4.3</v>
      </c>
      <c r="AA35">
        <v>0.105</v>
      </c>
      <c r="AC35" s="1">
        <f>1/K35/(1-Q35)</f>
        <v>1.1208249271463797</v>
      </c>
      <c r="AD35" s="123"/>
      <c r="AE35" s="124"/>
      <c r="AF35">
        <v>0</v>
      </c>
      <c r="AG35">
        <f>Z35*Conversions!$D$4</f>
        <v>5.3273456003258337</v>
      </c>
      <c r="AH35" s="3">
        <f t="shared" si="0"/>
        <v>15.505864747506866</v>
      </c>
      <c r="AI35">
        <f t="shared" si="6"/>
        <v>40</v>
      </c>
      <c r="AJ35">
        <f t="shared" si="3"/>
        <v>0.10697140835497033</v>
      </c>
      <c r="AK35" s="107">
        <f t="shared" si="1"/>
        <v>144.95335703212137</v>
      </c>
      <c r="AL35" s="135">
        <f t="shared" si="4"/>
        <v>0</v>
      </c>
    </row>
    <row r="36" spans="2:38" x14ac:dyDescent="0.25">
      <c r="B36" t="s">
        <v>22</v>
      </c>
      <c r="C36" t="s">
        <v>10</v>
      </c>
      <c r="D36" t="s">
        <v>299</v>
      </c>
      <c r="F36" t="s">
        <v>6</v>
      </c>
      <c r="G36" t="s">
        <v>179</v>
      </c>
      <c r="H36" t="s">
        <v>36</v>
      </c>
      <c r="I36" t="s">
        <v>34</v>
      </c>
      <c r="J36">
        <v>8760</v>
      </c>
      <c r="K36" s="5">
        <v>1</v>
      </c>
      <c r="L36">
        <v>0.70916666699999997</v>
      </c>
      <c r="M36" s="105">
        <f>N36</f>
        <v>35.289429389999995</v>
      </c>
      <c r="N36" s="3">
        <f>35289.42939/1000</f>
        <v>35.289429389999995</v>
      </c>
      <c r="O36" s="1">
        <v>0</v>
      </c>
      <c r="P36">
        <v>30</v>
      </c>
      <c r="Q36" s="1">
        <v>0.05</v>
      </c>
      <c r="R36">
        <v>0.01</v>
      </c>
      <c r="S36">
        <v>0.01</v>
      </c>
      <c r="T36" s="108">
        <f>Capacity!B37*1000</f>
        <v>0</v>
      </c>
      <c r="U36" s="109">
        <f>Capacity!AR37*1000</f>
        <v>0</v>
      </c>
      <c r="V36" s="109">
        <f>Capacity!D37*1000</f>
        <v>0</v>
      </c>
      <c r="W36" s="109">
        <f>Capacity!X37*1000</f>
        <v>0</v>
      </c>
      <c r="X36" s="125"/>
      <c r="Y36" s="125"/>
      <c r="Z36">
        <v>5</v>
      </c>
      <c r="AA36">
        <v>0.105</v>
      </c>
      <c r="AC36" s="1">
        <f>1/K36/(1-Q36)</f>
        <v>1.0526315789473684</v>
      </c>
      <c r="AD36" s="123"/>
      <c r="AE36" s="124"/>
      <c r="AF36">
        <v>0</v>
      </c>
      <c r="AG36">
        <f>Z36*Conversions!$D$4</f>
        <v>6.1945879073556211</v>
      </c>
      <c r="AH36" s="3">
        <f t="shared" si="0"/>
        <v>29.094841482644373</v>
      </c>
      <c r="AI36">
        <f t="shared" si="6"/>
        <v>30</v>
      </c>
      <c r="AJ36">
        <f t="shared" si="3"/>
        <v>0.11052848152960514</v>
      </c>
      <c r="AK36" s="107">
        <f t="shared" si="1"/>
        <v>263.2338839727143</v>
      </c>
      <c r="AL36" s="135">
        <f t="shared" si="4"/>
        <v>0</v>
      </c>
    </row>
    <row r="37" spans="2:38" x14ac:dyDescent="0.25">
      <c r="B37" t="s">
        <v>15</v>
      </c>
      <c r="C37" t="s">
        <v>10</v>
      </c>
      <c r="D37" t="s">
        <v>303</v>
      </c>
      <c r="E37" t="s">
        <v>397</v>
      </c>
      <c r="F37" t="s">
        <v>6</v>
      </c>
      <c r="G37" t="s">
        <v>179</v>
      </c>
      <c r="H37" t="s">
        <v>37</v>
      </c>
      <c r="I37" t="s">
        <v>34</v>
      </c>
      <c r="J37">
        <v>8760</v>
      </c>
      <c r="K37" s="5">
        <v>1</v>
      </c>
      <c r="L37">
        <v>1</v>
      </c>
      <c r="M37" s="3">
        <f>19631.8145207228/1000</f>
        <v>19.631814520722802</v>
      </c>
      <c r="N37" s="3">
        <f>19631.81452/1000</f>
        <v>19.631814519999999</v>
      </c>
      <c r="O37" s="1">
        <v>0</v>
      </c>
      <c r="P37">
        <v>40</v>
      </c>
      <c r="Q37" s="1">
        <v>6.0000000000000001E-3</v>
      </c>
      <c r="R37">
        <v>1</v>
      </c>
      <c r="S37">
        <v>1</v>
      </c>
      <c r="T37" s="108">
        <f>Capacity!B38*1000</f>
        <v>4198.8602859999992</v>
      </c>
      <c r="U37" s="109">
        <f>Capacity!AR38*1000</f>
        <v>0</v>
      </c>
      <c r="V37" s="109">
        <f>Capacity!D38*1000</f>
        <v>0</v>
      </c>
      <c r="W37" s="109">
        <f>Capacity!X38*1000</f>
        <v>0</v>
      </c>
      <c r="X37" s="123"/>
      <c r="Y37" s="126"/>
      <c r="Z37">
        <v>4.4000000000000004</v>
      </c>
      <c r="AA37">
        <v>0.105</v>
      </c>
      <c r="AC37" s="122"/>
      <c r="AD37" s="1">
        <f>K37-Q37</f>
        <v>0.99399999999999999</v>
      </c>
      <c r="AE37" s="122"/>
      <c r="AF37">
        <v>0</v>
      </c>
      <c r="AG37">
        <f>Z37*Conversions!$D$4</f>
        <v>5.4512373584729472</v>
      </c>
      <c r="AH37" s="3">
        <f t="shared" si="0"/>
        <v>14.180577162249854</v>
      </c>
      <c r="AI37">
        <f t="shared" si="6"/>
        <v>40</v>
      </c>
      <c r="AJ37">
        <f t="shared" si="3"/>
        <v>0.10697140835497033</v>
      </c>
      <c r="AK37" s="107">
        <f t="shared" si="1"/>
        <v>132.56418121741001</v>
      </c>
      <c r="AL37" s="135">
        <f t="shared" si="4"/>
        <v>4198.8602859999992</v>
      </c>
    </row>
    <row r="38" spans="2:38" x14ac:dyDescent="0.25">
      <c r="B38" t="s">
        <v>18</v>
      </c>
      <c r="C38" t="s">
        <v>10</v>
      </c>
      <c r="D38" t="s">
        <v>303</v>
      </c>
      <c r="E38" t="s">
        <v>399</v>
      </c>
      <c r="F38" t="s">
        <v>6</v>
      </c>
      <c r="G38" t="s">
        <v>179</v>
      </c>
      <c r="H38" t="s">
        <v>37</v>
      </c>
      <c r="I38" t="s">
        <v>34</v>
      </c>
      <c r="J38">
        <v>8760</v>
      </c>
      <c r="K38" s="5">
        <v>1</v>
      </c>
      <c r="L38">
        <v>1</v>
      </c>
      <c r="M38" s="3">
        <f>11825.3487554956/1000</f>
        <v>11.825348755495598</v>
      </c>
      <c r="N38" s="3">
        <f>11825.34876/1000</f>
        <v>11.825348760000001</v>
      </c>
      <c r="O38" s="1">
        <v>0</v>
      </c>
      <c r="P38">
        <v>35</v>
      </c>
      <c r="Q38" s="1">
        <v>0.01</v>
      </c>
      <c r="R38">
        <v>1</v>
      </c>
      <c r="S38">
        <v>1</v>
      </c>
      <c r="T38" s="108">
        <f>Capacity!B39*1000</f>
        <v>343.99</v>
      </c>
      <c r="U38" s="109">
        <f>Capacity!AR39*1000</f>
        <v>0</v>
      </c>
      <c r="V38" s="109">
        <f>Capacity!D39*1000</f>
        <v>6</v>
      </c>
      <c r="W38" s="109">
        <f>Capacity!X39*1000</f>
        <v>6</v>
      </c>
      <c r="X38" s="123"/>
      <c r="Y38" s="126"/>
      <c r="Z38">
        <f>2.4</f>
        <v>2.4</v>
      </c>
      <c r="AA38">
        <v>8.3500000000000005E-2</v>
      </c>
      <c r="AC38" s="122"/>
      <c r="AD38" s="1">
        <f>K38-Q38</f>
        <v>0.99</v>
      </c>
      <c r="AE38" s="122"/>
      <c r="AF38">
        <v>0</v>
      </c>
      <c r="AG38">
        <f>Z38*Conversions!$D$4</f>
        <v>2.973402195530698</v>
      </c>
      <c r="AH38" s="3">
        <f t="shared" si="0"/>
        <v>8.851946559964901</v>
      </c>
      <c r="AI38">
        <f t="shared" si="6"/>
        <v>35</v>
      </c>
      <c r="AJ38">
        <f t="shared" si="3"/>
        <v>8.8866958914066166E-2</v>
      </c>
      <c r="AK38" s="107">
        <f t="shared" si="1"/>
        <v>99.608973550278478</v>
      </c>
      <c r="AL38" s="135">
        <f t="shared" si="4"/>
        <v>343.99</v>
      </c>
    </row>
    <row r="39" spans="2:38" x14ac:dyDescent="0.25">
      <c r="B39" t="s">
        <v>7</v>
      </c>
      <c r="C39" t="s">
        <v>10</v>
      </c>
      <c r="D39" t="s">
        <v>299</v>
      </c>
      <c r="E39" t="s">
        <v>400</v>
      </c>
      <c r="F39" t="s">
        <v>6</v>
      </c>
      <c r="G39" t="s">
        <v>179</v>
      </c>
      <c r="H39" t="s">
        <v>38</v>
      </c>
      <c r="I39" t="s">
        <v>34</v>
      </c>
      <c r="J39">
        <v>8760</v>
      </c>
      <c r="K39" s="5">
        <v>0.238845897</v>
      </c>
      <c r="L39">
        <v>1</v>
      </c>
      <c r="M39" s="3">
        <f>7713.45723965334/1000</f>
        <v>7.7134572396533407</v>
      </c>
      <c r="N39" s="3">
        <f>7713.45724/1000</f>
        <v>7.7134572399999994</v>
      </c>
      <c r="O39" s="1">
        <v>0</v>
      </c>
      <c r="P39">
        <v>20</v>
      </c>
      <c r="Q39" s="1">
        <v>0.1</v>
      </c>
      <c r="R39">
        <v>0.06</v>
      </c>
      <c r="S39">
        <v>0.06</v>
      </c>
      <c r="T39" s="108">
        <f>Capacity!B40*1000</f>
        <v>560.64</v>
      </c>
      <c r="U39" s="109">
        <f>Capacity!AR40*1000</f>
        <v>0</v>
      </c>
      <c r="V39" s="109">
        <f>Capacity!D40*1000</f>
        <v>23</v>
      </c>
      <c r="W39" s="109">
        <f>Capacity!X40*1000</f>
        <v>23</v>
      </c>
      <c r="X39" s="1">
        <f>CarriersTech_characteristics!$G$7</f>
        <v>13.648968</v>
      </c>
      <c r="Y39" s="1">
        <f>CarriersTech_characteristics!$H$5*1000</f>
        <v>1656436.6880000001</v>
      </c>
      <c r="Z39" s="104">
        <v>1</v>
      </c>
      <c r="AA39">
        <v>8.3500000000000005E-2</v>
      </c>
      <c r="AC39" s="1">
        <f>1/K39/(1-Q39)</f>
        <v>4.6519999927447406</v>
      </c>
      <c r="AD39" s="123"/>
      <c r="AE39" s="128">
        <f>Y39/(X39*Conversions!$D$2)</f>
        <v>0.43689545093040172</v>
      </c>
      <c r="AF39">
        <v>0</v>
      </c>
      <c r="AG39">
        <f>Z39*Conversions!$D$4</f>
        <v>1.2389175814711242</v>
      </c>
      <c r="AH39" s="3">
        <f t="shared" si="0"/>
        <v>6.4745396581822163</v>
      </c>
      <c r="AI39">
        <f t="shared" si="6"/>
        <v>20</v>
      </c>
      <c r="AJ39">
        <f t="shared" si="3"/>
        <v>0.10451929579519206</v>
      </c>
      <c r="AK39" s="107">
        <f t="shared" si="1"/>
        <v>61.945879073556178</v>
      </c>
      <c r="AL39" s="135">
        <f t="shared" si="4"/>
        <v>560.64</v>
      </c>
    </row>
    <row r="40" spans="2:38" x14ac:dyDescent="0.25">
      <c r="B40" t="s">
        <v>19</v>
      </c>
      <c r="C40" t="s">
        <v>10</v>
      </c>
      <c r="D40" t="s">
        <v>311</v>
      </c>
      <c r="E40" t="s">
        <v>401</v>
      </c>
      <c r="F40" t="s">
        <v>6</v>
      </c>
      <c r="G40" t="s">
        <v>179</v>
      </c>
      <c r="H40" t="s">
        <v>39</v>
      </c>
      <c r="I40" t="s">
        <v>34</v>
      </c>
      <c r="J40">
        <v>8760</v>
      </c>
      <c r="K40" s="5">
        <v>1</v>
      </c>
      <c r="L40">
        <v>1</v>
      </c>
      <c r="M40" s="3">
        <f>5630.98419436319/1000</f>
        <v>5.6309841943631902</v>
      </c>
      <c r="N40" s="3">
        <f>5439.705856/1000</f>
        <v>5.4397058559999998</v>
      </c>
      <c r="O40" s="1">
        <v>0</v>
      </c>
      <c r="P40">
        <v>25</v>
      </c>
      <c r="Q40" s="1">
        <v>0.01</v>
      </c>
      <c r="R40">
        <v>1</v>
      </c>
      <c r="S40">
        <v>1</v>
      </c>
      <c r="T40" s="108">
        <f>Capacity!B41*1000</f>
        <v>847.7259029999999</v>
      </c>
      <c r="U40" s="109">
        <f>Capacity!AR41*1000</f>
        <v>0</v>
      </c>
      <c r="V40" s="109">
        <f>Capacity!D41*1000</f>
        <v>40</v>
      </c>
      <c r="W40" s="109">
        <f>Capacity!X41*1000</f>
        <v>40</v>
      </c>
      <c r="X40" s="123"/>
      <c r="Y40" s="127" t="s">
        <v>323</v>
      </c>
      <c r="Z40">
        <v>0.35</v>
      </c>
      <c r="AA40">
        <v>0.105</v>
      </c>
      <c r="AC40" s="123">
        <v>1</v>
      </c>
      <c r="AD40" s="123"/>
      <c r="AE40" s="122"/>
      <c r="AF40">
        <v>0</v>
      </c>
      <c r="AG40">
        <f>Z40*Conversions!$D$4</f>
        <v>0.43362115351489344</v>
      </c>
      <c r="AH40" s="3">
        <f t="shared" ref="AH40:AH67" si="7">M40-AG40</f>
        <v>5.1973630408482965</v>
      </c>
      <c r="AI40">
        <f t="shared" si="6"/>
        <v>25</v>
      </c>
      <c r="AJ40">
        <f t="shared" ref="AJ40:AJ67" si="8">AA40/(1-(1+AA40)^-AI40)</f>
        <v>0.11442931981310331</v>
      </c>
      <c r="AK40" s="107">
        <f t="shared" ref="AK40:AK67" si="9">AH40/AJ40</f>
        <v>45.419854363699066</v>
      </c>
      <c r="AL40" s="135">
        <f t="shared" si="4"/>
        <v>847.7259029999999</v>
      </c>
    </row>
    <row r="41" spans="2:38" x14ac:dyDescent="0.25">
      <c r="B41" t="s">
        <v>20</v>
      </c>
      <c r="C41" t="s">
        <v>10</v>
      </c>
      <c r="D41" t="s">
        <v>311</v>
      </c>
      <c r="E41" t="s">
        <v>402</v>
      </c>
      <c r="F41" t="s">
        <v>6</v>
      </c>
      <c r="G41" t="s">
        <v>179</v>
      </c>
      <c r="H41" t="s">
        <v>39</v>
      </c>
      <c r="I41" t="s">
        <v>34</v>
      </c>
      <c r="J41">
        <v>8760</v>
      </c>
      <c r="K41" s="5">
        <v>1</v>
      </c>
      <c r="L41">
        <v>1</v>
      </c>
      <c r="M41" s="3">
        <f>5542.18769541597/1000</f>
        <v>5.5421876954159695</v>
      </c>
      <c r="N41" s="3">
        <f>5362.133837/1000</f>
        <v>5.362133837</v>
      </c>
      <c r="O41" s="1">
        <v>0</v>
      </c>
      <c r="P41">
        <v>25</v>
      </c>
      <c r="Q41" s="1">
        <v>6.0000000000000001E-3</v>
      </c>
      <c r="R41">
        <v>1</v>
      </c>
      <c r="S41">
        <v>1</v>
      </c>
      <c r="T41" s="108">
        <f>Capacity!B42*1000</f>
        <v>200.08409700000001</v>
      </c>
      <c r="U41" s="109">
        <f>Capacity!AR42*1000</f>
        <v>0</v>
      </c>
      <c r="V41" s="109">
        <f>Capacity!D42*1000</f>
        <v>138</v>
      </c>
      <c r="W41" s="109">
        <f>Capacity!X42*1000</f>
        <v>138</v>
      </c>
      <c r="X41" s="123"/>
      <c r="Y41" s="123"/>
      <c r="Z41">
        <v>0.51</v>
      </c>
      <c r="AA41">
        <v>0.104</v>
      </c>
      <c r="AC41" s="123">
        <v>1</v>
      </c>
      <c r="AD41" s="123"/>
      <c r="AE41" s="122"/>
      <c r="AF41">
        <v>0</v>
      </c>
      <c r="AG41">
        <f>Z41*Conversions!$D$4</f>
        <v>0.63184796655027331</v>
      </c>
      <c r="AH41" s="3">
        <f t="shared" si="7"/>
        <v>4.9103397288656963</v>
      </c>
      <c r="AI41">
        <f t="shared" si="6"/>
        <v>25</v>
      </c>
      <c r="AJ41">
        <f t="shared" si="8"/>
        <v>0.11357300490974749</v>
      </c>
      <c r="AK41" s="107">
        <f t="shared" si="9"/>
        <v>43.235095635338453</v>
      </c>
      <c r="AL41" s="135">
        <f t="shared" si="4"/>
        <v>200.08409700000001</v>
      </c>
    </row>
    <row r="42" spans="2:38" x14ac:dyDescent="0.25">
      <c r="B42" t="s">
        <v>21</v>
      </c>
      <c r="C42" t="s">
        <v>10</v>
      </c>
      <c r="D42" t="s">
        <v>311</v>
      </c>
      <c r="E42" t="s">
        <v>403</v>
      </c>
      <c r="F42" t="s">
        <v>6</v>
      </c>
      <c r="G42" t="s">
        <v>179</v>
      </c>
      <c r="H42" t="s">
        <v>40</v>
      </c>
      <c r="I42" t="s">
        <v>34</v>
      </c>
      <c r="J42">
        <v>8760</v>
      </c>
      <c r="K42" s="5">
        <v>1</v>
      </c>
      <c r="L42">
        <v>1</v>
      </c>
      <c r="M42" s="3">
        <f>10659.4302732183/1000</f>
        <v>10.6594302732183</v>
      </c>
      <c r="N42" s="3">
        <f>10586.96446/1000</f>
        <v>10.586964459999999</v>
      </c>
      <c r="O42" s="1">
        <v>0</v>
      </c>
      <c r="P42">
        <v>25</v>
      </c>
      <c r="Q42" s="1">
        <v>5.0000000000000001E-3</v>
      </c>
      <c r="R42">
        <v>1</v>
      </c>
      <c r="S42">
        <v>1</v>
      </c>
      <c r="T42" s="108">
        <f>Capacity!B43*1000</f>
        <v>46</v>
      </c>
      <c r="U42" s="109">
        <f>Capacity!AR43*1000</f>
        <v>0</v>
      </c>
      <c r="V42" s="109">
        <f>Capacity!D43*1000</f>
        <v>0</v>
      </c>
      <c r="W42" s="109">
        <f>Capacity!X43*1000</f>
        <v>0</v>
      </c>
      <c r="X42" s="123"/>
      <c r="Y42" s="123"/>
      <c r="Z42">
        <v>0.68</v>
      </c>
      <c r="AA42">
        <v>0.105</v>
      </c>
      <c r="AC42" s="123">
        <v>1</v>
      </c>
      <c r="AD42" s="123"/>
      <c r="AE42" s="122"/>
      <c r="AF42">
        <v>0</v>
      </c>
      <c r="AG42">
        <f>Z42*Conversions!$D$4</f>
        <v>0.84246395540036456</v>
      </c>
      <c r="AH42" s="3">
        <f t="shared" si="7"/>
        <v>9.8169663178179363</v>
      </c>
      <c r="AI42">
        <f t="shared" si="6"/>
        <v>25</v>
      </c>
      <c r="AJ42">
        <f t="shared" si="8"/>
        <v>0.11442931981310331</v>
      </c>
      <c r="AK42" s="107">
        <f t="shared" si="9"/>
        <v>85.790655173446154</v>
      </c>
      <c r="AL42" s="135">
        <f t="shared" si="4"/>
        <v>46</v>
      </c>
    </row>
    <row r="43" spans="2:38" s="116" customFormat="1" x14ac:dyDescent="0.25">
      <c r="B43" s="116" t="s">
        <v>23</v>
      </c>
      <c r="C43" s="116" t="s">
        <v>10</v>
      </c>
      <c r="D43" s="116" t="s">
        <v>311</v>
      </c>
      <c r="F43" s="116" t="s">
        <v>6</v>
      </c>
      <c r="G43" s="116" t="s">
        <v>179</v>
      </c>
      <c r="H43" s="116" t="s">
        <v>40</v>
      </c>
      <c r="I43" s="116" t="s">
        <v>34</v>
      </c>
      <c r="J43" s="116">
        <v>8760</v>
      </c>
      <c r="K43" s="136">
        <v>1</v>
      </c>
      <c r="L43" s="116">
        <v>1</v>
      </c>
      <c r="M43" s="137">
        <f>N43</f>
        <v>34.540361669999996</v>
      </c>
      <c r="N43" s="138">
        <f>34540.36167/1000</f>
        <v>34.540361669999996</v>
      </c>
      <c r="O43" s="139">
        <v>0</v>
      </c>
      <c r="P43" s="116">
        <v>25</v>
      </c>
      <c r="Q43" s="139">
        <v>5.0000000000000001E-3</v>
      </c>
      <c r="R43" s="116">
        <v>1</v>
      </c>
      <c r="S43" s="116">
        <v>1</v>
      </c>
      <c r="T43" s="140">
        <f>Capacity!B44*1000</f>
        <v>0</v>
      </c>
      <c r="U43" s="141">
        <f>Capacity!AR44*1000</f>
        <v>0</v>
      </c>
      <c r="V43" s="141">
        <f>Capacity!D44*1000</f>
        <v>0</v>
      </c>
      <c r="W43" s="141">
        <f>Capacity!X44*1000</f>
        <v>0</v>
      </c>
      <c r="X43" s="142"/>
      <c r="Y43" s="142"/>
      <c r="Z43" s="116">
        <v>6.7</v>
      </c>
      <c r="AA43" s="116">
        <v>0.112</v>
      </c>
      <c r="AB43" s="143"/>
      <c r="AC43" s="142">
        <v>1</v>
      </c>
      <c r="AD43" s="142"/>
      <c r="AE43" s="144"/>
      <c r="AF43" s="116">
        <v>0</v>
      </c>
      <c r="AG43" s="116">
        <f>Z43*Conversions!$D$4</f>
        <v>8.3007477958565321</v>
      </c>
      <c r="AH43" s="138">
        <f t="shared" si="7"/>
        <v>26.239613874143465</v>
      </c>
      <c r="AI43" s="116">
        <f>P43</f>
        <v>25</v>
      </c>
      <c r="AJ43" s="116">
        <f t="shared" si="8"/>
        <v>0.12047788778229078</v>
      </c>
      <c r="AK43" s="145">
        <f t="shared" si="9"/>
        <v>217.79609816499843</v>
      </c>
      <c r="AL43" s="146">
        <f t="shared" si="4"/>
        <v>0</v>
      </c>
    </row>
    <row r="44" spans="2:38" x14ac:dyDescent="0.25">
      <c r="B44" t="s">
        <v>13</v>
      </c>
      <c r="C44" t="s">
        <v>11</v>
      </c>
      <c r="D44" t="s">
        <v>299</v>
      </c>
      <c r="E44" t="s">
        <v>395</v>
      </c>
      <c r="F44" t="s">
        <v>6</v>
      </c>
      <c r="G44" t="s">
        <v>179</v>
      </c>
      <c r="H44" t="s">
        <v>33</v>
      </c>
      <c r="I44" t="s">
        <v>34</v>
      </c>
      <c r="J44">
        <v>8760</v>
      </c>
      <c r="K44" s="5">
        <v>0.38096819999999998</v>
      </c>
      <c r="L44">
        <v>0.85</v>
      </c>
      <c r="M44" s="3">
        <f>5794.65159561365/1000</f>
        <v>5.79465159561365</v>
      </c>
      <c r="N44" s="3">
        <f>13721.03129/1000</f>
        <v>13.721031290000001</v>
      </c>
      <c r="O44" s="1">
        <v>133.5230182</v>
      </c>
      <c r="P44">
        <v>40</v>
      </c>
      <c r="Q44" s="1">
        <v>6.6000000000000003E-2</v>
      </c>
      <c r="R44">
        <v>0.3</v>
      </c>
      <c r="S44">
        <v>0.3</v>
      </c>
      <c r="T44" s="108">
        <f>Capacity!B47*1000</f>
        <v>90475.826298999993</v>
      </c>
      <c r="U44" s="109">
        <f>Capacity!AR47*1000</f>
        <v>0</v>
      </c>
      <c r="V44" s="109">
        <f>Capacity!D47*1000</f>
        <v>0</v>
      </c>
      <c r="W44" s="109">
        <f>Capacity!X47*1000</f>
        <v>0</v>
      </c>
      <c r="X44" s="1">
        <f>CarriersTech_characteristics!$G$2</f>
        <v>17.207187650000002</v>
      </c>
      <c r="Y44" s="1">
        <f>CarriersTech_characteristics!$H$28*1000</f>
        <v>1942097.6230000001</v>
      </c>
      <c r="Z44" s="7">
        <v>3</v>
      </c>
      <c r="AA44">
        <v>0.105</v>
      </c>
      <c r="AB44" s="133"/>
      <c r="AC44" s="1">
        <f>1/K44/(1-Q44)</f>
        <v>2.8103758044980376</v>
      </c>
      <c r="AD44" s="123"/>
      <c r="AE44" s="129">
        <f>Y44/(X44*Conversions!$D$2)</f>
        <v>0.40631575182871843</v>
      </c>
      <c r="AF44" s="103">
        <f>O44/CarriersTech_characteristics!$G$2/Conversions!$D$2*AC44</f>
        <v>7.8507860294473842E-5</v>
      </c>
      <c r="AG44">
        <f>Z44*Conversions!$D$4</f>
        <v>3.7167527444133723</v>
      </c>
      <c r="AH44" s="3">
        <f t="shared" si="7"/>
        <v>2.0778988512002776</v>
      </c>
      <c r="AI44">
        <f>P44</f>
        <v>40</v>
      </c>
      <c r="AJ44">
        <f t="shared" si="8"/>
        <v>0.10697140835497033</v>
      </c>
      <c r="AK44" s="107">
        <f t="shared" si="9"/>
        <v>19.424805965955386</v>
      </c>
      <c r="AL44" s="135">
        <f t="shared" si="4"/>
        <v>90475.826298999993</v>
      </c>
    </row>
    <row r="45" spans="2:38" x14ac:dyDescent="0.25">
      <c r="B45" t="s">
        <v>14</v>
      </c>
      <c r="C45" t="s">
        <v>11</v>
      </c>
      <c r="D45" t="s">
        <v>299</v>
      </c>
      <c r="E45" t="s">
        <v>398</v>
      </c>
      <c r="F45" t="s">
        <v>6</v>
      </c>
      <c r="G45" t="s">
        <v>179</v>
      </c>
      <c r="H45" t="s">
        <v>35</v>
      </c>
      <c r="I45" t="s">
        <v>34</v>
      </c>
      <c r="J45">
        <v>8760</v>
      </c>
      <c r="K45" s="5">
        <v>0.40444272199999998</v>
      </c>
      <c r="L45">
        <v>0.85</v>
      </c>
      <c r="M45" s="3">
        <f>8512.22780274884/1000</f>
        <v>8.5122278027488392</v>
      </c>
      <c r="N45" s="3">
        <f>8512.227803/1000</f>
        <v>8.512227803</v>
      </c>
      <c r="O45" s="1">
        <v>0</v>
      </c>
      <c r="P45">
        <v>25</v>
      </c>
      <c r="Q45" s="1">
        <v>0.02</v>
      </c>
      <c r="R45">
        <v>0.9</v>
      </c>
      <c r="S45">
        <v>0.9</v>
      </c>
      <c r="T45" s="108">
        <f>Capacity!B48*1000</f>
        <v>13563.174911999999</v>
      </c>
      <c r="U45" s="109">
        <f>Capacity!AR48*1000</f>
        <v>0</v>
      </c>
      <c r="V45" s="109">
        <f>Capacity!D48*1000</f>
        <v>0</v>
      </c>
      <c r="W45" s="109">
        <f>Capacity!X48*1000</f>
        <v>0</v>
      </c>
      <c r="X45" s="1">
        <f>CarriersTech_characteristics!$G$3</f>
        <v>37.681199999999997</v>
      </c>
      <c r="Y45" s="1">
        <f>CarriersTech_characteristics!$H$3*1000</f>
        <v>3025024.5490000001</v>
      </c>
      <c r="Z45">
        <v>2.9</v>
      </c>
      <c r="AA45">
        <v>0.105</v>
      </c>
      <c r="AC45" s="1">
        <f>1/K45/(1-Q45)</f>
        <v>2.5229979617863072</v>
      </c>
      <c r="AD45" s="123"/>
      <c r="AE45" s="129">
        <f>(Y45*Conversions!$D$3)/(X45*Conversions!$D$2)</f>
        <v>0.23958587284408495</v>
      </c>
      <c r="AF45">
        <v>0</v>
      </c>
      <c r="AG45">
        <f>Z45*Conversions!$D$4</f>
        <v>3.5928609862662602</v>
      </c>
      <c r="AH45" s="3">
        <f t="shared" si="7"/>
        <v>4.9193668164825795</v>
      </c>
      <c r="AI45">
        <f t="shared" ref="AI45:AI54" si="10">P45</f>
        <v>25</v>
      </c>
      <c r="AJ45">
        <f t="shared" si="8"/>
        <v>0.11442931981310331</v>
      </c>
      <c r="AK45" s="107">
        <f t="shared" si="9"/>
        <v>42.990440077048</v>
      </c>
      <c r="AL45" s="135">
        <f t="shared" si="4"/>
        <v>13563.174911999999</v>
      </c>
    </row>
    <row r="46" spans="2:38" x14ac:dyDescent="0.25">
      <c r="B46" t="s">
        <v>16</v>
      </c>
      <c r="C46" t="s">
        <v>11</v>
      </c>
      <c r="D46" t="s">
        <v>299</v>
      </c>
      <c r="F46" t="s">
        <v>6</v>
      </c>
      <c r="G46" t="s">
        <v>179</v>
      </c>
      <c r="H46" t="s">
        <v>35</v>
      </c>
      <c r="I46" t="s">
        <v>34</v>
      </c>
      <c r="J46">
        <v>8760</v>
      </c>
      <c r="K46" s="5">
        <v>0.28070162799999998</v>
      </c>
      <c r="L46">
        <v>0.85</v>
      </c>
      <c r="M46" s="3">
        <f>6679.75064927145/1000</f>
        <v>6.6797506492714502</v>
      </c>
      <c r="N46" s="3">
        <f>6679.750649/1000</f>
        <v>6.6797506489999998</v>
      </c>
      <c r="O46" s="1">
        <v>0</v>
      </c>
      <c r="P46">
        <v>25</v>
      </c>
      <c r="Q46" s="1">
        <v>0.01</v>
      </c>
      <c r="R46">
        <v>1</v>
      </c>
      <c r="S46">
        <v>1</v>
      </c>
      <c r="T46" s="108">
        <f>Capacity!B49*1000</f>
        <v>0</v>
      </c>
      <c r="U46" s="109">
        <f>Capacity!AR49*1000</f>
        <v>0</v>
      </c>
      <c r="V46" s="109">
        <f>Capacity!D49*1000</f>
        <v>0</v>
      </c>
      <c r="W46" s="109">
        <f>Capacity!X49*1000</f>
        <v>0</v>
      </c>
      <c r="X46" s="1">
        <f>CarriersTech_characteristics!$G$3</f>
        <v>37.681199999999997</v>
      </c>
      <c r="Y46" s="1">
        <f>CarriersTech_characteristics!$H$3*1000</f>
        <v>3025024.5490000001</v>
      </c>
      <c r="Z46">
        <v>0.7</v>
      </c>
      <c r="AA46">
        <v>0.105</v>
      </c>
      <c r="AC46" s="1">
        <f>1/K46/(1-Q46)</f>
        <v>3.5984864687033813</v>
      </c>
      <c r="AD46" s="123"/>
      <c r="AE46" s="129">
        <f>(Y46*Conversions!$D$3)/(X46*Conversions!$D$2)</f>
        <v>0.23958587284408495</v>
      </c>
      <c r="AF46">
        <v>0</v>
      </c>
      <c r="AG46">
        <f>Z46*Conversions!$D$4</f>
        <v>0.86724230702978689</v>
      </c>
      <c r="AH46" s="3">
        <f t="shared" si="7"/>
        <v>5.8125083422416637</v>
      </c>
      <c r="AI46">
        <f t="shared" si="10"/>
        <v>25</v>
      </c>
      <c r="AJ46">
        <f t="shared" si="8"/>
        <v>0.11442931981310331</v>
      </c>
      <c r="AK46" s="107">
        <f t="shared" si="9"/>
        <v>50.795620840316076</v>
      </c>
      <c r="AL46" s="135">
        <f t="shared" si="4"/>
        <v>0</v>
      </c>
    </row>
    <row r="47" spans="2:38" x14ac:dyDescent="0.25">
      <c r="B47" t="s">
        <v>17</v>
      </c>
      <c r="C47" t="s">
        <v>11</v>
      </c>
      <c r="D47" t="s">
        <v>299</v>
      </c>
      <c r="E47" t="s">
        <v>396</v>
      </c>
      <c r="F47" t="s">
        <v>6</v>
      </c>
      <c r="G47" t="s">
        <v>179</v>
      </c>
      <c r="H47" t="s">
        <v>36</v>
      </c>
      <c r="I47" t="s">
        <v>34</v>
      </c>
      <c r="J47">
        <v>8760</v>
      </c>
      <c r="K47" s="5">
        <v>1</v>
      </c>
      <c r="L47">
        <v>0.70916666699999997</v>
      </c>
      <c r="M47" s="3">
        <f>20833.2103478327/1000</f>
        <v>20.833210347832701</v>
      </c>
      <c r="N47" s="3">
        <f>20833.21035/1000</f>
        <v>20.833210350000002</v>
      </c>
      <c r="O47" s="1">
        <v>0</v>
      </c>
      <c r="P47">
        <v>40</v>
      </c>
      <c r="Q47" s="1">
        <v>0.10780000000000001</v>
      </c>
      <c r="R47">
        <v>0.01</v>
      </c>
      <c r="S47">
        <v>0.01</v>
      </c>
      <c r="T47" s="108">
        <f>Capacity!B50*1000</f>
        <v>3248.823954</v>
      </c>
      <c r="U47" s="109">
        <f>Capacity!AR50*1000</f>
        <v>0</v>
      </c>
      <c r="V47" s="109">
        <f>Capacity!D50*1000</f>
        <v>1400</v>
      </c>
      <c r="W47" s="109">
        <f>Capacity!X50*1000</f>
        <v>1400</v>
      </c>
      <c r="X47" s="125"/>
      <c r="Y47" s="125"/>
      <c r="Z47">
        <v>4.3</v>
      </c>
      <c r="AA47">
        <v>0.105</v>
      </c>
      <c r="AC47" s="1">
        <f>1/K47/(1-Q47)</f>
        <v>1.1208249271463797</v>
      </c>
      <c r="AD47" s="123"/>
      <c r="AE47" s="124"/>
      <c r="AF47">
        <v>0</v>
      </c>
      <c r="AG47">
        <f>Z47*Conversions!$D$4</f>
        <v>5.3273456003258337</v>
      </c>
      <c r="AH47" s="3">
        <f t="shared" si="7"/>
        <v>15.505864747506866</v>
      </c>
      <c r="AI47">
        <f t="shared" si="10"/>
        <v>40</v>
      </c>
      <c r="AJ47">
        <f t="shared" si="8"/>
        <v>0.10697140835497033</v>
      </c>
      <c r="AK47" s="107">
        <f t="shared" si="9"/>
        <v>144.95335703212137</v>
      </c>
      <c r="AL47" s="135">
        <f t="shared" si="4"/>
        <v>3248.823954</v>
      </c>
    </row>
    <row r="48" spans="2:38" x14ac:dyDescent="0.25">
      <c r="B48" t="s">
        <v>22</v>
      </c>
      <c r="C48" t="s">
        <v>11</v>
      </c>
      <c r="D48" t="s">
        <v>299</v>
      </c>
      <c r="F48" t="s">
        <v>6</v>
      </c>
      <c r="G48" t="s">
        <v>179</v>
      </c>
      <c r="H48" t="s">
        <v>36</v>
      </c>
      <c r="I48" t="s">
        <v>34</v>
      </c>
      <c r="J48">
        <v>8760</v>
      </c>
      <c r="K48" s="5">
        <v>1</v>
      </c>
      <c r="L48">
        <v>0.70916666699999997</v>
      </c>
      <c r="M48" s="105">
        <f>N48</f>
        <v>35.289429389999995</v>
      </c>
      <c r="N48" s="3">
        <f>35289.42939/1000</f>
        <v>35.289429389999995</v>
      </c>
      <c r="O48" s="1">
        <v>0</v>
      </c>
      <c r="P48">
        <v>30</v>
      </c>
      <c r="Q48" s="1">
        <v>0.05</v>
      </c>
      <c r="R48">
        <v>0.01</v>
      </c>
      <c r="S48">
        <v>0.01</v>
      </c>
      <c r="T48" s="108">
        <f>Capacity!B51*1000</f>
        <v>0</v>
      </c>
      <c r="U48" s="109">
        <f>Capacity!AR51*1000</f>
        <v>0</v>
      </c>
      <c r="V48" s="109">
        <f>Capacity!D51*1000</f>
        <v>0</v>
      </c>
      <c r="W48" s="109">
        <f>Capacity!X51*1000</f>
        <v>0</v>
      </c>
      <c r="X48" s="125"/>
      <c r="Y48" s="125"/>
      <c r="Z48">
        <v>5</v>
      </c>
      <c r="AA48">
        <v>0.105</v>
      </c>
      <c r="AC48" s="1">
        <f>1/K48/(1-Q48)</f>
        <v>1.0526315789473684</v>
      </c>
      <c r="AD48" s="123"/>
      <c r="AE48" s="124"/>
      <c r="AF48">
        <v>0</v>
      </c>
      <c r="AG48">
        <f>Z48*Conversions!$D$4</f>
        <v>6.1945879073556211</v>
      </c>
      <c r="AH48" s="3">
        <f t="shared" si="7"/>
        <v>29.094841482644373</v>
      </c>
      <c r="AI48">
        <f t="shared" si="10"/>
        <v>30</v>
      </c>
      <c r="AJ48">
        <f t="shared" si="8"/>
        <v>0.11052848152960514</v>
      </c>
      <c r="AK48" s="107">
        <f t="shared" si="9"/>
        <v>263.2338839727143</v>
      </c>
      <c r="AL48" s="135">
        <f t="shared" si="4"/>
        <v>0</v>
      </c>
    </row>
    <row r="49" spans="2:38" x14ac:dyDescent="0.25">
      <c r="B49" t="s">
        <v>15</v>
      </c>
      <c r="C49" t="s">
        <v>11</v>
      </c>
      <c r="D49" t="s">
        <v>303</v>
      </c>
      <c r="E49" t="s">
        <v>397</v>
      </c>
      <c r="F49" t="s">
        <v>6</v>
      </c>
      <c r="G49" t="s">
        <v>179</v>
      </c>
      <c r="H49" t="s">
        <v>37</v>
      </c>
      <c r="I49" t="s">
        <v>34</v>
      </c>
      <c r="J49">
        <v>8760</v>
      </c>
      <c r="K49" s="5">
        <v>1</v>
      </c>
      <c r="L49">
        <v>1</v>
      </c>
      <c r="M49" s="3">
        <f>19631.8145207228/1000</f>
        <v>19.631814520722802</v>
      </c>
      <c r="N49" s="3">
        <f>19631.81452/1000</f>
        <v>19.631814519999999</v>
      </c>
      <c r="O49" s="1">
        <v>0</v>
      </c>
      <c r="P49">
        <v>40</v>
      </c>
      <c r="Q49" s="1">
        <v>6.0000000000000001E-3</v>
      </c>
      <c r="R49">
        <v>1</v>
      </c>
      <c r="S49">
        <v>1</v>
      </c>
      <c r="T49" s="108">
        <f>Capacity!B52*1000</f>
        <v>7753.2156499999992</v>
      </c>
      <c r="U49" s="109">
        <f>Capacity!AR52*1000</f>
        <v>0</v>
      </c>
      <c r="V49" s="109">
        <f>Capacity!D52*1000</f>
        <v>0</v>
      </c>
      <c r="W49" s="109">
        <f>Capacity!X52*1000</f>
        <v>0</v>
      </c>
      <c r="X49" s="123"/>
      <c r="Y49" s="126"/>
      <c r="Z49">
        <v>4.4000000000000004</v>
      </c>
      <c r="AA49">
        <v>0.105</v>
      </c>
      <c r="AC49" s="122"/>
      <c r="AD49" s="1">
        <f>K49-Q49</f>
        <v>0.99399999999999999</v>
      </c>
      <c r="AE49" s="122"/>
      <c r="AF49">
        <v>0</v>
      </c>
      <c r="AG49">
        <f>Z49*Conversions!$D$4</f>
        <v>5.4512373584729472</v>
      </c>
      <c r="AH49" s="3">
        <f t="shared" si="7"/>
        <v>14.180577162249854</v>
      </c>
      <c r="AI49">
        <f t="shared" si="10"/>
        <v>40</v>
      </c>
      <c r="AJ49">
        <f t="shared" si="8"/>
        <v>0.10697140835497033</v>
      </c>
      <c r="AK49" s="107">
        <f t="shared" si="9"/>
        <v>132.56418121741001</v>
      </c>
      <c r="AL49" s="135">
        <f t="shared" si="4"/>
        <v>7753.2156499999992</v>
      </c>
    </row>
    <row r="50" spans="2:38" x14ac:dyDescent="0.25">
      <c r="B50" t="s">
        <v>18</v>
      </c>
      <c r="C50" t="s">
        <v>11</v>
      </c>
      <c r="D50" t="s">
        <v>303</v>
      </c>
      <c r="E50" t="s">
        <v>399</v>
      </c>
      <c r="F50" t="s">
        <v>6</v>
      </c>
      <c r="G50" t="s">
        <v>179</v>
      </c>
      <c r="H50" t="s">
        <v>37</v>
      </c>
      <c r="I50" t="s">
        <v>34</v>
      </c>
      <c r="J50">
        <v>8760</v>
      </c>
      <c r="K50" s="5">
        <v>1</v>
      </c>
      <c r="L50">
        <v>1</v>
      </c>
      <c r="M50" s="3">
        <f>11825.3487554956/1000</f>
        <v>11.825348755495598</v>
      </c>
      <c r="N50" s="3">
        <f>11825.34876/1000</f>
        <v>11.825348760000001</v>
      </c>
      <c r="O50" s="1">
        <v>0</v>
      </c>
      <c r="P50">
        <v>35</v>
      </c>
      <c r="Q50" s="1">
        <v>0.01</v>
      </c>
      <c r="R50">
        <v>1</v>
      </c>
      <c r="S50">
        <v>1</v>
      </c>
      <c r="T50" s="108">
        <f>Capacity!B53*1000</f>
        <v>672.48</v>
      </c>
      <c r="U50" s="109">
        <f>Capacity!AR53*1000</f>
        <v>0</v>
      </c>
      <c r="V50" s="109">
        <f>Capacity!D53*1000</f>
        <v>11</v>
      </c>
      <c r="W50" s="109">
        <f>Capacity!X53*1000</f>
        <v>11</v>
      </c>
      <c r="X50" s="123"/>
      <c r="Y50" s="126"/>
      <c r="Z50">
        <f>2.4</f>
        <v>2.4</v>
      </c>
      <c r="AA50">
        <v>8.3500000000000005E-2</v>
      </c>
      <c r="AC50" s="122"/>
      <c r="AD50" s="1">
        <f>K50-Q50</f>
        <v>0.99</v>
      </c>
      <c r="AE50" s="122"/>
      <c r="AF50">
        <v>0</v>
      </c>
      <c r="AG50">
        <f>Z50*Conversions!$D$4</f>
        <v>2.973402195530698</v>
      </c>
      <c r="AH50" s="3">
        <f t="shared" si="7"/>
        <v>8.851946559964901</v>
      </c>
      <c r="AI50">
        <f t="shared" si="10"/>
        <v>35</v>
      </c>
      <c r="AJ50">
        <f t="shared" si="8"/>
        <v>8.8866958914066166E-2</v>
      </c>
      <c r="AK50" s="107">
        <f t="shared" si="9"/>
        <v>99.608973550278478</v>
      </c>
      <c r="AL50" s="135">
        <f t="shared" si="4"/>
        <v>672.48</v>
      </c>
    </row>
    <row r="51" spans="2:38" x14ac:dyDescent="0.25">
      <c r="B51" t="s">
        <v>7</v>
      </c>
      <c r="C51" t="s">
        <v>11</v>
      </c>
      <c r="D51" t="s">
        <v>299</v>
      </c>
      <c r="E51" t="s">
        <v>400</v>
      </c>
      <c r="F51" t="s">
        <v>6</v>
      </c>
      <c r="G51" t="s">
        <v>179</v>
      </c>
      <c r="H51" t="s">
        <v>38</v>
      </c>
      <c r="I51" t="s">
        <v>34</v>
      </c>
      <c r="J51">
        <v>8760</v>
      </c>
      <c r="K51" s="5">
        <v>0.238845897</v>
      </c>
      <c r="L51">
        <v>1</v>
      </c>
      <c r="M51" s="3">
        <f>7713.45723965334/1000</f>
        <v>7.7134572396533407</v>
      </c>
      <c r="N51" s="3">
        <f>7713.45724/1000</f>
        <v>7.7134572399999994</v>
      </c>
      <c r="O51" s="1">
        <v>0</v>
      </c>
      <c r="P51">
        <v>20</v>
      </c>
      <c r="Q51" s="1">
        <v>0.1</v>
      </c>
      <c r="R51">
        <v>0.06</v>
      </c>
      <c r="S51">
        <v>0.06</v>
      </c>
      <c r="T51" s="108">
        <f>Capacity!B54*1000</f>
        <v>3161.7000000000003</v>
      </c>
      <c r="U51" s="109">
        <f>Capacity!AR54*1000</f>
        <v>0</v>
      </c>
      <c r="V51" s="109">
        <f>Capacity!D54*1000</f>
        <v>136</v>
      </c>
      <c r="W51" s="109">
        <f>Capacity!X54*1000</f>
        <v>136</v>
      </c>
      <c r="X51" s="1">
        <f>CarriersTech_characteristics!$G$7</f>
        <v>13.648968</v>
      </c>
      <c r="Y51" s="1">
        <f>CarriersTech_characteristics!$H$5*1000</f>
        <v>1656436.6880000001</v>
      </c>
      <c r="Z51" s="104">
        <v>1</v>
      </c>
      <c r="AA51">
        <v>8.3500000000000005E-2</v>
      </c>
      <c r="AC51" s="1">
        <f>1/K51/(1-Q51)</f>
        <v>4.6519999927447406</v>
      </c>
      <c r="AD51" s="123"/>
      <c r="AE51" s="128">
        <f>Y51/(X51*Conversions!$D$2)</f>
        <v>0.43689545093040172</v>
      </c>
      <c r="AF51">
        <v>0</v>
      </c>
      <c r="AG51">
        <f>Z51*Conversions!$D$4</f>
        <v>1.2389175814711242</v>
      </c>
      <c r="AH51" s="3">
        <f t="shared" si="7"/>
        <v>6.4745396581822163</v>
      </c>
      <c r="AI51">
        <f t="shared" si="10"/>
        <v>20</v>
      </c>
      <c r="AJ51">
        <f t="shared" si="8"/>
        <v>0.10451929579519206</v>
      </c>
      <c r="AK51" s="107">
        <f t="shared" si="9"/>
        <v>61.945879073556178</v>
      </c>
      <c r="AL51" s="135">
        <f t="shared" si="4"/>
        <v>3161.7000000000003</v>
      </c>
    </row>
    <row r="52" spans="2:38" x14ac:dyDescent="0.25">
      <c r="B52" t="s">
        <v>19</v>
      </c>
      <c r="C52" t="s">
        <v>11</v>
      </c>
      <c r="D52" t="s">
        <v>311</v>
      </c>
      <c r="E52" t="s">
        <v>401</v>
      </c>
      <c r="F52" t="s">
        <v>6</v>
      </c>
      <c r="G52" t="s">
        <v>179</v>
      </c>
      <c r="H52" t="s">
        <v>39</v>
      </c>
      <c r="I52" t="s">
        <v>34</v>
      </c>
      <c r="J52">
        <v>8760</v>
      </c>
      <c r="K52" s="5">
        <v>1</v>
      </c>
      <c r="L52">
        <v>1</v>
      </c>
      <c r="M52" s="3">
        <f>5630.98419436319/1000</f>
        <v>5.6309841943631902</v>
      </c>
      <c r="N52" s="3">
        <f>5439.705856/1000</f>
        <v>5.4397058559999998</v>
      </c>
      <c r="O52" s="1">
        <v>0</v>
      </c>
      <c r="P52">
        <v>25</v>
      </c>
      <c r="Q52" s="1">
        <v>0.01</v>
      </c>
      <c r="R52">
        <v>1</v>
      </c>
      <c r="S52">
        <v>1</v>
      </c>
      <c r="T52" s="108">
        <f>Capacity!B55*1000</f>
        <v>13221.936034999999</v>
      </c>
      <c r="U52" s="109">
        <f>Capacity!AR55*1000</f>
        <v>0</v>
      </c>
      <c r="V52" s="109">
        <f>Capacity!D55*1000</f>
        <v>5560</v>
      </c>
      <c r="W52" s="109">
        <f>Capacity!X55*1000</f>
        <v>5560</v>
      </c>
      <c r="X52" s="123"/>
      <c r="Y52" s="127" t="s">
        <v>323</v>
      </c>
      <c r="Z52">
        <v>0.35</v>
      </c>
      <c r="AA52">
        <v>0.105</v>
      </c>
      <c r="AC52" s="123">
        <v>1</v>
      </c>
      <c r="AD52" s="123"/>
      <c r="AE52" s="122"/>
      <c r="AF52">
        <v>0</v>
      </c>
      <c r="AG52">
        <f>Z52*Conversions!$D$4</f>
        <v>0.43362115351489344</v>
      </c>
      <c r="AH52" s="3">
        <f t="shared" si="7"/>
        <v>5.1973630408482965</v>
      </c>
      <c r="AI52">
        <f t="shared" si="10"/>
        <v>25</v>
      </c>
      <c r="AJ52">
        <f t="shared" si="8"/>
        <v>0.11442931981310331</v>
      </c>
      <c r="AK52" s="107">
        <f t="shared" si="9"/>
        <v>45.419854363699066</v>
      </c>
      <c r="AL52" s="135">
        <f t="shared" si="4"/>
        <v>13221.936034999999</v>
      </c>
    </row>
    <row r="53" spans="2:38" x14ac:dyDescent="0.25">
      <c r="B53" t="s">
        <v>20</v>
      </c>
      <c r="C53" t="s">
        <v>11</v>
      </c>
      <c r="D53" t="s">
        <v>311</v>
      </c>
      <c r="E53" t="s">
        <v>402</v>
      </c>
      <c r="F53" t="s">
        <v>6</v>
      </c>
      <c r="G53" t="s">
        <v>179</v>
      </c>
      <c r="H53" t="s">
        <v>39</v>
      </c>
      <c r="I53" t="s">
        <v>34</v>
      </c>
      <c r="J53">
        <v>8760</v>
      </c>
      <c r="K53" s="5">
        <v>1</v>
      </c>
      <c r="L53">
        <v>1</v>
      </c>
      <c r="M53" s="3">
        <f>5542.18769541597/1000</f>
        <v>5.5421876954159695</v>
      </c>
      <c r="N53" s="3">
        <f>5362.133837/1000</f>
        <v>5.362133837</v>
      </c>
      <c r="O53" s="1">
        <v>0</v>
      </c>
      <c r="P53">
        <v>25</v>
      </c>
      <c r="Q53" s="1">
        <v>6.0000000000000001E-3</v>
      </c>
      <c r="R53">
        <v>1</v>
      </c>
      <c r="S53">
        <v>1</v>
      </c>
      <c r="T53" s="108">
        <f>Capacity!B56*1000</f>
        <v>4503.4039650000004</v>
      </c>
      <c r="U53" s="109">
        <f>Capacity!AR56*1000</f>
        <v>0</v>
      </c>
      <c r="V53" s="109">
        <f>Capacity!D56*1000</f>
        <v>1704</v>
      </c>
      <c r="W53" s="109">
        <f>Capacity!X56*1000</f>
        <v>1704</v>
      </c>
      <c r="X53" s="123"/>
      <c r="Y53" s="123"/>
      <c r="Z53">
        <v>0.51</v>
      </c>
      <c r="AA53">
        <v>0.104</v>
      </c>
      <c r="AC53" s="123">
        <v>1</v>
      </c>
      <c r="AD53" s="123"/>
      <c r="AE53" s="122"/>
      <c r="AF53">
        <v>0</v>
      </c>
      <c r="AG53">
        <f>Z53*Conversions!$D$4</f>
        <v>0.63184796655027331</v>
      </c>
      <c r="AH53" s="3">
        <f t="shared" si="7"/>
        <v>4.9103397288656963</v>
      </c>
      <c r="AI53">
        <f t="shared" si="10"/>
        <v>25</v>
      </c>
      <c r="AJ53">
        <f t="shared" si="8"/>
        <v>0.11357300490974749</v>
      </c>
      <c r="AK53" s="107">
        <f t="shared" si="9"/>
        <v>43.235095635338453</v>
      </c>
      <c r="AL53" s="135">
        <f t="shared" si="4"/>
        <v>4503.4039650000004</v>
      </c>
    </row>
    <row r="54" spans="2:38" x14ac:dyDescent="0.25">
      <c r="B54" t="s">
        <v>21</v>
      </c>
      <c r="C54" t="s">
        <v>11</v>
      </c>
      <c r="D54" t="s">
        <v>311</v>
      </c>
      <c r="E54" t="s">
        <v>403</v>
      </c>
      <c r="F54" t="s">
        <v>6</v>
      </c>
      <c r="G54" t="s">
        <v>179</v>
      </c>
      <c r="H54" t="s">
        <v>40</v>
      </c>
      <c r="I54" t="s">
        <v>34</v>
      </c>
      <c r="J54">
        <v>8760</v>
      </c>
      <c r="K54" s="5">
        <v>1</v>
      </c>
      <c r="L54">
        <v>1</v>
      </c>
      <c r="M54" s="3">
        <f>10659.4302732183/1000</f>
        <v>10.6594302732183</v>
      </c>
      <c r="N54" s="3">
        <f>10586.96446/1000</f>
        <v>10.586964459999999</v>
      </c>
      <c r="O54" s="1">
        <v>0</v>
      </c>
      <c r="P54">
        <v>25</v>
      </c>
      <c r="Q54" s="1">
        <v>5.0000000000000001E-3</v>
      </c>
      <c r="R54">
        <v>1</v>
      </c>
      <c r="S54">
        <v>1</v>
      </c>
      <c r="T54" s="108">
        <f>Capacity!B57*1000</f>
        <v>18661.04</v>
      </c>
      <c r="U54" s="109">
        <f>Capacity!AR57*1000</f>
        <v>0</v>
      </c>
      <c r="V54" s="109">
        <f>Capacity!D57*1000</f>
        <v>1939</v>
      </c>
      <c r="W54" s="109">
        <f>Capacity!X57*1000</f>
        <v>1939</v>
      </c>
      <c r="X54" s="123"/>
      <c r="Y54" s="123"/>
      <c r="Z54">
        <v>0.68</v>
      </c>
      <c r="AA54">
        <v>0.105</v>
      </c>
      <c r="AC54" s="123">
        <v>1</v>
      </c>
      <c r="AD54" s="123"/>
      <c r="AE54" s="122"/>
      <c r="AF54">
        <v>0</v>
      </c>
      <c r="AG54">
        <f>Z54*Conversions!$D$4</f>
        <v>0.84246395540036456</v>
      </c>
      <c r="AH54" s="3">
        <f t="shared" si="7"/>
        <v>9.8169663178179363</v>
      </c>
      <c r="AI54">
        <f t="shared" si="10"/>
        <v>25</v>
      </c>
      <c r="AJ54">
        <f t="shared" si="8"/>
        <v>0.11442931981310331</v>
      </c>
      <c r="AK54" s="107">
        <f t="shared" si="9"/>
        <v>85.790655173446154</v>
      </c>
      <c r="AL54" s="135">
        <f t="shared" si="4"/>
        <v>18661.04</v>
      </c>
    </row>
    <row r="55" spans="2:38" s="116" customFormat="1" x14ac:dyDescent="0.25">
      <c r="B55" s="116" t="s">
        <v>23</v>
      </c>
      <c r="C55" s="116" t="s">
        <v>11</v>
      </c>
      <c r="D55" s="116" t="s">
        <v>311</v>
      </c>
      <c r="F55" s="116" t="s">
        <v>6</v>
      </c>
      <c r="G55" s="116" t="s">
        <v>179</v>
      </c>
      <c r="H55" s="116" t="s">
        <v>40</v>
      </c>
      <c r="I55" s="116" t="s">
        <v>34</v>
      </c>
      <c r="J55" s="116">
        <v>8760</v>
      </c>
      <c r="K55" s="136">
        <v>1</v>
      </c>
      <c r="L55" s="116">
        <v>1</v>
      </c>
      <c r="M55" s="137">
        <f>N55</f>
        <v>34.540361669999996</v>
      </c>
      <c r="N55" s="138">
        <f>34540.36167/1000</f>
        <v>34.540361669999996</v>
      </c>
      <c r="O55" s="139">
        <v>0</v>
      </c>
      <c r="P55" s="116">
        <v>25</v>
      </c>
      <c r="Q55" s="139">
        <v>5.0000000000000001E-3</v>
      </c>
      <c r="R55" s="116">
        <v>1</v>
      </c>
      <c r="S55" s="116">
        <v>1</v>
      </c>
      <c r="T55" s="140">
        <f>Capacity!B58*1000</f>
        <v>0</v>
      </c>
      <c r="U55" s="141">
        <f>Capacity!AR58*1000</f>
        <v>0</v>
      </c>
      <c r="V55" s="141">
        <f>Capacity!D58*1000</f>
        <v>0</v>
      </c>
      <c r="W55" s="141">
        <f>Capacity!X58*1000</f>
        <v>0</v>
      </c>
      <c r="X55" s="142"/>
      <c r="Y55" s="142"/>
      <c r="Z55" s="116">
        <v>6.7</v>
      </c>
      <c r="AA55" s="116">
        <v>0.112</v>
      </c>
      <c r="AB55" s="143"/>
      <c r="AC55" s="142">
        <v>1</v>
      </c>
      <c r="AD55" s="142"/>
      <c r="AE55" s="144"/>
      <c r="AF55" s="116">
        <v>0</v>
      </c>
      <c r="AG55" s="116">
        <f>Z55*Conversions!$D$4</f>
        <v>8.3007477958565321</v>
      </c>
      <c r="AH55" s="138">
        <f t="shared" si="7"/>
        <v>26.239613874143465</v>
      </c>
      <c r="AI55" s="116">
        <f>P55</f>
        <v>25</v>
      </c>
      <c r="AJ55" s="116">
        <f t="shared" si="8"/>
        <v>0.12047788778229078</v>
      </c>
      <c r="AK55" s="145">
        <f t="shared" si="9"/>
        <v>217.79609816499843</v>
      </c>
      <c r="AL55" s="146">
        <f t="shared" si="4"/>
        <v>0</v>
      </c>
    </row>
    <row r="56" spans="2:38" x14ac:dyDescent="0.25">
      <c r="B56" t="s">
        <v>13</v>
      </c>
      <c r="C56" t="s">
        <v>8</v>
      </c>
      <c r="D56" t="s">
        <v>299</v>
      </c>
      <c r="E56" t="s">
        <v>395</v>
      </c>
      <c r="F56" t="s">
        <v>6</v>
      </c>
      <c r="G56" t="s">
        <v>179</v>
      </c>
      <c r="H56" t="s">
        <v>33</v>
      </c>
      <c r="I56" t="s">
        <v>34</v>
      </c>
      <c r="J56">
        <v>8760</v>
      </c>
      <c r="K56" s="5">
        <v>0.38096819999999998</v>
      </c>
      <c r="L56">
        <v>0.85</v>
      </c>
      <c r="M56" s="3">
        <f>5822.44460147077/1000</f>
        <v>5.82244460147077</v>
      </c>
      <c r="N56" s="3">
        <f>13721.03129/1000</f>
        <v>13.721031290000001</v>
      </c>
      <c r="O56" s="1">
        <v>133.5230182</v>
      </c>
      <c r="P56">
        <v>40</v>
      </c>
      <c r="Q56" s="1">
        <v>6.6000000000000003E-2</v>
      </c>
      <c r="R56">
        <v>0.3</v>
      </c>
      <c r="S56">
        <v>0.3</v>
      </c>
      <c r="T56" s="108">
        <f>Capacity!B61*1000</f>
        <v>63929.270834999996</v>
      </c>
      <c r="U56" s="109">
        <f>Capacity!AR61*1000</f>
        <v>0</v>
      </c>
      <c r="V56" s="109">
        <f>Capacity!D61*1000</f>
        <v>0</v>
      </c>
      <c r="W56" s="109">
        <f>Capacity!X61*1000</f>
        <v>0</v>
      </c>
      <c r="X56" s="1">
        <f>CarriersTech_characteristics!$G$2</f>
        <v>17.207187650000002</v>
      </c>
      <c r="Y56" s="1">
        <f>CarriersTech_characteristics!$H$28*1000</f>
        <v>1942097.6230000001</v>
      </c>
      <c r="Z56" s="7">
        <v>3</v>
      </c>
      <c r="AA56">
        <v>0.105</v>
      </c>
      <c r="AB56" s="133"/>
      <c r="AC56" s="1">
        <f>1/K56/(1-Q56)</f>
        <v>2.8103758044980376</v>
      </c>
      <c r="AD56" s="123"/>
      <c r="AE56" s="129">
        <f>Y56/(X56*Conversions!$D$2)</f>
        <v>0.40631575182871843</v>
      </c>
      <c r="AF56" s="103">
        <f>O56/CarriersTech_characteristics!$G$2/Conversions!$D$2*AC56</f>
        <v>7.8507860294473842E-5</v>
      </c>
      <c r="AG56">
        <f>Z56*Conversions!$D$4</f>
        <v>3.7167527444133723</v>
      </c>
      <c r="AH56" s="3">
        <f t="shared" si="7"/>
        <v>2.1056918570573977</v>
      </c>
      <c r="AI56">
        <f>P56</f>
        <v>40</v>
      </c>
      <c r="AJ56">
        <f t="shared" si="8"/>
        <v>0.10697140835497033</v>
      </c>
      <c r="AK56" s="107">
        <f t="shared" si="9"/>
        <v>19.684623110410406</v>
      </c>
      <c r="AL56" s="135">
        <f t="shared" si="4"/>
        <v>63929.270834999996</v>
      </c>
    </row>
    <row r="57" spans="2:38" x14ac:dyDescent="0.25">
      <c r="B57" t="s">
        <v>14</v>
      </c>
      <c r="C57" t="s">
        <v>8</v>
      </c>
      <c r="D57" t="s">
        <v>299</v>
      </c>
      <c r="E57" t="s">
        <v>398</v>
      </c>
      <c r="F57" t="s">
        <v>6</v>
      </c>
      <c r="G57" t="s">
        <v>179</v>
      </c>
      <c r="H57" t="s">
        <v>35</v>
      </c>
      <c r="I57" t="s">
        <v>34</v>
      </c>
      <c r="J57">
        <v>8760</v>
      </c>
      <c r="K57" s="5">
        <v>0.40444272199999998</v>
      </c>
      <c r="L57">
        <v>0.85</v>
      </c>
      <c r="M57" s="3">
        <f>8512.22780274884/1000</f>
        <v>8.5122278027488392</v>
      </c>
      <c r="N57" s="3">
        <f>8512.227803/1000</f>
        <v>8.512227803</v>
      </c>
      <c r="O57" s="1">
        <v>0</v>
      </c>
      <c r="P57">
        <v>25</v>
      </c>
      <c r="Q57" s="1">
        <v>0.02</v>
      </c>
      <c r="R57">
        <v>0.9</v>
      </c>
      <c r="S57">
        <v>0.9</v>
      </c>
      <c r="T57" s="108">
        <f>Capacity!B62*1000</f>
        <v>7730.2171470000003</v>
      </c>
      <c r="U57" s="109">
        <f>Capacity!AR62*1000</f>
        <v>0</v>
      </c>
      <c r="V57" s="109">
        <f>Capacity!D62*1000</f>
        <v>370</v>
      </c>
      <c r="W57" s="109">
        <f>Capacity!X62*1000</f>
        <v>370</v>
      </c>
      <c r="X57" s="1">
        <f>CarriersTech_characteristics!$G$3</f>
        <v>37.681199999999997</v>
      </c>
      <c r="Y57" s="1">
        <f>CarriersTech_characteristics!$H$3*1000</f>
        <v>3025024.5490000001</v>
      </c>
      <c r="Z57">
        <v>2.9</v>
      </c>
      <c r="AA57">
        <v>0.105</v>
      </c>
      <c r="AC57" s="1">
        <f>1/K57/(1-Q57)</f>
        <v>2.5229979617863072</v>
      </c>
      <c r="AD57" s="123"/>
      <c r="AE57" s="129">
        <f>(Y57*Conversions!$D$3)/(X57*Conversions!$D$2)</f>
        <v>0.23958587284408495</v>
      </c>
      <c r="AF57">
        <v>0</v>
      </c>
      <c r="AG57">
        <f>Z57*Conversions!$D$4</f>
        <v>3.5928609862662602</v>
      </c>
      <c r="AH57" s="3">
        <f t="shared" si="7"/>
        <v>4.9193668164825795</v>
      </c>
      <c r="AI57">
        <f t="shared" ref="AI57:AI66" si="11">P57</f>
        <v>25</v>
      </c>
      <c r="AJ57">
        <f t="shared" si="8"/>
        <v>0.11442931981310331</v>
      </c>
      <c r="AK57" s="107">
        <f t="shared" si="9"/>
        <v>42.990440077048</v>
      </c>
      <c r="AL57" s="135">
        <f t="shared" si="4"/>
        <v>7730.2171470000003</v>
      </c>
    </row>
    <row r="58" spans="2:38" x14ac:dyDescent="0.25">
      <c r="B58" t="s">
        <v>16</v>
      </c>
      <c r="C58" t="s">
        <v>8</v>
      </c>
      <c r="D58" t="s">
        <v>299</v>
      </c>
      <c r="F58" t="s">
        <v>6</v>
      </c>
      <c r="G58" t="s">
        <v>179</v>
      </c>
      <c r="H58" t="s">
        <v>35</v>
      </c>
      <c r="I58" t="s">
        <v>34</v>
      </c>
      <c r="J58">
        <v>8760</v>
      </c>
      <c r="K58" s="5">
        <v>0.28070162799999998</v>
      </c>
      <c r="L58">
        <v>0.85</v>
      </c>
      <c r="M58" s="3">
        <f>6679.75064927145/1000</f>
        <v>6.6797506492714502</v>
      </c>
      <c r="N58" s="3">
        <f>6679.750649/1000</f>
        <v>6.6797506489999998</v>
      </c>
      <c r="O58" s="1">
        <v>0</v>
      </c>
      <c r="P58">
        <v>25</v>
      </c>
      <c r="Q58" s="1">
        <v>0.01</v>
      </c>
      <c r="R58">
        <v>1</v>
      </c>
      <c r="S58">
        <v>1</v>
      </c>
      <c r="T58" s="108">
        <f>Capacity!B63*1000</f>
        <v>0</v>
      </c>
      <c r="U58" s="109">
        <f>Capacity!AR63*1000</f>
        <v>0</v>
      </c>
      <c r="V58" s="109">
        <f>Capacity!D63*1000</f>
        <v>0</v>
      </c>
      <c r="W58" s="109">
        <f>Capacity!X63*1000</f>
        <v>0</v>
      </c>
      <c r="X58" s="1">
        <f>CarriersTech_characteristics!$G$3</f>
        <v>37.681199999999997</v>
      </c>
      <c r="Y58" s="1">
        <f>CarriersTech_characteristics!$H$3*1000</f>
        <v>3025024.5490000001</v>
      </c>
      <c r="Z58">
        <v>0.7</v>
      </c>
      <c r="AA58">
        <v>0.105</v>
      </c>
      <c r="AC58" s="1">
        <f>1/K58/(1-Q58)</f>
        <v>3.5984864687033813</v>
      </c>
      <c r="AD58" s="123"/>
      <c r="AE58" s="129">
        <f>(Y58*Conversions!$D$3)/(X58*Conversions!$D$2)</f>
        <v>0.23958587284408495</v>
      </c>
      <c r="AF58">
        <v>0</v>
      </c>
      <c r="AG58">
        <f>Z58*Conversions!$D$4</f>
        <v>0.86724230702978689</v>
      </c>
      <c r="AH58" s="3">
        <f t="shared" si="7"/>
        <v>5.8125083422416637</v>
      </c>
      <c r="AI58">
        <f t="shared" si="11"/>
        <v>25</v>
      </c>
      <c r="AJ58">
        <f t="shared" si="8"/>
        <v>0.11442931981310331</v>
      </c>
      <c r="AK58" s="107">
        <f t="shared" si="9"/>
        <v>50.795620840316076</v>
      </c>
      <c r="AL58" s="135">
        <f t="shared" si="4"/>
        <v>0</v>
      </c>
    </row>
    <row r="59" spans="2:38" x14ac:dyDescent="0.25">
      <c r="B59" t="s">
        <v>17</v>
      </c>
      <c r="C59" t="s">
        <v>8</v>
      </c>
      <c r="D59" t="s">
        <v>299</v>
      </c>
      <c r="E59" t="s">
        <v>396</v>
      </c>
      <c r="F59" t="s">
        <v>6</v>
      </c>
      <c r="G59" t="s">
        <v>179</v>
      </c>
      <c r="H59" t="s">
        <v>36</v>
      </c>
      <c r="I59" t="s">
        <v>34</v>
      </c>
      <c r="J59">
        <v>8760</v>
      </c>
      <c r="K59" s="5">
        <v>1</v>
      </c>
      <c r="L59">
        <v>0.70916666699999997</v>
      </c>
      <c r="M59" s="3">
        <f>20833.2103478327/1000</f>
        <v>20.833210347832701</v>
      </c>
      <c r="N59" s="3">
        <f>20833.21035/1000</f>
        <v>20.833210350000002</v>
      </c>
      <c r="O59" s="1">
        <v>0</v>
      </c>
      <c r="P59">
        <v>40</v>
      </c>
      <c r="Q59" s="1">
        <v>0.10780000000000001</v>
      </c>
      <c r="R59">
        <v>0.01</v>
      </c>
      <c r="S59">
        <v>0.01</v>
      </c>
      <c r="T59" s="108">
        <f>Capacity!B64*1000</f>
        <v>3327.6676479999996</v>
      </c>
      <c r="U59" s="109">
        <f>Capacity!AR64*1000</f>
        <v>0</v>
      </c>
      <c r="V59" s="109">
        <f>Capacity!D64*1000</f>
        <v>0</v>
      </c>
      <c r="W59" s="109">
        <f>Capacity!X64*1000</f>
        <v>0</v>
      </c>
      <c r="X59" s="125"/>
      <c r="Y59" s="125"/>
      <c r="Z59">
        <v>4.3</v>
      </c>
      <c r="AA59">
        <v>0.105</v>
      </c>
      <c r="AC59" s="1">
        <f>1/K59/(1-Q59)</f>
        <v>1.1208249271463797</v>
      </c>
      <c r="AD59" s="123"/>
      <c r="AE59" s="124"/>
      <c r="AF59">
        <v>0</v>
      </c>
      <c r="AG59">
        <f>Z59*Conversions!$D$4</f>
        <v>5.3273456003258337</v>
      </c>
      <c r="AH59" s="3">
        <f t="shared" si="7"/>
        <v>15.505864747506866</v>
      </c>
      <c r="AI59">
        <f t="shared" si="11"/>
        <v>40</v>
      </c>
      <c r="AJ59">
        <f t="shared" si="8"/>
        <v>0.10697140835497033</v>
      </c>
      <c r="AK59" s="107">
        <f t="shared" si="9"/>
        <v>144.95335703212137</v>
      </c>
      <c r="AL59" s="135">
        <f t="shared" si="4"/>
        <v>3327.6676479999996</v>
      </c>
    </row>
    <row r="60" spans="2:38" x14ac:dyDescent="0.25">
      <c r="B60" t="s">
        <v>22</v>
      </c>
      <c r="C60" t="s">
        <v>8</v>
      </c>
      <c r="D60" t="s">
        <v>299</v>
      </c>
      <c r="F60" t="s">
        <v>6</v>
      </c>
      <c r="G60" t="s">
        <v>179</v>
      </c>
      <c r="H60" t="s">
        <v>36</v>
      </c>
      <c r="I60" t="s">
        <v>34</v>
      </c>
      <c r="J60">
        <v>8760</v>
      </c>
      <c r="K60" s="5">
        <v>1</v>
      </c>
      <c r="L60">
        <v>0.70916666699999997</v>
      </c>
      <c r="M60" s="105">
        <f>N60</f>
        <v>35.289429389999995</v>
      </c>
      <c r="N60" s="3">
        <f>35289.42939/1000</f>
        <v>35.289429389999995</v>
      </c>
      <c r="O60" s="1">
        <v>0</v>
      </c>
      <c r="P60">
        <v>30</v>
      </c>
      <c r="Q60" s="1">
        <v>0.05</v>
      </c>
      <c r="R60">
        <v>0.01</v>
      </c>
      <c r="S60">
        <v>0.01</v>
      </c>
      <c r="T60" s="108">
        <f>Capacity!B65*1000</f>
        <v>0</v>
      </c>
      <c r="U60" s="109">
        <f>Capacity!AR65*1000</f>
        <v>0</v>
      </c>
      <c r="V60" s="109">
        <f>Capacity!D65*1000</f>
        <v>0</v>
      </c>
      <c r="W60" s="109">
        <f>Capacity!X65*1000</f>
        <v>0</v>
      </c>
      <c r="X60" s="125"/>
      <c r="Y60" s="125"/>
      <c r="Z60">
        <v>5</v>
      </c>
      <c r="AA60">
        <v>0.105</v>
      </c>
      <c r="AC60" s="1">
        <f>1/K60/(1-Q60)</f>
        <v>1.0526315789473684</v>
      </c>
      <c r="AD60" s="123"/>
      <c r="AE60" s="124"/>
      <c r="AF60">
        <v>0</v>
      </c>
      <c r="AG60">
        <f>Z60*Conversions!$D$4</f>
        <v>6.1945879073556211</v>
      </c>
      <c r="AH60" s="3">
        <f t="shared" si="7"/>
        <v>29.094841482644373</v>
      </c>
      <c r="AI60">
        <f t="shared" si="11"/>
        <v>30</v>
      </c>
      <c r="AJ60">
        <f t="shared" si="8"/>
        <v>0.11052848152960514</v>
      </c>
      <c r="AK60" s="107">
        <f t="shared" si="9"/>
        <v>263.2338839727143</v>
      </c>
      <c r="AL60" s="135">
        <f t="shared" si="4"/>
        <v>0</v>
      </c>
    </row>
    <row r="61" spans="2:38" x14ac:dyDescent="0.25">
      <c r="B61" t="s">
        <v>15</v>
      </c>
      <c r="C61" t="s">
        <v>8</v>
      </c>
      <c r="D61" t="s">
        <v>303</v>
      </c>
      <c r="E61" t="s">
        <v>397</v>
      </c>
      <c r="F61" t="s">
        <v>6</v>
      </c>
      <c r="G61" t="s">
        <v>179</v>
      </c>
      <c r="H61" t="s">
        <v>37</v>
      </c>
      <c r="I61" t="s">
        <v>34</v>
      </c>
      <c r="J61">
        <v>8760</v>
      </c>
      <c r="K61" s="5">
        <v>1</v>
      </c>
      <c r="L61">
        <v>1</v>
      </c>
      <c r="M61" s="3">
        <f>19631.8145207228/1000</f>
        <v>19.631814520722802</v>
      </c>
      <c r="N61" s="3">
        <f>19631.81452/1000</f>
        <v>19.631814519999999</v>
      </c>
      <c r="O61" s="1">
        <v>0</v>
      </c>
      <c r="P61">
        <v>40</v>
      </c>
      <c r="Q61" s="1">
        <v>6.0000000000000001E-3</v>
      </c>
      <c r="R61">
        <v>1</v>
      </c>
      <c r="S61">
        <v>1</v>
      </c>
      <c r="T61" s="108">
        <f>Capacity!B66*1000</f>
        <v>12168.961466000001</v>
      </c>
      <c r="U61" s="109">
        <f>Capacity!AR66*1000</f>
        <v>0</v>
      </c>
      <c r="V61" s="109">
        <f>Capacity!D66*1000</f>
        <v>0</v>
      </c>
      <c r="W61" s="109">
        <f>Capacity!X66*1000</f>
        <v>0</v>
      </c>
      <c r="X61" s="123"/>
      <c r="Y61" s="126"/>
      <c r="Z61">
        <v>4.4000000000000004</v>
      </c>
      <c r="AA61">
        <v>0.105</v>
      </c>
      <c r="AC61" s="122"/>
      <c r="AD61" s="1">
        <f>K61-Q61</f>
        <v>0.99399999999999999</v>
      </c>
      <c r="AE61" s="122"/>
      <c r="AF61">
        <v>0</v>
      </c>
      <c r="AG61">
        <f>Z61*Conversions!$D$4</f>
        <v>5.4512373584729472</v>
      </c>
      <c r="AH61" s="3">
        <f t="shared" si="7"/>
        <v>14.180577162249854</v>
      </c>
      <c r="AI61">
        <f t="shared" si="11"/>
        <v>40</v>
      </c>
      <c r="AJ61">
        <f t="shared" si="8"/>
        <v>0.10697140835497033</v>
      </c>
      <c r="AK61" s="107">
        <f t="shared" si="9"/>
        <v>132.56418121741001</v>
      </c>
      <c r="AL61" s="135">
        <f t="shared" si="4"/>
        <v>12168.961466000001</v>
      </c>
    </row>
    <row r="62" spans="2:38" x14ac:dyDescent="0.25">
      <c r="B62" t="s">
        <v>18</v>
      </c>
      <c r="C62" t="s">
        <v>8</v>
      </c>
      <c r="D62" t="s">
        <v>303</v>
      </c>
      <c r="E62" t="s">
        <v>399</v>
      </c>
      <c r="F62" t="s">
        <v>6</v>
      </c>
      <c r="G62" t="s">
        <v>179</v>
      </c>
      <c r="H62" t="s">
        <v>37</v>
      </c>
      <c r="I62" t="s">
        <v>34</v>
      </c>
      <c r="J62">
        <v>8760</v>
      </c>
      <c r="K62" s="5">
        <v>1</v>
      </c>
      <c r="L62">
        <v>1</v>
      </c>
      <c r="M62" s="3">
        <f>11825.3487554956/1000</f>
        <v>11.825348755495598</v>
      </c>
      <c r="N62" s="3">
        <f>11825.34876/1000</f>
        <v>11.825348760000001</v>
      </c>
      <c r="O62" s="1">
        <v>0</v>
      </c>
      <c r="P62">
        <v>35</v>
      </c>
      <c r="Q62" s="1">
        <v>0.01</v>
      </c>
      <c r="R62">
        <v>1</v>
      </c>
      <c r="S62">
        <v>1</v>
      </c>
      <c r="T62" s="108">
        <f>Capacity!B67*1000</f>
        <v>1924.4800000000002</v>
      </c>
      <c r="U62" s="109">
        <f>Capacity!AR67*1000</f>
        <v>0</v>
      </c>
      <c r="V62" s="109">
        <f>Capacity!D67*1000</f>
        <v>17</v>
      </c>
      <c r="W62" s="109">
        <f>Capacity!X67*1000</f>
        <v>17</v>
      </c>
      <c r="X62" s="123"/>
      <c r="Y62" s="126"/>
      <c r="Z62">
        <f>2.4</f>
        <v>2.4</v>
      </c>
      <c r="AA62">
        <v>8.3500000000000005E-2</v>
      </c>
      <c r="AC62" s="122"/>
      <c r="AD62" s="1">
        <f>K62-Q62</f>
        <v>0.99</v>
      </c>
      <c r="AE62" s="122"/>
      <c r="AF62">
        <v>0</v>
      </c>
      <c r="AG62">
        <f>Z62*Conversions!$D$4</f>
        <v>2.973402195530698</v>
      </c>
      <c r="AH62" s="3">
        <f t="shared" si="7"/>
        <v>8.851946559964901</v>
      </c>
      <c r="AI62">
        <f t="shared" si="11"/>
        <v>35</v>
      </c>
      <c r="AJ62">
        <f t="shared" si="8"/>
        <v>8.8866958914066166E-2</v>
      </c>
      <c r="AK62" s="107">
        <f t="shared" si="9"/>
        <v>99.608973550278478</v>
      </c>
      <c r="AL62" s="135">
        <f t="shared" si="4"/>
        <v>1924.4800000000002</v>
      </c>
    </row>
    <row r="63" spans="2:38" x14ac:dyDescent="0.25">
      <c r="B63" t="s">
        <v>7</v>
      </c>
      <c r="C63" t="s">
        <v>8</v>
      </c>
      <c r="D63" t="s">
        <v>299</v>
      </c>
      <c r="E63" t="s">
        <v>400</v>
      </c>
      <c r="F63" t="s">
        <v>6</v>
      </c>
      <c r="G63" t="s">
        <v>179</v>
      </c>
      <c r="H63" t="s">
        <v>38</v>
      </c>
      <c r="I63" t="s">
        <v>34</v>
      </c>
      <c r="J63">
        <v>8760</v>
      </c>
      <c r="K63" s="5">
        <v>0.238845897</v>
      </c>
      <c r="L63">
        <v>1</v>
      </c>
      <c r="M63" s="3">
        <f>7713.45723965334/1000</f>
        <v>7.7134572396533407</v>
      </c>
      <c r="N63" s="3">
        <f>7713.45724/1000</f>
        <v>7.7134572399999994</v>
      </c>
      <c r="O63" s="1">
        <v>0</v>
      </c>
      <c r="P63">
        <v>20</v>
      </c>
      <c r="Q63" s="1">
        <v>0.1</v>
      </c>
      <c r="R63">
        <v>0.06</v>
      </c>
      <c r="S63">
        <v>0.06</v>
      </c>
      <c r="T63" s="108">
        <f>Capacity!B68*1000</f>
        <v>3734.75</v>
      </c>
      <c r="U63" s="109">
        <f>Capacity!AR68*1000</f>
        <v>0</v>
      </c>
      <c r="V63" s="109">
        <f>Capacity!D68*1000</f>
        <v>160.00000000000003</v>
      </c>
      <c r="W63" s="109">
        <f>Capacity!X68*1000</f>
        <v>160.00000000000003</v>
      </c>
      <c r="X63" s="1">
        <f>CarriersTech_characteristics!$G$7</f>
        <v>13.648968</v>
      </c>
      <c r="Y63" s="1">
        <f>CarriersTech_characteristics!$H$5*1000</f>
        <v>1656436.6880000001</v>
      </c>
      <c r="Z63" s="104">
        <v>1</v>
      </c>
      <c r="AA63">
        <v>8.3500000000000005E-2</v>
      </c>
      <c r="AC63" s="1">
        <f>1/K63/(1-Q63)</f>
        <v>4.6519999927447406</v>
      </c>
      <c r="AD63" s="123"/>
      <c r="AE63" s="128">
        <f>Y63/(X63*Conversions!$D$2)</f>
        <v>0.43689545093040172</v>
      </c>
      <c r="AF63">
        <v>0</v>
      </c>
      <c r="AG63">
        <f>Z63*Conversions!$D$4</f>
        <v>1.2389175814711242</v>
      </c>
      <c r="AH63" s="3">
        <f t="shared" si="7"/>
        <v>6.4745396581822163</v>
      </c>
      <c r="AI63">
        <f t="shared" si="11"/>
        <v>20</v>
      </c>
      <c r="AJ63">
        <f t="shared" si="8"/>
        <v>0.10451929579519206</v>
      </c>
      <c r="AK63" s="107">
        <f t="shared" si="9"/>
        <v>61.945879073556178</v>
      </c>
      <c r="AL63" s="135">
        <f t="shared" si="4"/>
        <v>3734.75</v>
      </c>
    </row>
    <row r="64" spans="2:38" x14ac:dyDescent="0.25">
      <c r="B64" t="s">
        <v>19</v>
      </c>
      <c r="C64" t="s">
        <v>8</v>
      </c>
      <c r="D64" t="s">
        <v>311</v>
      </c>
      <c r="E64" t="s">
        <v>401</v>
      </c>
      <c r="F64" t="s">
        <v>6</v>
      </c>
      <c r="G64" t="s">
        <v>179</v>
      </c>
      <c r="H64" t="s">
        <v>39</v>
      </c>
      <c r="I64" t="s">
        <v>34</v>
      </c>
      <c r="J64">
        <v>8760</v>
      </c>
      <c r="K64" s="5">
        <v>1</v>
      </c>
      <c r="L64">
        <v>1</v>
      </c>
      <c r="M64" s="3">
        <f>5630.98419436319/1000</f>
        <v>5.6309841943631902</v>
      </c>
      <c r="N64" s="3">
        <f>5439.705856/1000</f>
        <v>5.4397058559999998</v>
      </c>
      <c r="O64" s="1">
        <v>0</v>
      </c>
      <c r="P64">
        <v>25</v>
      </c>
      <c r="Q64" s="1">
        <v>0.01</v>
      </c>
      <c r="R64">
        <v>1</v>
      </c>
      <c r="S64">
        <v>1</v>
      </c>
      <c r="T64" s="108">
        <f>Capacity!B69*1000</f>
        <v>24128.916825999997</v>
      </c>
      <c r="U64" s="109">
        <f>Capacity!AR69*1000</f>
        <v>0</v>
      </c>
      <c r="V64" s="109">
        <f>Capacity!D69*1000</f>
        <v>1622</v>
      </c>
      <c r="W64" s="109">
        <f>Capacity!X69*1000</f>
        <v>1622</v>
      </c>
      <c r="X64" s="123"/>
      <c r="Y64" s="127" t="s">
        <v>323</v>
      </c>
      <c r="Z64">
        <v>0.35</v>
      </c>
      <c r="AA64">
        <v>0.105</v>
      </c>
      <c r="AC64" s="123">
        <v>1</v>
      </c>
      <c r="AD64" s="123"/>
      <c r="AE64" s="122"/>
      <c r="AF64">
        <v>0</v>
      </c>
      <c r="AG64">
        <f>Z64*Conversions!$D$4</f>
        <v>0.43362115351489344</v>
      </c>
      <c r="AH64" s="3">
        <f t="shared" si="7"/>
        <v>5.1973630408482965</v>
      </c>
      <c r="AI64">
        <f t="shared" si="11"/>
        <v>25</v>
      </c>
      <c r="AJ64">
        <f t="shared" si="8"/>
        <v>0.11442931981310331</v>
      </c>
      <c r="AK64" s="107">
        <f t="shared" si="9"/>
        <v>45.419854363699066</v>
      </c>
      <c r="AL64" s="135">
        <f t="shared" si="4"/>
        <v>24128.916825999997</v>
      </c>
    </row>
    <row r="65" spans="1:38" x14ac:dyDescent="0.25">
      <c r="B65" t="s">
        <v>20</v>
      </c>
      <c r="C65" t="s">
        <v>8</v>
      </c>
      <c r="D65" t="s">
        <v>311</v>
      </c>
      <c r="E65" t="s">
        <v>402</v>
      </c>
      <c r="F65" t="s">
        <v>6</v>
      </c>
      <c r="G65" t="s">
        <v>179</v>
      </c>
      <c r="H65" t="s">
        <v>39</v>
      </c>
      <c r="I65" t="s">
        <v>34</v>
      </c>
      <c r="J65">
        <v>8760</v>
      </c>
      <c r="K65" s="5">
        <v>1</v>
      </c>
      <c r="L65">
        <v>1</v>
      </c>
      <c r="M65" s="3">
        <f>5542.18769541597/1000</f>
        <v>5.5421876954159695</v>
      </c>
      <c r="N65" s="3">
        <f>5362.133837/1000</f>
        <v>5.362133837</v>
      </c>
      <c r="O65" s="1">
        <v>0</v>
      </c>
      <c r="P65">
        <v>25</v>
      </c>
      <c r="Q65" s="1">
        <v>6.0000000000000001E-3</v>
      </c>
      <c r="R65">
        <v>1</v>
      </c>
      <c r="S65">
        <v>1</v>
      </c>
      <c r="T65" s="108">
        <f>Capacity!B70*1000</f>
        <v>2030.8231740000001</v>
      </c>
      <c r="U65" s="109">
        <f>Capacity!AR70*1000</f>
        <v>0</v>
      </c>
      <c r="V65" s="109">
        <f>Capacity!D70*1000</f>
        <v>618</v>
      </c>
      <c r="W65" s="109">
        <f>Capacity!X70*1000</f>
        <v>618</v>
      </c>
      <c r="X65" s="123"/>
      <c r="Y65" s="123"/>
      <c r="Z65">
        <v>0.51</v>
      </c>
      <c r="AA65">
        <v>0.104</v>
      </c>
      <c r="AC65" s="123">
        <v>1</v>
      </c>
      <c r="AD65" s="123"/>
      <c r="AE65" s="122"/>
      <c r="AF65">
        <v>0</v>
      </c>
      <c r="AG65">
        <f>Z65*Conversions!$D$4</f>
        <v>0.63184796655027331</v>
      </c>
      <c r="AH65" s="3">
        <f t="shared" si="7"/>
        <v>4.9103397288656963</v>
      </c>
      <c r="AI65">
        <f t="shared" si="11"/>
        <v>25</v>
      </c>
      <c r="AJ65">
        <f t="shared" si="8"/>
        <v>0.11357300490974749</v>
      </c>
      <c r="AK65" s="107">
        <f t="shared" si="9"/>
        <v>43.235095635338453</v>
      </c>
      <c r="AL65" s="135">
        <f t="shared" si="4"/>
        <v>2030.8231740000001</v>
      </c>
    </row>
    <row r="66" spans="1:38" x14ac:dyDescent="0.25">
      <c r="B66" t="s">
        <v>21</v>
      </c>
      <c r="C66" t="s">
        <v>8</v>
      </c>
      <c r="D66" t="s">
        <v>311</v>
      </c>
      <c r="E66" t="s">
        <v>403</v>
      </c>
      <c r="F66" t="s">
        <v>6</v>
      </c>
      <c r="G66" t="s">
        <v>179</v>
      </c>
      <c r="H66" t="s">
        <v>40</v>
      </c>
      <c r="I66" t="s">
        <v>34</v>
      </c>
      <c r="J66">
        <v>8760</v>
      </c>
      <c r="K66" s="5">
        <v>1</v>
      </c>
      <c r="L66">
        <v>1</v>
      </c>
      <c r="M66" s="3">
        <f>10659.4302732183/1000</f>
        <v>10.6594302732183</v>
      </c>
      <c r="N66" s="3">
        <f>10586.96446/1000</f>
        <v>10.586964459999999</v>
      </c>
      <c r="O66" s="1">
        <v>0</v>
      </c>
      <c r="P66">
        <v>25</v>
      </c>
      <c r="Q66" s="1">
        <v>5.0000000000000001E-3</v>
      </c>
      <c r="R66">
        <v>1</v>
      </c>
      <c r="S66">
        <v>1</v>
      </c>
      <c r="T66" s="108">
        <f>Capacity!B71*1000</f>
        <v>22161.370000000003</v>
      </c>
      <c r="U66" s="109">
        <f>Capacity!AR71*1000</f>
        <v>0</v>
      </c>
      <c r="V66" s="109">
        <f>Capacity!D71*1000</f>
        <v>1311.9999999999998</v>
      </c>
      <c r="W66" s="109">
        <f>Capacity!X71*1000</f>
        <v>1311.9999999999998</v>
      </c>
      <c r="X66" s="123"/>
      <c r="Y66" s="123"/>
      <c r="Z66">
        <v>0.68</v>
      </c>
      <c r="AA66">
        <v>0.105</v>
      </c>
      <c r="AC66" s="123">
        <v>1</v>
      </c>
      <c r="AD66" s="123"/>
      <c r="AE66" s="122"/>
      <c r="AF66">
        <v>0</v>
      </c>
      <c r="AG66">
        <f>Z66*Conversions!$D$4</f>
        <v>0.84246395540036456</v>
      </c>
      <c r="AH66" s="3">
        <f t="shared" si="7"/>
        <v>9.8169663178179363</v>
      </c>
      <c r="AI66">
        <f t="shared" si="11"/>
        <v>25</v>
      </c>
      <c r="AJ66">
        <f t="shared" si="8"/>
        <v>0.11442931981310331</v>
      </c>
      <c r="AK66" s="107">
        <f t="shared" si="9"/>
        <v>85.790655173446154</v>
      </c>
      <c r="AL66" s="135">
        <f t="shared" si="4"/>
        <v>22161.370000000003</v>
      </c>
    </row>
    <row r="67" spans="1:38" s="116" customFormat="1" x14ac:dyDescent="0.25">
      <c r="B67" s="116" t="s">
        <v>23</v>
      </c>
      <c r="C67" s="116" t="s">
        <v>8</v>
      </c>
      <c r="D67" s="116" t="s">
        <v>311</v>
      </c>
      <c r="F67" s="116" t="s">
        <v>6</v>
      </c>
      <c r="G67" s="116" t="s">
        <v>179</v>
      </c>
      <c r="H67" s="116" t="s">
        <v>40</v>
      </c>
      <c r="I67" s="116" t="s">
        <v>34</v>
      </c>
      <c r="J67" s="116">
        <v>8760</v>
      </c>
      <c r="K67" s="136">
        <v>1</v>
      </c>
      <c r="L67" s="116">
        <v>1</v>
      </c>
      <c r="M67" s="137">
        <f>N67</f>
        <v>34.540361669999996</v>
      </c>
      <c r="N67" s="138">
        <f>34540.36167/1000</f>
        <v>34.540361669999996</v>
      </c>
      <c r="O67" s="139">
        <v>0</v>
      </c>
      <c r="P67" s="116">
        <v>25</v>
      </c>
      <c r="Q67" s="139">
        <v>5.0000000000000001E-3</v>
      </c>
      <c r="R67" s="116">
        <v>1</v>
      </c>
      <c r="S67" s="116">
        <v>1</v>
      </c>
      <c r="T67" s="140">
        <f>Capacity!B72*1000</f>
        <v>0</v>
      </c>
      <c r="U67" s="141">
        <f>Capacity!AR72*1000</f>
        <v>0</v>
      </c>
      <c r="V67" s="141">
        <f>Capacity!D72*1000</f>
        <v>0</v>
      </c>
      <c r="W67" s="141">
        <f>Capacity!X72*1000</f>
        <v>0</v>
      </c>
      <c r="X67" s="142"/>
      <c r="Y67" s="142"/>
      <c r="Z67" s="116">
        <v>6.7</v>
      </c>
      <c r="AA67" s="116">
        <v>0.112</v>
      </c>
      <c r="AB67" s="143"/>
      <c r="AC67" s="142">
        <v>1</v>
      </c>
      <c r="AD67" s="142"/>
      <c r="AE67" s="144"/>
      <c r="AF67" s="116">
        <v>0</v>
      </c>
      <c r="AG67" s="116">
        <f>Z67*Conversions!$D$4</f>
        <v>8.3007477958565321</v>
      </c>
      <c r="AH67" s="138">
        <f t="shared" si="7"/>
        <v>26.239613874143465</v>
      </c>
      <c r="AI67" s="116">
        <f>P67</f>
        <v>25</v>
      </c>
      <c r="AJ67" s="116">
        <f t="shared" si="8"/>
        <v>0.12047788778229078</v>
      </c>
      <c r="AK67" s="145">
        <f t="shared" si="9"/>
        <v>217.79609816499843</v>
      </c>
      <c r="AL67" s="146">
        <f t="shared" si="4"/>
        <v>0</v>
      </c>
    </row>
    <row r="68" spans="1:38" x14ac:dyDescent="0.25">
      <c r="A68" s="110"/>
      <c r="B68" s="110" t="s">
        <v>13</v>
      </c>
      <c r="C68" s="110" t="s">
        <v>82</v>
      </c>
      <c r="D68" s="110" t="s">
        <v>299</v>
      </c>
      <c r="E68" s="110" t="s">
        <v>395</v>
      </c>
      <c r="F68" s="110" t="s">
        <v>6</v>
      </c>
      <c r="G68" s="110" t="s">
        <v>179</v>
      </c>
      <c r="H68" s="110" t="s">
        <v>33</v>
      </c>
      <c r="I68" s="110" t="s">
        <v>34</v>
      </c>
      <c r="J68" s="110">
        <v>8760</v>
      </c>
      <c r="K68" s="111">
        <v>0.38096819999999998</v>
      </c>
      <c r="L68" s="110"/>
      <c r="M68" s="112"/>
      <c r="N68" s="112">
        <f>13721.03129/1000</f>
        <v>13.721031290000001</v>
      </c>
      <c r="O68" s="113">
        <v>133.5230182</v>
      </c>
      <c r="P68" s="110">
        <v>40</v>
      </c>
      <c r="Q68" s="113">
        <v>6.6000000000000003E-2</v>
      </c>
      <c r="R68" s="110"/>
      <c r="S68" s="110"/>
      <c r="T68" s="117">
        <f>T8+T20+T32+T44+T56</f>
        <v>264372.46999899996</v>
      </c>
      <c r="U68" s="117">
        <f>U8+U20+U32+U44+U56</f>
        <v>220</v>
      </c>
      <c r="V68" s="117">
        <f t="shared" ref="V68:W68" si="12">V8+V20+V32+V44+V56</f>
        <v>0</v>
      </c>
      <c r="W68" s="117">
        <f t="shared" si="12"/>
        <v>0</v>
      </c>
      <c r="X68" s="1">
        <f>CarriersTech_characteristics!$G$2</f>
        <v>17.207187650000002</v>
      </c>
      <c r="Y68" s="1">
        <f>CarriersTech_characteristics!$H$28*1000</f>
        <v>1942097.6230000001</v>
      </c>
      <c r="Z68" s="110"/>
      <c r="AA68" s="110"/>
      <c r="AC68" s="1">
        <f>1/K68/(1-Q68)</f>
        <v>2.8103758044980376</v>
      </c>
      <c r="AD68" s="123"/>
      <c r="AE68" s="129">
        <f>Y68/(X68*Conversions!$D$2)</f>
        <v>0.40631575182871843</v>
      </c>
      <c r="AF68" s="114"/>
      <c r="AG68" s="110"/>
      <c r="AH68" s="110"/>
      <c r="AI68" s="110"/>
      <c r="AJ68" s="110"/>
      <c r="AK68" s="110"/>
      <c r="AL68" s="117">
        <f t="shared" ref="AL68:AL79" si="13">AL8+AL20+AL32+AL44+AL56</f>
        <v>264152.46999899996</v>
      </c>
    </row>
    <row r="69" spans="1:38" s="110" customFormat="1" x14ac:dyDescent="0.25">
      <c r="B69" s="110" t="s">
        <v>14</v>
      </c>
      <c r="C69" s="110" t="s">
        <v>82</v>
      </c>
      <c r="D69" s="110" t="s">
        <v>299</v>
      </c>
      <c r="E69" s="110" t="s">
        <v>398</v>
      </c>
      <c r="F69" s="110" t="s">
        <v>6</v>
      </c>
      <c r="G69" s="110" t="s">
        <v>179</v>
      </c>
      <c r="H69" s="110" t="s">
        <v>35</v>
      </c>
      <c r="I69" s="110" t="s">
        <v>34</v>
      </c>
      <c r="J69" s="110">
        <v>8760</v>
      </c>
      <c r="K69" s="111">
        <v>0.40444272199999998</v>
      </c>
      <c r="L69" s="110">
        <v>0.85</v>
      </c>
      <c r="M69" s="112">
        <f>8512.22780274884/1000</f>
        <v>8.5122278027488392</v>
      </c>
      <c r="N69" s="112">
        <f>8512.227803/1000</f>
        <v>8.512227803</v>
      </c>
      <c r="O69" s="113">
        <v>0</v>
      </c>
      <c r="P69" s="110">
        <v>25</v>
      </c>
      <c r="Q69" s="113">
        <v>0.02</v>
      </c>
      <c r="R69" s="110">
        <v>0.9</v>
      </c>
      <c r="S69" s="110">
        <v>0.9</v>
      </c>
      <c r="T69" s="117">
        <f t="shared" ref="T69:W79" si="14">T9+T21+T33+T45+T57</f>
        <v>31397.200000000001</v>
      </c>
      <c r="U69" s="117">
        <f t="shared" ref="U69:U79" si="15">U9+U21+U33+U45+U57</f>
        <v>0</v>
      </c>
      <c r="V69" s="117">
        <f t="shared" si="14"/>
        <v>370</v>
      </c>
      <c r="W69" s="117">
        <f t="shared" si="14"/>
        <v>370</v>
      </c>
      <c r="X69" s="1">
        <f>CarriersTech_characteristics!$G$3</f>
        <v>37.681199999999997</v>
      </c>
      <c r="Y69" s="1">
        <f>CarriersTech_characteristics!$H$3*1000</f>
        <v>3025024.5490000001</v>
      </c>
      <c r="AB69" s="134"/>
      <c r="AC69" s="1">
        <f>1/K69/(1-Q69)</f>
        <v>2.5229979617863072</v>
      </c>
      <c r="AD69" s="123"/>
      <c r="AE69" s="129">
        <f>(Y69*Conversions!$D$3)/(X69*Conversions!$D$2)</f>
        <v>0.23958587284408495</v>
      </c>
      <c r="AH69" s="112"/>
      <c r="AK69" s="115"/>
      <c r="AL69" s="117">
        <f t="shared" si="13"/>
        <v>31397.200000000001</v>
      </c>
    </row>
    <row r="70" spans="1:38" s="110" customFormat="1" x14ac:dyDescent="0.25">
      <c r="B70" s="110" t="s">
        <v>16</v>
      </c>
      <c r="C70" s="110" t="s">
        <v>82</v>
      </c>
      <c r="D70" s="110" t="s">
        <v>299</v>
      </c>
      <c r="F70" s="110" t="s">
        <v>6</v>
      </c>
      <c r="G70" s="110" t="s">
        <v>179</v>
      </c>
      <c r="H70" s="110" t="s">
        <v>35</v>
      </c>
      <c r="I70" s="110" t="s">
        <v>34</v>
      </c>
      <c r="J70" s="110">
        <v>8760</v>
      </c>
      <c r="K70" s="111">
        <v>0.28070162799999998</v>
      </c>
      <c r="L70" s="110">
        <v>0.85</v>
      </c>
      <c r="M70" s="112">
        <f>6679.75064927145/1000</f>
        <v>6.6797506492714502</v>
      </c>
      <c r="N70" s="112">
        <f>6679.750649/1000</f>
        <v>6.6797506489999998</v>
      </c>
      <c r="O70" s="113">
        <v>0</v>
      </c>
      <c r="P70" s="110">
        <v>25</v>
      </c>
      <c r="Q70" s="113">
        <v>0.01</v>
      </c>
      <c r="R70" s="110">
        <v>1</v>
      </c>
      <c r="S70" s="110">
        <v>1</v>
      </c>
      <c r="T70" s="117">
        <f t="shared" si="14"/>
        <v>0</v>
      </c>
      <c r="U70" s="117">
        <f t="shared" si="15"/>
        <v>0</v>
      </c>
      <c r="V70" s="117">
        <f t="shared" si="14"/>
        <v>0</v>
      </c>
      <c r="W70" s="117">
        <f t="shared" si="14"/>
        <v>0</v>
      </c>
      <c r="X70" s="1">
        <f>CarriersTech_characteristics!$G$3</f>
        <v>37.681199999999997</v>
      </c>
      <c r="Y70" s="1">
        <f>CarriersTech_characteristics!$H$3*1000</f>
        <v>3025024.5490000001</v>
      </c>
      <c r="AB70" s="134"/>
      <c r="AC70" s="1">
        <f>1/K70/(1-Q70)</f>
        <v>3.5984864687033813</v>
      </c>
      <c r="AD70" s="123"/>
      <c r="AE70" s="129">
        <f>(Y70*Conversions!$D$3)/(X70*Conversions!$D$2)</f>
        <v>0.23958587284408495</v>
      </c>
      <c r="AH70" s="112"/>
      <c r="AK70" s="115"/>
      <c r="AL70" s="117">
        <f t="shared" si="13"/>
        <v>0</v>
      </c>
    </row>
    <row r="71" spans="1:38" s="110" customFormat="1" x14ac:dyDescent="0.25">
      <c r="B71" s="110" t="s">
        <v>17</v>
      </c>
      <c r="C71" s="110" t="s">
        <v>82</v>
      </c>
      <c r="D71" s="110" t="s">
        <v>299</v>
      </c>
      <c r="E71" s="110" t="s">
        <v>396</v>
      </c>
      <c r="F71" s="110" t="s">
        <v>6</v>
      </c>
      <c r="G71" s="110" t="s">
        <v>179</v>
      </c>
      <c r="H71" s="110" t="s">
        <v>36</v>
      </c>
      <c r="I71" s="110" t="s">
        <v>34</v>
      </c>
      <c r="J71" s="110">
        <v>8760</v>
      </c>
      <c r="K71" s="111">
        <v>1</v>
      </c>
      <c r="L71" s="110">
        <v>0.70916666699999997</v>
      </c>
      <c r="M71" s="112">
        <f>20833.2103478327/1000</f>
        <v>20.833210347832701</v>
      </c>
      <c r="N71" s="112">
        <f>20833.21035/1000</f>
        <v>20.833210350000002</v>
      </c>
      <c r="O71" s="113">
        <v>0</v>
      </c>
      <c r="P71" s="110">
        <v>40</v>
      </c>
      <c r="Q71" s="113">
        <v>0.10780000000000001</v>
      </c>
      <c r="R71" s="110">
        <v>0.01</v>
      </c>
      <c r="S71" s="110">
        <v>0.01</v>
      </c>
      <c r="T71" s="117">
        <f t="shared" si="14"/>
        <v>8180.0099999999993</v>
      </c>
      <c r="U71" s="117">
        <f t="shared" si="15"/>
        <v>0</v>
      </c>
      <c r="V71" s="117">
        <f t="shared" si="14"/>
        <v>1400</v>
      </c>
      <c r="W71" s="117">
        <f t="shared" si="14"/>
        <v>1400</v>
      </c>
      <c r="X71" s="125"/>
      <c r="Y71" s="125"/>
      <c r="AB71" s="134"/>
      <c r="AC71" s="1">
        <f>1/K71/(1-Q71)</f>
        <v>1.1208249271463797</v>
      </c>
      <c r="AD71" s="123"/>
      <c r="AE71" s="124"/>
      <c r="AH71" s="112"/>
      <c r="AK71" s="115"/>
      <c r="AL71" s="117">
        <f t="shared" si="13"/>
        <v>8180.0099999999993</v>
      </c>
    </row>
    <row r="72" spans="1:38" s="110" customFormat="1" x14ac:dyDescent="0.25">
      <c r="B72" s="110" t="s">
        <v>22</v>
      </c>
      <c r="C72" s="110" t="s">
        <v>82</v>
      </c>
      <c r="D72" s="110" t="s">
        <v>299</v>
      </c>
      <c r="F72" s="110" t="s">
        <v>6</v>
      </c>
      <c r="G72" s="110" t="s">
        <v>179</v>
      </c>
      <c r="H72" s="110" t="s">
        <v>36</v>
      </c>
      <c r="I72" s="110" t="s">
        <v>34</v>
      </c>
      <c r="J72" s="110">
        <v>8760</v>
      </c>
      <c r="K72" s="111">
        <v>1</v>
      </c>
      <c r="L72" s="110">
        <v>0.70916666699999997</v>
      </c>
      <c r="M72" s="112"/>
      <c r="N72" s="112">
        <f>35289.42939/1000</f>
        <v>35.289429389999995</v>
      </c>
      <c r="O72" s="113">
        <v>0</v>
      </c>
      <c r="P72" s="110">
        <v>30</v>
      </c>
      <c r="Q72" s="113">
        <v>0.05</v>
      </c>
      <c r="R72" s="110">
        <v>0.01</v>
      </c>
      <c r="S72" s="110">
        <v>0.01</v>
      </c>
      <c r="T72" s="117">
        <f t="shared" si="14"/>
        <v>0</v>
      </c>
      <c r="U72" s="117">
        <f t="shared" si="15"/>
        <v>0</v>
      </c>
      <c r="V72" s="117">
        <f t="shared" si="14"/>
        <v>0</v>
      </c>
      <c r="W72" s="117">
        <f t="shared" si="14"/>
        <v>0</v>
      </c>
      <c r="X72" s="125"/>
      <c r="Y72" s="125"/>
      <c r="AB72" s="134"/>
      <c r="AC72" s="1">
        <f>1/K72/(1-Q72)</f>
        <v>1.0526315789473684</v>
      </c>
      <c r="AD72" s="123"/>
      <c r="AE72" s="124"/>
      <c r="AH72" s="112"/>
      <c r="AK72" s="115"/>
      <c r="AL72" s="117">
        <f t="shared" si="13"/>
        <v>0</v>
      </c>
    </row>
    <row r="73" spans="1:38" s="110" customFormat="1" x14ac:dyDescent="0.25">
      <c r="B73" s="110" t="s">
        <v>15</v>
      </c>
      <c r="C73" s="110" t="s">
        <v>82</v>
      </c>
      <c r="D73" s="110" t="s">
        <v>303</v>
      </c>
      <c r="E73" s="110" t="s">
        <v>397</v>
      </c>
      <c r="F73" s="110" t="s">
        <v>6</v>
      </c>
      <c r="G73" s="110" t="s">
        <v>179</v>
      </c>
      <c r="H73" s="110" t="s">
        <v>37</v>
      </c>
      <c r="I73" s="110" t="s">
        <v>34</v>
      </c>
      <c r="J73" s="110">
        <v>8760</v>
      </c>
      <c r="K73" s="111">
        <v>1</v>
      </c>
      <c r="L73" s="110">
        <v>1</v>
      </c>
      <c r="M73" s="112">
        <f>19631.8145207228/1000</f>
        <v>19.631814520722802</v>
      </c>
      <c r="N73" s="112">
        <f>19631.81452/1000</f>
        <v>19.631814519999999</v>
      </c>
      <c r="O73" s="113">
        <v>0</v>
      </c>
      <c r="P73" s="110">
        <v>40</v>
      </c>
      <c r="Q73" s="113">
        <v>6.0000000000000001E-3</v>
      </c>
      <c r="R73" s="110">
        <v>1</v>
      </c>
      <c r="S73" s="110">
        <v>1</v>
      </c>
      <c r="T73" s="117">
        <f t="shared" si="14"/>
        <v>46491.18</v>
      </c>
      <c r="U73" s="117">
        <f t="shared" si="15"/>
        <v>0</v>
      </c>
      <c r="V73" s="117">
        <f t="shared" si="14"/>
        <v>0</v>
      </c>
      <c r="W73" s="117">
        <f t="shared" si="14"/>
        <v>0</v>
      </c>
      <c r="X73" s="123"/>
      <c r="Y73" s="126"/>
      <c r="AB73" s="134"/>
      <c r="AC73" s="122"/>
      <c r="AD73" s="1">
        <f>K73-Q73</f>
        <v>0.99399999999999999</v>
      </c>
      <c r="AE73" s="122"/>
      <c r="AH73" s="112"/>
      <c r="AK73" s="115"/>
      <c r="AL73" s="117">
        <f t="shared" si="13"/>
        <v>46491.18</v>
      </c>
    </row>
    <row r="74" spans="1:38" s="110" customFormat="1" x14ac:dyDescent="0.25">
      <c r="B74" s="110" t="s">
        <v>18</v>
      </c>
      <c r="C74" s="110" t="s">
        <v>82</v>
      </c>
      <c r="D74" s="110" t="s">
        <v>303</v>
      </c>
      <c r="E74" s="110" t="s">
        <v>399</v>
      </c>
      <c r="F74" s="110" t="s">
        <v>6</v>
      </c>
      <c r="G74" s="110" t="s">
        <v>179</v>
      </c>
      <c r="H74" s="110" t="s">
        <v>37</v>
      </c>
      <c r="I74" s="110" t="s">
        <v>34</v>
      </c>
      <c r="J74" s="110">
        <v>8760</v>
      </c>
      <c r="K74" s="111">
        <v>1</v>
      </c>
      <c r="L74" s="110">
        <v>1</v>
      </c>
      <c r="M74" s="112">
        <f>11825.3487554956/1000</f>
        <v>11.825348755495598</v>
      </c>
      <c r="N74" s="112">
        <f>11825.34876/1000</f>
        <v>11.825348760000001</v>
      </c>
      <c r="O74" s="113">
        <v>0</v>
      </c>
      <c r="P74" s="110">
        <v>35</v>
      </c>
      <c r="Q74" s="113">
        <v>0.01</v>
      </c>
      <c r="R74" s="110">
        <v>1</v>
      </c>
      <c r="S74" s="110">
        <v>1</v>
      </c>
      <c r="T74" s="117">
        <f t="shared" si="14"/>
        <v>4939.05</v>
      </c>
      <c r="U74" s="117">
        <f t="shared" si="15"/>
        <v>0</v>
      </c>
      <c r="V74" s="117">
        <f t="shared" si="14"/>
        <v>72</v>
      </c>
      <c r="W74" s="117">
        <f t="shared" si="14"/>
        <v>72</v>
      </c>
      <c r="X74" s="123"/>
      <c r="Y74" s="126"/>
      <c r="AB74" s="134"/>
      <c r="AC74" s="122"/>
      <c r="AD74" s="1">
        <f>K74-Q74</f>
        <v>0.99</v>
      </c>
      <c r="AE74" s="122"/>
      <c r="AH74" s="112"/>
      <c r="AK74" s="115"/>
      <c r="AL74" s="117">
        <f t="shared" si="13"/>
        <v>4939.05</v>
      </c>
    </row>
    <row r="75" spans="1:38" s="110" customFormat="1" x14ac:dyDescent="0.25">
      <c r="B75" s="110" t="s">
        <v>7</v>
      </c>
      <c r="C75" s="110" t="s">
        <v>82</v>
      </c>
      <c r="D75" s="110" t="s">
        <v>299</v>
      </c>
      <c r="E75" s="110" t="s">
        <v>400</v>
      </c>
      <c r="F75" s="110" t="s">
        <v>6</v>
      </c>
      <c r="G75" s="110" t="s">
        <v>179</v>
      </c>
      <c r="H75" s="110" t="s">
        <v>38</v>
      </c>
      <c r="I75" s="110" t="s">
        <v>34</v>
      </c>
      <c r="J75" s="110">
        <v>8760</v>
      </c>
      <c r="K75" s="111">
        <v>0.238845897</v>
      </c>
      <c r="L75" s="110">
        <v>1</v>
      </c>
      <c r="M75" s="112">
        <f>7713.45723965334/1000</f>
        <v>7.7134572396533407</v>
      </c>
      <c r="N75" s="112">
        <f>7713.45724/1000</f>
        <v>7.7134572399999994</v>
      </c>
      <c r="O75" s="113">
        <v>0</v>
      </c>
      <c r="P75" s="110">
        <v>20</v>
      </c>
      <c r="Q75" s="113">
        <v>0.1</v>
      </c>
      <c r="R75" s="110">
        <v>0.06</v>
      </c>
      <c r="S75" s="110">
        <v>0.06</v>
      </c>
      <c r="T75" s="117">
        <f t="shared" si="14"/>
        <v>10830.04</v>
      </c>
      <c r="U75" s="117">
        <f t="shared" si="15"/>
        <v>0</v>
      </c>
      <c r="V75" s="117">
        <f t="shared" si="14"/>
        <v>463</v>
      </c>
      <c r="W75" s="117">
        <f t="shared" si="14"/>
        <v>463</v>
      </c>
      <c r="X75" s="1">
        <f>CarriersTech_characteristics!$G$7</f>
        <v>13.648968</v>
      </c>
      <c r="Y75" s="1">
        <f>CarriersTech_characteristics!$H$5*1000</f>
        <v>1656436.6880000001</v>
      </c>
      <c r="Z75" s="118"/>
      <c r="AB75" s="134"/>
      <c r="AC75" s="1">
        <f>1/K75/(1-Q75)</f>
        <v>4.6519999927447406</v>
      </c>
      <c r="AD75" s="123"/>
      <c r="AE75" s="128">
        <f>Y75/(X75*Conversions!$D$2)</f>
        <v>0.43689545093040172</v>
      </c>
      <c r="AH75" s="112"/>
      <c r="AK75" s="115"/>
      <c r="AL75" s="117">
        <f t="shared" si="13"/>
        <v>10830.04</v>
      </c>
    </row>
    <row r="76" spans="1:38" s="110" customFormat="1" x14ac:dyDescent="0.25">
      <c r="B76" s="110" t="s">
        <v>19</v>
      </c>
      <c r="C76" s="110" t="s">
        <v>82</v>
      </c>
      <c r="D76" s="110" t="s">
        <v>311</v>
      </c>
      <c r="E76" s="110" t="s">
        <v>401</v>
      </c>
      <c r="F76" s="110" t="s">
        <v>6</v>
      </c>
      <c r="G76" s="110" t="s">
        <v>179</v>
      </c>
      <c r="H76" s="110" t="s">
        <v>39</v>
      </c>
      <c r="I76" s="110" t="s">
        <v>34</v>
      </c>
      <c r="J76" s="110">
        <v>8760</v>
      </c>
      <c r="K76" s="111">
        <v>1</v>
      </c>
      <c r="L76" s="110">
        <v>1</v>
      </c>
      <c r="M76" s="112">
        <f>5630.98419436319/1000</f>
        <v>5.6309841943631902</v>
      </c>
      <c r="N76" s="112">
        <f>5439.705856/1000</f>
        <v>5.4397058559999998</v>
      </c>
      <c r="O76" s="113">
        <v>0</v>
      </c>
      <c r="P76" s="110">
        <v>25</v>
      </c>
      <c r="Q76" s="113">
        <v>0.01</v>
      </c>
      <c r="R76" s="110">
        <v>1</v>
      </c>
      <c r="S76" s="110">
        <v>1</v>
      </c>
      <c r="T76" s="117">
        <f t="shared" si="14"/>
        <v>58366.792573999992</v>
      </c>
      <c r="U76" s="117">
        <f t="shared" si="15"/>
        <v>0</v>
      </c>
      <c r="V76" s="117">
        <f t="shared" si="14"/>
        <v>12020</v>
      </c>
      <c r="W76" s="117">
        <f t="shared" si="14"/>
        <v>12020</v>
      </c>
      <c r="X76" s="123"/>
      <c r="Y76" s="127" t="s">
        <v>323</v>
      </c>
      <c r="AB76" s="134"/>
      <c r="AC76" s="123">
        <v>1</v>
      </c>
      <c r="AD76" s="123"/>
      <c r="AE76" s="122"/>
      <c r="AH76" s="112"/>
      <c r="AK76" s="115"/>
      <c r="AL76" s="117">
        <f t="shared" si="13"/>
        <v>58366.792573999992</v>
      </c>
    </row>
    <row r="77" spans="1:38" s="110" customFormat="1" x14ac:dyDescent="0.25">
      <c r="B77" s="110" t="s">
        <v>20</v>
      </c>
      <c r="C77" s="110" t="s">
        <v>82</v>
      </c>
      <c r="D77" s="110" t="s">
        <v>311</v>
      </c>
      <c r="E77" s="110" t="s">
        <v>402</v>
      </c>
      <c r="F77" s="110" t="s">
        <v>6</v>
      </c>
      <c r="G77" s="110" t="s">
        <v>179</v>
      </c>
      <c r="H77" s="110" t="s">
        <v>39</v>
      </c>
      <c r="I77" s="110" t="s">
        <v>34</v>
      </c>
      <c r="J77" s="110">
        <v>8760</v>
      </c>
      <c r="K77" s="111">
        <v>1</v>
      </c>
      <c r="L77" s="110">
        <v>1</v>
      </c>
      <c r="M77" s="112">
        <f>5542.18769541597/1000</f>
        <v>5.5421876954159695</v>
      </c>
      <c r="N77" s="112">
        <f>5362.133837/1000</f>
        <v>5.362133837</v>
      </c>
      <c r="O77" s="113">
        <v>0</v>
      </c>
      <c r="P77" s="110">
        <v>25</v>
      </c>
      <c r="Q77" s="113">
        <v>6.0000000000000001E-3</v>
      </c>
      <c r="R77" s="110">
        <v>1</v>
      </c>
      <c r="S77" s="110">
        <v>1</v>
      </c>
      <c r="T77" s="117">
        <f t="shared" si="14"/>
        <v>9468.2674249999982</v>
      </c>
      <c r="U77" s="117">
        <f t="shared" si="15"/>
        <v>0</v>
      </c>
      <c r="V77" s="117">
        <f t="shared" si="14"/>
        <v>3234</v>
      </c>
      <c r="W77" s="117">
        <f t="shared" si="14"/>
        <v>3234</v>
      </c>
      <c r="X77" s="123"/>
      <c r="Y77" s="123"/>
      <c r="AB77" s="134"/>
      <c r="AC77" s="123">
        <v>1</v>
      </c>
      <c r="AD77" s="123"/>
      <c r="AE77" s="122"/>
      <c r="AH77" s="112"/>
      <c r="AK77" s="115"/>
      <c r="AL77" s="117">
        <f t="shared" si="13"/>
        <v>9468.2674249999982</v>
      </c>
    </row>
    <row r="78" spans="1:38" s="110" customFormat="1" x14ac:dyDescent="0.25">
      <c r="B78" s="110" t="s">
        <v>21</v>
      </c>
      <c r="C78" s="110" t="s">
        <v>82</v>
      </c>
      <c r="D78" s="110" t="s">
        <v>311</v>
      </c>
      <c r="E78" s="110" t="s">
        <v>403</v>
      </c>
      <c r="F78" s="110" t="s">
        <v>6</v>
      </c>
      <c r="G78" s="110" t="s">
        <v>179</v>
      </c>
      <c r="H78" s="110" t="s">
        <v>40</v>
      </c>
      <c r="I78" s="110" t="s">
        <v>34</v>
      </c>
      <c r="J78" s="110">
        <v>8760</v>
      </c>
      <c r="K78" s="111">
        <v>1</v>
      </c>
      <c r="L78" s="110">
        <v>1</v>
      </c>
      <c r="M78" s="112">
        <f>10659.4302732183/1000</f>
        <v>10.6594302732183</v>
      </c>
      <c r="N78" s="112">
        <f>10586.96446/1000</f>
        <v>10.586964459999999</v>
      </c>
      <c r="O78" s="113">
        <v>0</v>
      </c>
      <c r="P78" s="110">
        <v>25</v>
      </c>
      <c r="Q78" s="113">
        <v>5.0000000000000001E-3</v>
      </c>
      <c r="R78" s="110">
        <v>1</v>
      </c>
      <c r="S78" s="110">
        <v>1</v>
      </c>
      <c r="T78" s="117">
        <f t="shared" si="14"/>
        <v>46169.83</v>
      </c>
      <c r="U78" s="117">
        <f t="shared" si="15"/>
        <v>0</v>
      </c>
      <c r="V78" s="117">
        <f t="shared" si="14"/>
        <v>3253</v>
      </c>
      <c r="W78" s="117">
        <f t="shared" si="14"/>
        <v>3253</v>
      </c>
      <c r="X78" s="123"/>
      <c r="Y78" s="123"/>
      <c r="AB78" s="134"/>
      <c r="AC78" s="123">
        <v>1</v>
      </c>
      <c r="AD78" s="123"/>
      <c r="AE78" s="122"/>
      <c r="AH78" s="112"/>
      <c r="AK78" s="115"/>
      <c r="AL78" s="117">
        <f t="shared" si="13"/>
        <v>46169.83</v>
      </c>
    </row>
    <row r="79" spans="1:38" s="110" customFormat="1" x14ac:dyDescent="0.25">
      <c r="B79" s="110" t="s">
        <v>23</v>
      </c>
      <c r="C79" s="110" t="s">
        <v>82</v>
      </c>
      <c r="D79" s="110" t="s">
        <v>311</v>
      </c>
      <c r="F79" s="110" t="s">
        <v>6</v>
      </c>
      <c r="G79" s="110" t="s">
        <v>179</v>
      </c>
      <c r="H79" s="110" t="s">
        <v>40</v>
      </c>
      <c r="I79" s="110" t="s">
        <v>34</v>
      </c>
      <c r="J79" s="110">
        <v>8760</v>
      </c>
      <c r="K79" s="111">
        <v>1</v>
      </c>
      <c r="L79" s="110">
        <v>1</v>
      </c>
      <c r="M79" s="112"/>
      <c r="N79" s="112">
        <f>34540.36167/1000</f>
        <v>34.540361669999996</v>
      </c>
      <c r="O79" s="113">
        <v>0</v>
      </c>
      <c r="P79" s="110">
        <v>25</v>
      </c>
      <c r="Q79" s="113">
        <v>5.0000000000000001E-3</v>
      </c>
      <c r="R79" s="110">
        <v>1</v>
      </c>
      <c r="S79" s="110">
        <v>1</v>
      </c>
      <c r="T79" s="117">
        <f t="shared" si="14"/>
        <v>0</v>
      </c>
      <c r="U79" s="117">
        <f t="shared" si="15"/>
        <v>0</v>
      </c>
      <c r="V79" s="117">
        <f t="shared" si="14"/>
        <v>0</v>
      </c>
      <c r="W79" s="117">
        <f t="shared" si="14"/>
        <v>0</v>
      </c>
      <c r="X79" s="123"/>
      <c r="Y79" s="123"/>
      <c r="AB79" s="134"/>
      <c r="AC79" s="123">
        <v>1</v>
      </c>
      <c r="AD79" s="123"/>
      <c r="AE79" s="122"/>
      <c r="AL79" s="117">
        <f t="shared" si="13"/>
        <v>0</v>
      </c>
    </row>
    <row r="86" spans="8:8" x14ac:dyDescent="0.25">
      <c r="H86" s="1"/>
    </row>
    <row r="87" spans="8:8" x14ac:dyDescent="0.25">
      <c r="H87" s="1"/>
    </row>
    <row r="88" spans="8:8" x14ac:dyDescent="0.25">
      <c r="H88" s="1"/>
    </row>
    <row r="89" spans="8:8" x14ac:dyDescent="0.25">
      <c r="H89" s="1"/>
    </row>
    <row r="90" spans="8:8" x14ac:dyDescent="0.25">
      <c r="H90" s="1"/>
    </row>
    <row r="91" spans="8:8" x14ac:dyDescent="0.25">
      <c r="H91" s="1"/>
    </row>
    <row r="92" spans="8:8" x14ac:dyDescent="0.25">
      <c r="H92" s="1"/>
    </row>
    <row r="93" spans="8:8" x14ac:dyDescent="0.25">
      <c r="H93" s="1"/>
    </row>
    <row r="94" spans="8:8" x14ac:dyDescent="0.25">
      <c r="H94" s="1"/>
    </row>
    <row r="95" spans="8:8" x14ac:dyDescent="0.25">
      <c r="H95" s="1"/>
    </row>
    <row r="96" spans="8:8" x14ac:dyDescent="0.25">
      <c r="H96" s="1"/>
    </row>
    <row r="97" spans="8:8" x14ac:dyDescent="0.25">
      <c r="H97" s="1"/>
    </row>
    <row r="98" spans="8:8" x14ac:dyDescent="0.25">
      <c r="H98" s="1"/>
    </row>
    <row r="99" spans="8:8" x14ac:dyDescent="0.25">
      <c r="H99" s="1"/>
    </row>
    <row r="100" spans="8:8" x14ac:dyDescent="0.25">
      <c r="H100" s="1"/>
    </row>
    <row r="101" spans="8:8" x14ac:dyDescent="0.25">
      <c r="H101" s="1"/>
    </row>
    <row r="102" spans="8:8" x14ac:dyDescent="0.25">
      <c r="H102" s="1"/>
    </row>
    <row r="103" spans="8:8" x14ac:dyDescent="0.25">
      <c r="H103" s="1"/>
    </row>
    <row r="104" spans="8:8" x14ac:dyDescent="0.25">
      <c r="H104" s="1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0B4FB-5F84-411F-BF7D-598478696040}">
  <dimension ref="A1:AC56"/>
  <sheetViews>
    <sheetView workbookViewId="0">
      <pane xSplit="3" ySplit="7" topLeftCell="I8" activePane="bottomRight" state="frozen"/>
      <selection pane="topRight" activeCell="C1" sqref="C1"/>
      <selection pane="bottomLeft" activeCell="A7" sqref="A7"/>
      <selection pane="bottomRight" activeCell="R21" sqref="R21"/>
    </sheetView>
  </sheetViews>
  <sheetFormatPr defaultRowHeight="15" x14ac:dyDescent="0.25"/>
  <cols>
    <col min="2" max="2" width="16.5703125" bestFit="1" customWidth="1"/>
    <col min="3" max="3" width="6" customWidth="1"/>
    <col min="4" max="4" width="13.85546875" bestFit="1" customWidth="1"/>
    <col min="5" max="5" width="14.85546875" bestFit="1" customWidth="1"/>
    <col min="6" max="6" width="16" bestFit="1" customWidth="1"/>
    <col min="7" max="7" width="12.140625" bestFit="1" customWidth="1"/>
    <col min="8" max="8" width="13.42578125" customWidth="1"/>
    <col min="9" max="9" width="11.42578125" bestFit="1" customWidth="1"/>
    <col min="10" max="10" width="11.42578125" customWidth="1"/>
    <col min="11" max="11" width="8.28515625" bestFit="1" customWidth="1"/>
    <col min="12" max="12" width="8.140625" customWidth="1"/>
    <col min="13" max="13" width="11.42578125" customWidth="1"/>
    <col min="14" max="14" width="13.85546875" customWidth="1"/>
    <col min="15" max="15" width="9.28515625" bestFit="1" customWidth="1"/>
    <col min="16" max="16" width="8.5703125" bestFit="1" customWidth="1"/>
    <col min="17" max="17" width="8.5703125" customWidth="1"/>
    <col min="18" max="18" width="18.140625" customWidth="1"/>
    <col min="19" max="19" width="14.7109375" customWidth="1"/>
    <col min="20" max="20" width="12" customWidth="1"/>
    <col min="21" max="21" width="13.42578125" customWidth="1"/>
    <col min="24" max="24" width="10.140625" style="134" customWidth="1"/>
    <col min="25" max="25" width="12.85546875" style="161" customWidth="1"/>
    <col min="26" max="26" width="12.140625" style="161" customWidth="1"/>
    <col min="27" max="27" width="11.5703125" customWidth="1"/>
    <col min="29" max="29" width="9.5703125" bestFit="1" customWidth="1"/>
  </cols>
  <sheetData>
    <row r="1" spans="1:29" s="7" customFormat="1" x14ac:dyDescent="0.25">
      <c r="A1" s="7" t="s">
        <v>204</v>
      </c>
      <c r="G1" s="154" t="s">
        <v>237</v>
      </c>
      <c r="H1" s="7" t="s">
        <v>404</v>
      </c>
      <c r="I1" s="7" t="s">
        <v>404</v>
      </c>
      <c r="J1" s="7" t="s">
        <v>404</v>
      </c>
      <c r="K1" s="7" t="s">
        <v>404</v>
      </c>
      <c r="L1" s="7" t="s">
        <v>404</v>
      </c>
      <c r="M1" s="7" t="s">
        <v>406</v>
      </c>
      <c r="N1" s="7" t="s">
        <v>406</v>
      </c>
      <c r="O1" s="7" t="s">
        <v>408</v>
      </c>
      <c r="P1" s="7" t="s">
        <v>413</v>
      </c>
      <c r="Q1" s="7" t="s">
        <v>413</v>
      </c>
      <c r="R1" s="7" t="s">
        <v>408</v>
      </c>
      <c r="S1" s="7" t="s">
        <v>414</v>
      </c>
      <c r="T1" s="7" t="s">
        <v>416</v>
      </c>
      <c r="U1" s="7" t="s">
        <v>416</v>
      </c>
      <c r="V1" s="7" t="s">
        <v>415</v>
      </c>
      <c r="W1" s="7" t="s">
        <v>415</v>
      </c>
      <c r="X1" s="130"/>
      <c r="Y1" s="156"/>
      <c r="Z1" s="156"/>
    </row>
    <row r="2" spans="1:29" s="119" customFormat="1" x14ac:dyDescent="0.25">
      <c r="A2" s="119" t="s">
        <v>282</v>
      </c>
      <c r="B2" s="119" t="s">
        <v>0</v>
      </c>
      <c r="C2" s="119" t="s">
        <v>2</v>
      </c>
      <c r="F2" s="119" t="s">
        <v>1</v>
      </c>
      <c r="G2" s="119" t="s">
        <v>29</v>
      </c>
      <c r="H2" s="119" t="s">
        <v>107</v>
      </c>
      <c r="I2" s="119" t="s">
        <v>108</v>
      </c>
      <c r="J2" s="119" t="s">
        <v>109</v>
      </c>
      <c r="K2" s="119" t="s">
        <v>110</v>
      </c>
      <c r="L2" s="119" t="s">
        <v>111</v>
      </c>
      <c r="M2" s="119" t="s">
        <v>118</v>
      </c>
      <c r="N2" s="119" t="s">
        <v>119</v>
      </c>
      <c r="O2" s="119" t="s">
        <v>120</v>
      </c>
      <c r="P2" s="119" t="s">
        <v>124</v>
      </c>
      <c r="Q2" s="119" t="s">
        <v>125</v>
      </c>
      <c r="R2" s="119" t="s">
        <v>289</v>
      </c>
      <c r="S2" s="119" t="s">
        <v>121</v>
      </c>
      <c r="T2" s="119" t="s">
        <v>294</v>
      </c>
      <c r="U2" s="119" t="s">
        <v>295</v>
      </c>
      <c r="X2" s="131"/>
      <c r="Y2" s="157"/>
      <c r="Z2" s="157"/>
    </row>
    <row r="3" spans="1:29" s="7" customFormat="1" x14ac:dyDescent="0.25">
      <c r="A3" s="7" t="s">
        <v>83</v>
      </c>
      <c r="J3" s="7" t="s">
        <v>84</v>
      </c>
      <c r="K3" s="7" t="s">
        <v>85</v>
      </c>
      <c r="M3" s="7" t="s">
        <v>405</v>
      </c>
      <c r="N3" s="7" t="s">
        <v>373</v>
      </c>
      <c r="O3" s="7" t="s">
        <v>417</v>
      </c>
      <c r="P3" s="7" t="s">
        <v>418</v>
      </c>
      <c r="Q3" s="7" t="s">
        <v>412</v>
      </c>
      <c r="R3" s="7" t="s">
        <v>91</v>
      </c>
      <c r="S3" s="7" t="s">
        <v>205</v>
      </c>
      <c r="T3" s="7" t="s">
        <v>92</v>
      </c>
      <c r="U3" s="7" t="s">
        <v>103</v>
      </c>
      <c r="V3" s="7" t="s">
        <v>206</v>
      </c>
      <c r="W3" s="7" t="s">
        <v>104</v>
      </c>
      <c r="X3" s="130"/>
      <c r="Y3" s="156" t="s">
        <v>93</v>
      </c>
      <c r="Z3" s="156" t="s">
        <v>94</v>
      </c>
      <c r="AA3" s="7" t="s">
        <v>96</v>
      </c>
      <c r="AB3" s="7" t="s">
        <v>97</v>
      </c>
      <c r="AC3" s="7" t="s">
        <v>345</v>
      </c>
    </row>
    <row r="4" spans="1:29" s="7" customFormat="1" x14ac:dyDescent="0.25">
      <c r="A4" s="7" t="s">
        <v>213</v>
      </c>
      <c r="C4" s="7" t="s">
        <v>215</v>
      </c>
      <c r="G4" s="7" t="s">
        <v>286</v>
      </c>
      <c r="H4" s="7" t="s">
        <v>214</v>
      </c>
      <c r="O4" s="7" t="s">
        <v>407</v>
      </c>
      <c r="P4" s="7" t="s">
        <v>409</v>
      </c>
      <c r="Q4" s="7" t="s">
        <v>410</v>
      </c>
      <c r="R4" s="7" t="s">
        <v>218</v>
      </c>
      <c r="S4" s="7" t="s">
        <v>220</v>
      </c>
      <c r="T4" s="7" t="s">
        <v>221</v>
      </c>
      <c r="U4" s="7" t="s">
        <v>222</v>
      </c>
      <c r="V4" s="7" t="s">
        <v>340</v>
      </c>
      <c r="W4" s="7" t="s">
        <v>348</v>
      </c>
      <c r="X4" s="130"/>
      <c r="Y4" s="156"/>
      <c r="Z4" s="156"/>
      <c r="AA4" s="7" t="s">
        <v>344</v>
      </c>
      <c r="AB4" s="7" t="s">
        <v>202</v>
      </c>
    </row>
    <row r="5" spans="1:29" s="7" customFormat="1" x14ac:dyDescent="0.25">
      <c r="A5" s="7" t="s">
        <v>283</v>
      </c>
      <c r="G5" s="7" t="s">
        <v>212</v>
      </c>
      <c r="H5" s="7" t="s">
        <v>102</v>
      </c>
      <c r="J5" s="7" t="s">
        <v>102</v>
      </c>
      <c r="K5" s="7" t="s">
        <v>102</v>
      </c>
      <c r="M5" s="7" t="s">
        <v>102</v>
      </c>
      <c r="N5" s="7" t="s">
        <v>102</v>
      </c>
      <c r="O5" s="7" t="s">
        <v>102</v>
      </c>
      <c r="P5" s="7" t="s">
        <v>102</v>
      </c>
      <c r="Q5" s="7" t="s">
        <v>102</v>
      </c>
      <c r="R5" s="7" t="s">
        <v>223</v>
      </c>
      <c r="S5" s="7" t="s">
        <v>367</v>
      </c>
      <c r="T5" s="7" t="s">
        <v>367</v>
      </c>
      <c r="U5" s="7" t="s">
        <v>367</v>
      </c>
      <c r="W5" s="7" t="s">
        <v>347</v>
      </c>
      <c r="X5" s="130"/>
      <c r="Y5" s="156" t="s">
        <v>422</v>
      </c>
      <c r="Z5" s="156" t="s">
        <v>422</v>
      </c>
      <c r="AA5" s="7" t="s">
        <v>343</v>
      </c>
      <c r="AB5" s="7" t="s">
        <v>362</v>
      </c>
      <c r="AC5" s="7" t="s">
        <v>356</v>
      </c>
    </row>
    <row r="6" spans="1:29" s="4" customFormat="1" ht="15.75" thickBot="1" x14ac:dyDescent="0.3">
      <c r="A6" s="4" t="s">
        <v>284</v>
      </c>
      <c r="C6" s="4" t="s">
        <v>285</v>
      </c>
      <c r="D6" s="4" t="s">
        <v>298</v>
      </c>
      <c r="E6" s="4" t="s">
        <v>300</v>
      </c>
      <c r="F6" s="120"/>
      <c r="G6" s="120"/>
      <c r="J6" s="4" t="s">
        <v>421</v>
      </c>
      <c r="P6" s="4" t="s">
        <v>219</v>
      </c>
      <c r="R6" s="4" t="s">
        <v>288</v>
      </c>
      <c r="T6" s="4" t="s">
        <v>355</v>
      </c>
      <c r="U6" s="4" t="s">
        <v>297</v>
      </c>
      <c r="W6" s="4" t="s">
        <v>201</v>
      </c>
      <c r="X6" s="132"/>
      <c r="Y6" s="158" t="s">
        <v>419</v>
      </c>
      <c r="Z6" s="158" t="s">
        <v>420</v>
      </c>
      <c r="AA6" s="4" t="s">
        <v>342</v>
      </c>
      <c r="AC6" s="4" t="s">
        <v>351</v>
      </c>
    </row>
    <row r="7" spans="1:29" s="4" customFormat="1" ht="16.5" thickTop="1" thickBot="1" x14ac:dyDescent="0.3">
      <c r="A7" s="4" t="s">
        <v>98</v>
      </c>
      <c r="J7" s="4" t="s">
        <v>99</v>
      </c>
      <c r="K7" s="4" t="s">
        <v>99</v>
      </c>
      <c r="M7" s="4" t="s">
        <v>99</v>
      </c>
      <c r="N7" s="4" t="s">
        <v>354</v>
      </c>
      <c r="O7" s="4" t="s">
        <v>99</v>
      </c>
      <c r="P7" s="4" t="s">
        <v>100</v>
      </c>
      <c r="Q7" s="4" t="s">
        <v>411</v>
      </c>
      <c r="R7" s="4" t="s">
        <v>269</v>
      </c>
      <c r="S7" s="4" t="s">
        <v>179</v>
      </c>
      <c r="T7" s="4" t="s">
        <v>179</v>
      </c>
      <c r="U7" s="4" t="s">
        <v>179</v>
      </c>
      <c r="V7" s="4" t="s">
        <v>336</v>
      </c>
      <c r="W7" s="4" t="s">
        <v>99</v>
      </c>
      <c r="X7" s="132"/>
      <c r="Y7" s="158" t="s">
        <v>99</v>
      </c>
      <c r="Z7" s="158" t="s">
        <v>99</v>
      </c>
      <c r="AA7" s="4" t="s">
        <v>100</v>
      </c>
      <c r="AC7" s="4" t="s">
        <v>352</v>
      </c>
    </row>
    <row r="8" spans="1:29" ht="15.75" thickTop="1" x14ac:dyDescent="0.25">
      <c r="B8" t="s">
        <v>112</v>
      </c>
      <c r="C8" t="s">
        <v>12</v>
      </c>
      <c r="D8" t="s">
        <v>391</v>
      </c>
      <c r="E8" t="s">
        <v>392</v>
      </c>
      <c r="F8" t="s">
        <v>6</v>
      </c>
      <c r="G8" t="s">
        <v>101</v>
      </c>
      <c r="H8" t="s">
        <v>34</v>
      </c>
      <c r="I8" t="s">
        <v>113</v>
      </c>
      <c r="J8">
        <v>0.5</v>
      </c>
      <c r="K8" s="5">
        <v>0.5</v>
      </c>
      <c r="L8" t="s">
        <v>114</v>
      </c>
      <c r="M8">
        <v>0</v>
      </c>
      <c r="N8">
        <v>0.9</v>
      </c>
      <c r="O8" s="1">
        <v>0.8</v>
      </c>
      <c r="P8">
        <v>10</v>
      </c>
      <c r="Q8" s="102">
        <v>3873.4092000000001</v>
      </c>
      <c r="R8" s="179">
        <f>Capacity!C103/1000</f>
        <v>2.247515108</v>
      </c>
      <c r="S8" s="108">
        <v>0</v>
      </c>
      <c r="T8" s="109">
        <f>S8</f>
        <v>0</v>
      </c>
      <c r="U8" s="109">
        <f>S8</f>
        <v>0</v>
      </c>
      <c r="V8" s="102">
        <v>0</v>
      </c>
      <c r="W8">
        <v>0.09</v>
      </c>
      <c r="X8" s="133"/>
      <c r="Y8" s="183">
        <f>SQRT(O8)</f>
        <v>0.89442719099991586</v>
      </c>
      <c r="Z8" s="183">
        <f>Y8</f>
        <v>0.89442719099991586</v>
      </c>
      <c r="AA8" s="184">
        <f>P8</f>
        <v>10</v>
      </c>
      <c r="AB8" s="185">
        <f>W8/(1-(1+W8)^(-AA8))</f>
        <v>0.15582008990903373</v>
      </c>
      <c r="AC8" s="186">
        <f>R8/AB8</f>
        <v>14.423782641327429</v>
      </c>
    </row>
    <row r="9" spans="1:29" x14ac:dyDescent="0.25">
      <c r="B9" t="s">
        <v>115</v>
      </c>
      <c r="C9" t="s">
        <v>12</v>
      </c>
      <c r="D9" t="s">
        <v>391</v>
      </c>
      <c r="E9" t="s">
        <v>393</v>
      </c>
      <c r="F9" t="s">
        <v>6</v>
      </c>
      <c r="G9" t="s">
        <v>101</v>
      </c>
      <c r="H9" t="s">
        <v>34</v>
      </c>
      <c r="I9" t="s">
        <v>113</v>
      </c>
      <c r="J9">
        <v>0.25</v>
      </c>
      <c r="K9" s="5">
        <v>0.25</v>
      </c>
      <c r="L9" t="s">
        <v>114</v>
      </c>
      <c r="M9">
        <v>0</v>
      </c>
      <c r="N9">
        <v>0.9</v>
      </c>
      <c r="O9" s="1">
        <v>0.8</v>
      </c>
      <c r="P9">
        <v>10</v>
      </c>
      <c r="Q9" s="102">
        <v>3873.4092000000001</v>
      </c>
      <c r="R9" s="179">
        <f>Capacity!C123/1000</f>
        <v>1.9123593459999999</v>
      </c>
      <c r="S9" s="108">
        <v>0</v>
      </c>
      <c r="T9" s="109">
        <f t="shared" ref="T9:T31" si="0">S9</f>
        <v>0</v>
      </c>
      <c r="U9" s="109">
        <f t="shared" ref="U9:U31" si="1">S9</f>
        <v>0</v>
      </c>
      <c r="V9" s="102">
        <v>0</v>
      </c>
      <c r="W9">
        <v>0.09</v>
      </c>
      <c r="Y9" s="183">
        <f t="shared" ref="Y9:Y27" si="2">SQRT(O9)</f>
        <v>0.89442719099991586</v>
      </c>
      <c r="Z9" s="183">
        <f t="shared" ref="Z9:Z27" si="3">Y9</f>
        <v>0.89442719099991586</v>
      </c>
      <c r="AA9" s="184">
        <f t="shared" ref="AA9:AA27" si="4">P9</f>
        <v>10</v>
      </c>
      <c r="AB9" s="185">
        <f>W9/(1-(1+W9)^-AA9)</f>
        <v>0.15582008990903373</v>
      </c>
      <c r="AC9" s="186">
        <f>R9/AB9</f>
        <v>12.27286768424031</v>
      </c>
    </row>
    <row r="10" spans="1:29" x14ac:dyDescent="0.25">
      <c r="B10" t="s">
        <v>116</v>
      </c>
      <c r="C10" t="s">
        <v>12</v>
      </c>
      <c r="D10" t="s">
        <v>391</v>
      </c>
      <c r="E10" t="s">
        <v>394</v>
      </c>
      <c r="F10" t="s">
        <v>6</v>
      </c>
      <c r="G10" t="s">
        <v>101</v>
      </c>
      <c r="H10" t="s">
        <v>34</v>
      </c>
      <c r="I10" t="s">
        <v>113</v>
      </c>
      <c r="J10">
        <v>0.16666700000000001</v>
      </c>
      <c r="K10" s="5">
        <v>0.16666700000000001</v>
      </c>
      <c r="L10" t="s">
        <v>114</v>
      </c>
      <c r="M10">
        <v>0</v>
      </c>
      <c r="N10">
        <v>0.9</v>
      </c>
      <c r="O10" s="1">
        <v>0.8</v>
      </c>
      <c r="P10">
        <v>10</v>
      </c>
      <c r="Q10" s="102">
        <v>3873.4092000000001</v>
      </c>
      <c r="R10" s="179">
        <f>Capacity!C143/1000</f>
        <v>1.800640759</v>
      </c>
      <c r="S10" s="108">
        <v>0</v>
      </c>
      <c r="T10" s="109">
        <f t="shared" si="0"/>
        <v>0</v>
      </c>
      <c r="U10" s="109">
        <f t="shared" si="1"/>
        <v>0</v>
      </c>
      <c r="V10" s="102">
        <v>0</v>
      </c>
      <c r="W10">
        <v>0.09</v>
      </c>
      <c r="Y10" s="183">
        <f t="shared" si="2"/>
        <v>0.89442719099991586</v>
      </c>
      <c r="Z10" s="183">
        <f t="shared" si="3"/>
        <v>0.89442719099991586</v>
      </c>
      <c r="AA10" s="184">
        <f t="shared" si="4"/>
        <v>10</v>
      </c>
      <c r="AB10" s="185">
        <f>W10/(1-(1+W10)^-AA10)</f>
        <v>0.15582008990903373</v>
      </c>
      <c r="AC10" s="186">
        <f>R10/AB10</f>
        <v>11.555896034017159</v>
      </c>
    </row>
    <row r="11" spans="1:29" s="116" customFormat="1" x14ac:dyDescent="0.25">
      <c r="B11" s="116" t="s">
        <v>117</v>
      </c>
      <c r="C11" s="116" t="s">
        <v>12</v>
      </c>
      <c r="D11" s="116" t="s">
        <v>391</v>
      </c>
      <c r="E11" s="116" t="s">
        <v>423</v>
      </c>
      <c r="F11" s="116" t="s">
        <v>6</v>
      </c>
      <c r="G11" s="116" t="s">
        <v>101</v>
      </c>
      <c r="H11" s="116" t="s">
        <v>34</v>
      </c>
      <c r="I11" s="116" t="s">
        <v>113</v>
      </c>
      <c r="J11" s="116">
        <v>0.16666666699999999</v>
      </c>
      <c r="K11" s="136">
        <v>0.16666666699999999</v>
      </c>
      <c r="L11" s="116" t="s">
        <v>114</v>
      </c>
      <c r="M11" s="116">
        <v>0</v>
      </c>
      <c r="N11" s="116">
        <v>0.9</v>
      </c>
      <c r="O11" s="139">
        <v>0.75</v>
      </c>
      <c r="P11" s="116">
        <f>Capacity!E85</f>
        <v>20</v>
      </c>
      <c r="Q11" s="116">
        <f>Capacity!F85</f>
        <v>50000</v>
      </c>
      <c r="R11" s="180">
        <f>Capacity!C163/1000</f>
        <v>1.9001303219999999</v>
      </c>
      <c r="S11" s="140">
        <f>Capacity!D85*1000</f>
        <v>0</v>
      </c>
      <c r="T11" s="141">
        <f t="shared" si="0"/>
        <v>0</v>
      </c>
      <c r="U11" s="141">
        <f t="shared" si="1"/>
        <v>0</v>
      </c>
      <c r="V11" s="155">
        <v>0</v>
      </c>
      <c r="W11" s="116">
        <v>0.09</v>
      </c>
      <c r="X11" s="143"/>
      <c r="Y11" s="187">
        <f t="shared" si="2"/>
        <v>0.8660254037844386</v>
      </c>
      <c r="Z11" s="187">
        <f t="shared" si="3"/>
        <v>0.8660254037844386</v>
      </c>
      <c r="AA11" s="188">
        <f t="shared" si="4"/>
        <v>20</v>
      </c>
      <c r="AB11" s="189">
        <f>W11/(1-(1+W11)^-AA11)</f>
        <v>0.10954647500822921</v>
      </c>
      <c r="AC11" s="186">
        <f>R11/AB11</f>
        <v>17.345426421591938</v>
      </c>
    </row>
    <row r="12" spans="1:29" x14ac:dyDescent="0.25">
      <c r="B12" t="s">
        <v>112</v>
      </c>
      <c r="C12" t="s">
        <v>9</v>
      </c>
      <c r="D12" t="s">
        <v>391</v>
      </c>
      <c r="E12" t="s">
        <v>392</v>
      </c>
      <c r="F12" t="s">
        <v>6</v>
      </c>
      <c r="G12" t="s">
        <v>101</v>
      </c>
      <c r="H12" t="s">
        <v>34</v>
      </c>
      <c r="I12" t="s">
        <v>113</v>
      </c>
      <c r="J12">
        <v>0.5</v>
      </c>
      <c r="K12" s="5">
        <v>0.5</v>
      </c>
      <c r="L12" t="s">
        <v>114</v>
      </c>
      <c r="M12">
        <v>0</v>
      </c>
      <c r="N12">
        <v>0.9</v>
      </c>
      <c r="O12" s="1">
        <v>0.8</v>
      </c>
      <c r="P12">
        <v>10</v>
      </c>
      <c r="Q12" s="102">
        <v>3873.4092000000001</v>
      </c>
      <c r="R12" s="181">
        <f>$R$8</f>
        <v>2.247515108</v>
      </c>
      <c r="S12" s="108">
        <v>0</v>
      </c>
      <c r="T12" s="109">
        <f t="shared" si="0"/>
        <v>0</v>
      </c>
      <c r="U12" s="109">
        <f t="shared" si="1"/>
        <v>0</v>
      </c>
      <c r="V12" s="102">
        <v>0</v>
      </c>
      <c r="W12">
        <v>0.09</v>
      </c>
      <c r="X12" s="133"/>
      <c r="Y12" s="183">
        <f t="shared" si="2"/>
        <v>0.89442719099991586</v>
      </c>
      <c r="Z12" s="183">
        <f t="shared" si="3"/>
        <v>0.89442719099991586</v>
      </c>
      <c r="AA12" s="184">
        <f t="shared" si="4"/>
        <v>10</v>
      </c>
      <c r="AB12" s="185">
        <f>W12/(1-(1+W12)^-AA12)</f>
        <v>0.15582008990903373</v>
      </c>
      <c r="AC12" s="186">
        <f>R12/AB12</f>
        <v>14.423782641327429</v>
      </c>
    </row>
    <row r="13" spans="1:29" x14ac:dyDescent="0.25">
      <c r="B13" t="s">
        <v>115</v>
      </c>
      <c r="C13" t="s">
        <v>9</v>
      </c>
      <c r="D13" t="s">
        <v>391</v>
      </c>
      <c r="E13" t="s">
        <v>393</v>
      </c>
      <c r="F13" t="s">
        <v>6</v>
      </c>
      <c r="G13" t="s">
        <v>101</v>
      </c>
      <c r="H13" t="s">
        <v>34</v>
      </c>
      <c r="I13" t="s">
        <v>113</v>
      </c>
      <c r="J13">
        <v>0.25</v>
      </c>
      <c r="K13" s="5">
        <v>0.25</v>
      </c>
      <c r="L13" t="s">
        <v>114</v>
      </c>
      <c r="M13">
        <v>0</v>
      </c>
      <c r="N13">
        <v>0.9</v>
      </c>
      <c r="O13" s="1">
        <v>0.8</v>
      </c>
      <c r="P13">
        <v>10</v>
      </c>
      <c r="Q13" s="102">
        <v>3873.4092000000001</v>
      </c>
      <c r="R13" s="181">
        <f>$R$9</f>
        <v>1.9123593459999999</v>
      </c>
      <c r="S13" s="108">
        <v>0</v>
      </c>
      <c r="T13" s="109">
        <f t="shared" si="0"/>
        <v>0</v>
      </c>
      <c r="U13" s="109">
        <f t="shared" si="1"/>
        <v>0</v>
      </c>
      <c r="V13" s="102">
        <v>0</v>
      </c>
      <c r="W13">
        <v>0.09</v>
      </c>
      <c r="Y13" s="183">
        <f t="shared" si="2"/>
        <v>0.89442719099991586</v>
      </c>
      <c r="Z13" s="183">
        <f t="shared" si="3"/>
        <v>0.89442719099991586</v>
      </c>
      <c r="AA13" s="184">
        <f t="shared" si="4"/>
        <v>10</v>
      </c>
      <c r="AB13" s="185">
        <f>W13/(1-(1+W13)^-AA13)</f>
        <v>0.15582008990903373</v>
      </c>
      <c r="AC13" s="186">
        <f>R13/AB13</f>
        <v>12.27286768424031</v>
      </c>
    </row>
    <row r="14" spans="1:29" x14ac:dyDescent="0.25">
      <c r="B14" t="s">
        <v>116</v>
      </c>
      <c r="C14" t="s">
        <v>9</v>
      </c>
      <c r="D14" t="s">
        <v>391</v>
      </c>
      <c r="E14" t="s">
        <v>394</v>
      </c>
      <c r="F14" t="s">
        <v>6</v>
      </c>
      <c r="G14" t="s">
        <v>101</v>
      </c>
      <c r="H14" t="s">
        <v>34</v>
      </c>
      <c r="I14" t="s">
        <v>113</v>
      </c>
      <c r="J14">
        <v>0.16666700000000001</v>
      </c>
      <c r="K14" s="5">
        <v>0.16666700000000001</v>
      </c>
      <c r="L14" t="s">
        <v>114</v>
      </c>
      <c r="M14">
        <v>0</v>
      </c>
      <c r="N14">
        <v>0.9</v>
      </c>
      <c r="O14" s="1">
        <v>0.8</v>
      </c>
      <c r="P14">
        <v>10</v>
      </c>
      <c r="Q14" s="102">
        <v>3873.4092000000001</v>
      </c>
      <c r="R14" s="181">
        <f>$R$10</f>
        <v>1.800640759</v>
      </c>
      <c r="S14" s="108">
        <v>0</v>
      </c>
      <c r="T14" s="109">
        <f t="shared" si="0"/>
        <v>0</v>
      </c>
      <c r="U14" s="109">
        <f t="shared" si="1"/>
        <v>0</v>
      </c>
      <c r="V14" s="102">
        <v>0</v>
      </c>
      <c r="W14">
        <v>0.09</v>
      </c>
      <c r="Y14" s="183">
        <f t="shared" si="2"/>
        <v>0.89442719099991586</v>
      </c>
      <c r="Z14" s="183">
        <f t="shared" si="3"/>
        <v>0.89442719099991586</v>
      </c>
      <c r="AA14" s="184">
        <f t="shared" si="4"/>
        <v>10</v>
      </c>
      <c r="AB14" s="185">
        <f>W14/(1-(1+W14)^-AA14)</f>
        <v>0.15582008990903373</v>
      </c>
      <c r="AC14" s="186">
        <f>R14/AB14</f>
        <v>11.555896034017159</v>
      </c>
    </row>
    <row r="15" spans="1:29" s="116" customFormat="1" x14ac:dyDescent="0.25">
      <c r="B15" s="116" t="s">
        <v>117</v>
      </c>
      <c r="C15" s="116" t="s">
        <v>9</v>
      </c>
      <c r="D15" s="116" t="s">
        <v>391</v>
      </c>
      <c r="E15" s="116" t="s">
        <v>423</v>
      </c>
      <c r="F15" s="116" t="s">
        <v>6</v>
      </c>
      <c r="G15" s="116" t="s">
        <v>101</v>
      </c>
      <c r="H15" s="116" t="s">
        <v>34</v>
      </c>
      <c r="I15" s="116" t="s">
        <v>113</v>
      </c>
      <c r="J15" s="116">
        <v>0.16666666699999999</v>
      </c>
      <c r="K15" s="136">
        <v>0.16666666699999999</v>
      </c>
      <c r="L15" s="116" t="s">
        <v>114</v>
      </c>
      <c r="M15" s="116">
        <v>0</v>
      </c>
      <c r="N15" s="116">
        <v>0.9</v>
      </c>
      <c r="O15" s="139">
        <v>0.75</v>
      </c>
      <c r="P15" s="116">
        <f>Capacity!E86</f>
        <v>20</v>
      </c>
      <c r="Q15" s="116">
        <f>Capacity!F86</f>
        <v>50000</v>
      </c>
      <c r="R15" s="182">
        <f>$R$11</f>
        <v>1.9001303219999999</v>
      </c>
      <c r="S15" s="140">
        <f>Capacity!D86*1000</f>
        <v>0</v>
      </c>
      <c r="T15" s="141">
        <f t="shared" si="0"/>
        <v>0</v>
      </c>
      <c r="U15" s="141">
        <f t="shared" si="1"/>
        <v>0</v>
      </c>
      <c r="V15" s="155">
        <v>0</v>
      </c>
      <c r="W15" s="116">
        <v>0.09</v>
      </c>
      <c r="X15" s="143"/>
      <c r="Y15" s="187">
        <f t="shared" si="2"/>
        <v>0.8660254037844386</v>
      </c>
      <c r="Z15" s="187">
        <f t="shared" si="3"/>
        <v>0.8660254037844386</v>
      </c>
      <c r="AA15" s="188">
        <f t="shared" si="4"/>
        <v>20</v>
      </c>
      <c r="AB15" s="189">
        <f>W15/(1-(1+W15)^-AA15)</f>
        <v>0.10954647500822921</v>
      </c>
      <c r="AC15" s="186">
        <f>R15/AB15</f>
        <v>17.345426421591938</v>
      </c>
    </row>
    <row r="16" spans="1:29" x14ac:dyDescent="0.25">
      <c r="B16" t="s">
        <v>112</v>
      </c>
      <c r="C16" t="s">
        <v>10</v>
      </c>
      <c r="D16" t="s">
        <v>391</v>
      </c>
      <c r="E16" t="s">
        <v>392</v>
      </c>
      <c r="F16" t="s">
        <v>6</v>
      </c>
      <c r="G16" t="s">
        <v>101</v>
      </c>
      <c r="H16" t="s">
        <v>34</v>
      </c>
      <c r="I16" t="s">
        <v>113</v>
      </c>
      <c r="J16">
        <v>0.5</v>
      </c>
      <c r="K16" s="5">
        <v>0.5</v>
      </c>
      <c r="L16" t="s">
        <v>114</v>
      </c>
      <c r="M16">
        <v>0</v>
      </c>
      <c r="N16">
        <v>0.9</v>
      </c>
      <c r="O16" s="1">
        <v>0.8</v>
      </c>
      <c r="P16">
        <v>10</v>
      </c>
      <c r="Q16" s="102">
        <v>3873.4092000000001</v>
      </c>
      <c r="R16" s="181">
        <f>$R$8</f>
        <v>2.247515108</v>
      </c>
      <c r="S16" s="108">
        <v>0</v>
      </c>
      <c r="T16" s="109">
        <f t="shared" si="0"/>
        <v>0</v>
      </c>
      <c r="U16" s="109">
        <f t="shared" si="1"/>
        <v>0</v>
      </c>
      <c r="V16" s="102">
        <v>0</v>
      </c>
      <c r="W16">
        <v>0.09</v>
      </c>
      <c r="X16" s="133"/>
      <c r="Y16" s="183">
        <f t="shared" si="2"/>
        <v>0.89442719099991586</v>
      </c>
      <c r="Z16" s="183">
        <f t="shared" si="3"/>
        <v>0.89442719099991586</v>
      </c>
      <c r="AA16" s="184">
        <f t="shared" si="4"/>
        <v>10</v>
      </c>
      <c r="AB16" s="185">
        <f>W16/(1-(1+W16)^-AA16)</f>
        <v>0.15582008990903373</v>
      </c>
      <c r="AC16" s="186">
        <f>R16/AB16</f>
        <v>14.423782641327429</v>
      </c>
    </row>
    <row r="17" spans="2:29" x14ac:dyDescent="0.25">
      <c r="B17" t="s">
        <v>115</v>
      </c>
      <c r="C17" t="s">
        <v>10</v>
      </c>
      <c r="D17" t="s">
        <v>391</v>
      </c>
      <c r="E17" t="s">
        <v>393</v>
      </c>
      <c r="F17" t="s">
        <v>6</v>
      </c>
      <c r="G17" t="s">
        <v>101</v>
      </c>
      <c r="H17" t="s">
        <v>34</v>
      </c>
      <c r="I17" t="s">
        <v>113</v>
      </c>
      <c r="J17">
        <v>0.25</v>
      </c>
      <c r="K17" s="5">
        <v>0.25</v>
      </c>
      <c r="L17" t="s">
        <v>114</v>
      </c>
      <c r="M17">
        <v>0</v>
      </c>
      <c r="N17">
        <v>0.9</v>
      </c>
      <c r="O17" s="1">
        <v>0.8</v>
      </c>
      <c r="P17">
        <v>10</v>
      </c>
      <c r="Q17" s="102">
        <v>3873.4092000000001</v>
      </c>
      <c r="R17" s="181">
        <f>$R$9</f>
        <v>1.9123593459999999</v>
      </c>
      <c r="S17" s="108">
        <v>0</v>
      </c>
      <c r="T17" s="109">
        <f t="shared" si="0"/>
        <v>0</v>
      </c>
      <c r="U17" s="109">
        <f t="shared" si="1"/>
        <v>0</v>
      </c>
      <c r="V17" s="102">
        <v>0</v>
      </c>
      <c r="W17">
        <v>0.09</v>
      </c>
      <c r="Y17" s="183">
        <f t="shared" si="2"/>
        <v>0.89442719099991586</v>
      </c>
      <c r="Z17" s="183">
        <f t="shared" si="3"/>
        <v>0.89442719099991586</v>
      </c>
      <c r="AA17" s="184">
        <f t="shared" si="4"/>
        <v>10</v>
      </c>
      <c r="AB17" s="185">
        <f>W17/(1-(1+W17)^-AA17)</f>
        <v>0.15582008990903373</v>
      </c>
      <c r="AC17" s="186">
        <f>R17/AB17</f>
        <v>12.27286768424031</v>
      </c>
    </row>
    <row r="18" spans="2:29" x14ac:dyDescent="0.25">
      <c r="B18" t="s">
        <v>116</v>
      </c>
      <c r="C18" t="s">
        <v>10</v>
      </c>
      <c r="D18" t="s">
        <v>391</v>
      </c>
      <c r="E18" t="s">
        <v>394</v>
      </c>
      <c r="F18" t="s">
        <v>6</v>
      </c>
      <c r="G18" t="s">
        <v>101</v>
      </c>
      <c r="H18" t="s">
        <v>34</v>
      </c>
      <c r="I18" t="s">
        <v>113</v>
      </c>
      <c r="J18">
        <v>0.16666700000000001</v>
      </c>
      <c r="K18" s="5">
        <v>0.16666700000000001</v>
      </c>
      <c r="L18" t="s">
        <v>114</v>
      </c>
      <c r="M18">
        <v>0</v>
      </c>
      <c r="N18">
        <v>0.9</v>
      </c>
      <c r="O18" s="1">
        <v>0.8</v>
      </c>
      <c r="P18">
        <v>10</v>
      </c>
      <c r="Q18" s="102">
        <v>3873.4092000000001</v>
      </c>
      <c r="R18" s="181">
        <f>$R$10</f>
        <v>1.800640759</v>
      </c>
      <c r="S18" s="108">
        <v>0</v>
      </c>
      <c r="T18" s="109">
        <f t="shared" si="0"/>
        <v>0</v>
      </c>
      <c r="U18" s="109">
        <f t="shared" si="1"/>
        <v>0</v>
      </c>
      <c r="V18" s="102">
        <v>0</v>
      </c>
      <c r="W18">
        <v>0.09</v>
      </c>
      <c r="Y18" s="183">
        <f t="shared" si="2"/>
        <v>0.89442719099991586</v>
      </c>
      <c r="Z18" s="183">
        <f t="shared" si="3"/>
        <v>0.89442719099991586</v>
      </c>
      <c r="AA18" s="184">
        <f t="shared" si="4"/>
        <v>10</v>
      </c>
      <c r="AB18" s="185">
        <f>W18/(1-(1+W18)^-AA18)</f>
        <v>0.15582008990903373</v>
      </c>
      <c r="AC18" s="186">
        <f>R18/AB18</f>
        <v>11.555896034017159</v>
      </c>
    </row>
    <row r="19" spans="2:29" s="116" customFormat="1" x14ac:dyDescent="0.25">
      <c r="B19" s="116" t="s">
        <v>117</v>
      </c>
      <c r="C19" s="116" t="s">
        <v>10</v>
      </c>
      <c r="D19" s="116" t="s">
        <v>391</v>
      </c>
      <c r="E19" s="116" t="s">
        <v>423</v>
      </c>
      <c r="F19" s="116" t="s">
        <v>6</v>
      </c>
      <c r="G19" s="116" t="s">
        <v>101</v>
      </c>
      <c r="H19" s="116" t="s">
        <v>34</v>
      </c>
      <c r="I19" s="116" t="s">
        <v>113</v>
      </c>
      <c r="J19" s="116">
        <v>0.16666666699999999</v>
      </c>
      <c r="K19" s="136">
        <v>0.16666666699999999</v>
      </c>
      <c r="L19" s="116" t="s">
        <v>114</v>
      </c>
      <c r="M19" s="116">
        <v>0</v>
      </c>
      <c r="N19" s="116">
        <v>0.9</v>
      </c>
      <c r="O19" s="139">
        <v>0.75</v>
      </c>
      <c r="P19" s="116">
        <f>Capacity!E87</f>
        <v>20</v>
      </c>
      <c r="Q19" s="116">
        <f>Capacity!F87</f>
        <v>50000</v>
      </c>
      <c r="R19" s="182">
        <f>$R$11</f>
        <v>1.9001303219999999</v>
      </c>
      <c r="S19" s="140">
        <f>Capacity!D87*1000</f>
        <v>5400</v>
      </c>
      <c r="T19" s="141">
        <f t="shared" si="0"/>
        <v>5400</v>
      </c>
      <c r="U19" s="141">
        <f t="shared" si="1"/>
        <v>5400</v>
      </c>
      <c r="V19" s="155">
        <v>0</v>
      </c>
      <c r="W19" s="116">
        <v>0.09</v>
      </c>
      <c r="X19" s="143"/>
      <c r="Y19" s="187">
        <f t="shared" si="2"/>
        <v>0.8660254037844386</v>
      </c>
      <c r="Z19" s="187">
        <f t="shared" si="3"/>
        <v>0.8660254037844386</v>
      </c>
      <c r="AA19" s="188">
        <f t="shared" si="4"/>
        <v>20</v>
      </c>
      <c r="AB19" s="189">
        <f>W19/(1-(1+W19)^-AA19)</f>
        <v>0.10954647500822921</v>
      </c>
      <c r="AC19" s="186">
        <f>R19/AB19</f>
        <v>17.345426421591938</v>
      </c>
    </row>
    <row r="20" spans="2:29" x14ac:dyDescent="0.25">
      <c r="B20" t="s">
        <v>112</v>
      </c>
      <c r="C20" t="s">
        <v>11</v>
      </c>
      <c r="D20" t="s">
        <v>391</v>
      </c>
      <c r="E20" t="s">
        <v>392</v>
      </c>
      <c r="F20" t="s">
        <v>6</v>
      </c>
      <c r="G20" t="s">
        <v>101</v>
      </c>
      <c r="H20" t="s">
        <v>34</v>
      </c>
      <c r="I20" t="s">
        <v>113</v>
      </c>
      <c r="J20">
        <v>0.5</v>
      </c>
      <c r="K20" s="5">
        <v>0.5</v>
      </c>
      <c r="L20" t="s">
        <v>114</v>
      </c>
      <c r="M20">
        <v>0</v>
      </c>
      <c r="N20">
        <v>0.9</v>
      </c>
      <c r="O20" s="1">
        <v>0.8</v>
      </c>
      <c r="P20">
        <v>10</v>
      </c>
      <c r="Q20" s="102">
        <v>3873.4092000000001</v>
      </c>
      <c r="R20" s="181">
        <f>$R$8</f>
        <v>2.247515108</v>
      </c>
      <c r="S20" s="108">
        <v>0</v>
      </c>
      <c r="T20" s="109">
        <f t="shared" si="0"/>
        <v>0</v>
      </c>
      <c r="U20" s="109">
        <f t="shared" si="1"/>
        <v>0</v>
      </c>
      <c r="V20" s="102">
        <v>0</v>
      </c>
      <c r="W20">
        <v>0.09</v>
      </c>
      <c r="X20" s="133"/>
      <c r="Y20" s="183">
        <f t="shared" si="2"/>
        <v>0.89442719099991586</v>
      </c>
      <c r="Z20" s="183">
        <f t="shared" si="3"/>
        <v>0.89442719099991586</v>
      </c>
      <c r="AA20" s="184">
        <f t="shared" si="4"/>
        <v>10</v>
      </c>
      <c r="AB20" s="185">
        <f>W20/(1-(1+W20)^-AA20)</f>
        <v>0.15582008990903373</v>
      </c>
      <c r="AC20" s="186">
        <f>R20/AB20</f>
        <v>14.423782641327429</v>
      </c>
    </row>
    <row r="21" spans="2:29" x14ac:dyDescent="0.25">
      <c r="B21" t="s">
        <v>115</v>
      </c>
      <c r="C21" t="s">
        <v>11</v>
      </c>
      <c r="D21" t="s">
        <v>391</v>
      </c>
      <c r="E21" t="s">
        <v>393</v>
      </c>
      <c r="F21" t="s">
        <v>6</v>
      </c>
      <c r="G21" t="s">
        <v>101</v>
      </c>
      <c r="H21" t="s">
        <v>34</v>
      </c>
      <c r="I21" t="s">
        <v>113</v>
      </c>
      <c r="J21">
        <v>0.25</v>
      </c>
      <c r="K21" s="5">
        <v>0.25</v>
      </c>
      <c r="L21" t="s">
        <v>114</v>
      </c>
      <c r="M21">
        <v>0</v>
      </c>
      <c r="N21">
        <v>0.9</v>
      </c>
      <c r="O21" s="1">
        <v>0.8</v>
      </c>
      <c r="P21">
        <v>10</v>
      </c>
      <c r="Q21" s="102">
        <v>3873.4092000000001</v>
      </c>
      <c r="R21" s="181">
        <f>$R$9</f>
        <v>1.9123593459999999</v>
      </c>
      <c r="S21" s="108">
        <v>0</v>
      </c>
      <c r="T21" s="109">
        <f t="shared" si="0"/>
        <v>0</v>
      </c>
      <c r="U21" s="109">
        <f t="shared" si="1"/>
        <v>0</v>
      </c>
      <c r="V21" s="102">
        <v>0</v>
      </c>
      <c r="W21">
        <v>0.09</v>
      </c>
      <c r="Y21" s="183">
        <f t="shared" si="2"/>
        <v>0.89442719099991586</v>
      </c>
      <c r="Z21" s="183">
        <f t="shared" si="3"/>
        <v>0.89442719099991586</v>
      </c>
      <c r="AA21" s="184">
        <f t="shared" si="4"/>
        <v>10</v>
      </c>
      <c r="AB21" s="185">
        <f>W21/(1-(1+W21)^-AA21)</f>
        <v>0.15582008990903373</v>
      </c>
      <c r="AC21" s="186">
        <f>R21/AB21</f>
        <v>12.27286768424031</v>
      </c>
    </row>
    <row r="22" spans="2:29" x14ac:dyDescent="0.25">
      <c r="B22" t="s">
        <v>116</v>
      </c>
      <c r="C22" t="s">
        <v>11</v>
      </c>
      <c r="D22" t="s">
        <v>391</v>
      </c>
      <c r="E22" t="s">
        <v>394</v>
      </c>
      <c r="F22" t="s">
        <v>6</v>
      </c>
      <c r="G22" t="s">
        <v>101</v>
      </c>
      <c r="H22" t="s">
        <v>34</v>
      </c>
      <c r="I22" t="s">
        <v>113</v>
      </c>
      <c r="J22">
        <v>0.16666700000000001</v>
      </c>
      <c r="K22" s="5">
        <v>0.16666700000000001</v>
      </c>
      <c r="L22" t="s">
        <v>114</v>
      </c>
      <c r="M22">
        <v>0</v>
      </c>
      <c r="N22">
        <v>0.9</v>
      </c>
      <c r="O22" s="1">
        <v>0.8</v>
      </c>
      <c r="P22">
        <v>10</v>
      </c>
      <c r="Q22" s="102">
        <v>3873.4092000000001</v>
      </c>
      <c r="R22" s="181">
        <f>$R$10</f>
        <v>1.800640759</v>
      </c>
      <c r="S22" s="108">
        <v>0</v>
      </c>
      <c r="T22" s="109">
        <f t="shared" si="0"/>
        <v>0</v>
      </c>
      <c r="U22" s="109">
        <f t="shared" si="1"/>
        <v>0</v>
      </c>
      <c r="V22" s="102">
        <v>0</v>
      </c>
      <c r="W22">
        <v>0.09</v>
      </c>
      <c r="Y22" s="183">
        <f t="shared" si="2"/>
        <v>0.89442719099991586</v>
      </c>
      <c r="Z22" s="183">
        <f t="shared" si="3"/>
        <v>0.89442719099991586</v>
      </c>
      <c r="AA22" s="184">
        <f t="shared" si="4"/>
        <v>10</v>
      </c>
      <c r="AB22" s="185">
        <f>W22/(1-(1+W22)^-AA22)</f>
        <v>0.15582008990903373</v>
      </c>
      <c r="AC22" s="186">
        <f>R22/AB22</f>
        <v>11.555896034017159</v>
      </c>
    </row>
    <row r="23" spans="2:29" s="116" customFormat="1" x14ac:dyDescent="0.25">
      <c r="B23" s="116" t="s">
        <v>117</v>
      </c>
      <c r="C23" s="116" t="s">
        <v>11</v>
      </c>
      <c r="D23" s="116" t="s">
        <v>391</v>
      </c>
      <c r="E23" s="116" t="s">
        <v>423</v>
      </c>
      <c r="F23" s="116" t="s">
        <v>6</v>
      </c>
      <c r="G23" s="116" t="s">
        <v>101</v>
      </c>
      <c r="H23" s="116" t="s">
        <v>34</v>
      </c>
      <c r="I23" s="116" t="s">
        <v>113</v>
      </c>
      <c r="J23" s="116">
        <v>0.16666666699999999</v>
      </c>
      <c r="K23" s="136">
        <v>0.16666666699999999</v>
      </c>
      <c r="L23" s="116" t="s">
        <v>114</v>
      </c>
      <c r="M23" s="116">
        <v>0</v>
      </c>
      <c r="N23" s="116">
        <v>0.9</v>
      </c>
      <c r="O23" s="139">
        <v>0.75</v>
      </c>
      <c r="P23" s="116">
        <f>Capacity!E88</f>
        <v>20</v>
      </c>
      <c r="Q23" s="116">
        <f>Capacity!F88</f>
        <v>50000</v>
      </c>
      <c r="R23" s="182">
        <f>$R$11</f>
        <v>1.9001303219999999</v>
      </c>
      <c r="S23" s="140">
        <f>Capacity!D88*1000</f>
        <v>11040</v>
      </c>
      <c r="T23" s="141">
        <f t="shared" si="0"/>
        <v>11040</v>
      </c>
      <c r="U23" s="141">
        <f t="shared" si="1"/>
        <v>11040</v>
      </c>
      <c r="V23" s="155">
        <v>0</v>
      </c>
      <c r="W23" s="116">
        <v>0.09</v>
      </c>
      <c r="X23" s="143"/>
      <c r="Y23" s="187">
        <f t="shared" si="2"/>
        <v>0.8660254037844386</v>
      </c>
      <c r="Z23" s="187">
        <f t="shared" si="3"/>
        <v>0.8660254037844386</v>
      </c>
      <c r="AA23" s="188">
        <f t="shared" si="4"/>
        <v>20</v>
      </c>
      <c r="AB23" s="189">
        <f>W23/(1-(1+W23)^-AA23)</f>
        <v>0.10954647500822921</v>
      </c>
      <c r="AC23" s="186">
        <f>R23/AB23</f>
        <v>17.345426421591938</v>
      </c>
    </row>
    <row r="24" spans="2:29" x14ac:dyDescent="0.25">
      <c r="B24" t="s">
        <v>112</v>
      </c>
      <c r="C24" t="s">
        <v>8</v>
      </c>
      <c r="D24" t="s">
        <v>391</v>
      </c>
      <c r="E24" t="s">
        <v>392</v>
      </c>
      <c r="F24" t="s">
        <v>6</v>
      </c>
      <c r="G24" t="s">
        <v>101</v>
      </c>
      <c r="H24" t="s">
        <v>34</v>
      </c>
      <c r="I24" t="s">
        <v>113</v>
      </c>
      <c r="J24">
        <v>0.5</v>
      </c>
      <c r="K24" s="5">
        <v>0.5</v>
      </c>
      <c r="L24" t="s">
        <v>114</v>
      </c>
      <c r="M24">
        <v>0</v>
      </c>
      <c r="N24">
        <v>0.9</v>
      </c>
      <c r="O24" s="1">
        <v>0.8</v>
      </c>
      <c r="P24">
        <v>10</v>
      </c>
      <c r="Q24" s="102">
        <v>3873.4092000000001</v>
      </c>
      <c r="R24" s="181">
        <f>$R$8</f>
        <v>2.247515108</v>
      </c>
      <c r="S24" s="108">
        <v>0</v>
      </c>
      <c r="T24" s="109">
        <f t="shared" si="0"/>
        <v>0</v>
      </c>
      <c r="U24" s="109">
        <f t="shared" si="1"/>
        <v>0</v>
      </c>
      <c r="V24" s="102">
        <v>0</v>
      </c>
      <c r="W24">
        <v>0.09</v>
      </c>
      <c r="X24" s="133"/>
      <c r="Y24" s="183">
        <f t="shared" si="2"/>
        <v>0.89442719099991586</v>
      </c>
      <c r="Z24" s="183">
        <f t="shared" si="3"/>
        <v>0.89442719099991586</v>
      </c>
      <c r="AA24" s="184">
        <f t="shared" si="4"/>
        <v>10</v>
      </c>
      <c r="AB24" s="185">
        <f>W24/(1-(1+W24)^-AA24)</f>
        <v>0.15582008990903373</v>
      </c>
      <c r="AC24" s="186">
        <f>R24/AB24</f>
        <v>14.423782641327429</v>
      </c>
    </row>
    <row r="25" spans="2:29" x14ac:dyDescent="0.25">
      <c r="B25" t="s">
        <v>115</v>
      </c>
      <c r="C25" t="s">
        <v>8</v>
      </c>
      <c r="D25" t="s">
        <v>391</v>
      </c>
      <c r="E25" t="s">
        <v>393</v>
      </c>
      <c r="F25" t="s">
        <v>6</v>
      </c>
      <c r="G25" t="s">
        <v>101</v>
      </c>
      <c r="H25" t="s">
        <v>34</v>
      </c>
      <c r="I25" t="s">
        <v>113</v>
      </c>
      <c r="J25">
        <v>0.25</v>
      </c>
      <c r="K25" s="5">
        <v>0.25</v>
      </c>
      <c r="L25" t="s">
        <v>114</v>
      </c>
      <c r="M25">
        <v>0</v>
      </c>
      <c r="N25">
        <v>0.9</v>
      </c>
      <c r="O25" s="1">
        <v>0.8</v>
      </c>
      <c r="P25">
        <v>10</v>
      </c>
      <c r="Q25" s="102">
        <v>3873.4092000000001</v>
      </c>
      <c r="R25" s="181">
        <f>$R$9</f>
        <v>1.9123593459999999</v>
      </c>
      <c r="S25" s="108">
        <v>0</v>
      </c>
      <c r="T25" s="109">
        <f t="shared" si="0"/>
        <v>0</v>
      </c>
      <c r="U25" s="109">
        <f t="shared" si="1"/>
        <v>0</v>
      </c>
      <c r="V25" s="102">
        <v>0</v>
      </c>
      <c r="W25">
        <v>0.09</v>
      </c>
      <c r="Y25" s="183">
        <f t="shared" si="2"/>
        <v>0.89442719099991586</v>
      </c>
      <c r="Z25" s="183">
        <f t="shared" si="3"/>
        <v>0.89442719099991586</v>
      </c>
      <c r="AA25" s="184">
        <f t="shared" si="4"/>
        <v>10</v>
      </c>
      <c r="AB25" s="185">
        <f>W25/(1-(1+W25)^-AA25)</f>
        <v>0.15582008990903373</v>
      </c>
      <c r="AC25" s="186">
        <f>R25/AB25</f>
        <v>12.27286768424031</v>
      </c>
    </row>
    <row r="26" spans="2:29" x14ac:dyDescent="0.25">
      <c r="B26" t="s">
        <v>116</v>
      </c>
      <c r="C26" t="s">
        <v>8</v>
      </c>
      <c r="D26" t="s">
        <v>391</v>
      </c>
      <c r="E26" t="s">
        <v>394</v>
      </c>
      <c r="F26" t="s">
        <v>6</v>
      </c>
      <c r="G26" t="s">
        <v>101</v>
      </c>
      <c r="H26" t="s">
        <v>34</v>
      </c>
      <c r="I26" t="s">
        <v>113</v>
      </c>
      <c r="J26">
        <v>0.16666700000000001</v>
      </c>
      <c r="K26" s="5">
        <v>0.16666700000000001</v>
      </c>
      <c r="L26" t="s">
        <v>114</v>
      </c>
      <c r="M26">
        <v>0</v>
      </c>
      <c r="N26">
        <v>0.9</v>
      </c>
      <c r="O26" s="1">
        <v>0.8</v>
      </c>
      <c r="P26">
        <v>10</v>
      </c>
      <c r="Q26" s="102">
        <v>3873.4092000000001</v>
      </c>
      <c r="R26" s="181">
        <f>$R$10</f>
        <v>1.800640759</v>
      </c>
      <c r="S26" s="108">
        <v>0</v>
      </c>
      <c r="T26" s="109">
        <f t="shared" si="0"/>
        <v>0</v>
      </c>
      <c r="U26" s="109">
        <f t="shared" si="1"/>
        <v>0</v>
      </c>
      <c r="V26" s="102">
        <v>0</v>
      </c>
      <c r="W26">
        <v>0.09</v>
      </c>
      <c r="Y26" s="183">
        <f t="shared" si="2"/>
        <v>0.89442719099991586</v>
      </c>
      <c r="Z26" s="183">
        <f t="shared" si="3"/>
        <v>0.89442719099991586</v>
      </c>
      <c r="AA26" s="184">
        <f t="shared" si="4"/>
        <v>10</v>
      </c>
      <c r="AB26" s="185">
        <f>W26/(1-(1+W26)^-AA26)</f>
        <v>0.15582008990903373</v>
      </c>
      <c r="AC26" s="186">
        <f>R26/AB26</f>
        <v>11.555896034017159</v>
      </c>
    </row>
    <row r="27" spans="2:29" s="116" customFormat="1" x14ac:dyDescent="0.25">
      <c r="B27" s="116" t="s">
        <v>117</v>
      </c>
      <c r="C27" s="116" t="s">
        <v>8</v>
      </c>
      <c r="D27" s="116" t="s">
        <v>391</v>
      </c>
      <c r="E27" s="116" t="s">
        <v>423</v>
      </c>
      <c r="F27" s="116" t="s">
        <v>6</v>
      </c>
      <c r="G27" s="116" t="s">
        <v>101</v>
      </c>
      <c r="H27" s="116" t="s">
        <v>34</v>
      </c>
      <c r="I27" s="116" t="s">
        <v>113</v>
      </c>
      <c r="J27" s="116">
        <v>0.16666666699999999</v>
      </c>
      <c r="K27" s="136">
        <v>0.16666666699999999</v>
      </c>
      <c r="L27" s="116" t="s">
        <v>114</v>
      </c>
      <c r="M27" s="116">
        <v>0</v>
      </c>
      <c r="N27" s="116">
        <v>0.9</v>
      </c>
      <c r="O27" s="139">
        <v>0.75</v>
      </c>
      <c r="P27" s="116">
        <f>Capacity!E89</f>
        <v>20</v>
      </c>
      <c r="Q27" s="116">
        <f>Capacity!F89</f>
        <v>50000</v>
      </c>
      <c r="R27" s="182">
        <f>$R$11</f>
        <v>1.9001303219999999</v>
      </c>
      <c r="S27" s="140">
        <f>Capacity!D89*1000</f>
        <v>12033.6</v>
      </c>
      <c r="T27" s="141">
        <f t="shared" si="0"/>
        <v>12033.6</v>
      </c>
      <c r="U27" s="141">
        <f t="shared" si="1"/>
        <v>12033.6</v>
      </c>
      <c r="V27" s="155">
        <v>0</v>
      </c>
      <c r="W27" s="116">
        <v>0.09</v>
      </c>
      <c r="X27" s="143"/>
      <c r="Y27" s="187">
        <f t="shared" si="2"/>
        <v>0.8660254037844386</v>
      </c>
      <c r="Z27" s="187">
        <f t="shared" si="3"/>
        <v>0.8660254037844386</v>
      </c>
      <c r="AA27" s="188">
        <f t="shared" si="4"/>
        <v>20</v>
      </c>
      <c r="AB27" s="189">
        <f>W27/(1-(1+W27)^-AA27)</f>
        <v>0.10954647500822921</v>
      </c>
      <c r="AC27" s="186">
        <f>R27/AB27</f>
        <v>17.345426421591938</v>
      </c>
    </row>
    <row r="28" spans="2:29" s="162" customFormat="1" x14ac:dyDescent="0.25">
      <c r="B28" s="162" t="s">
        <v>112</v>
      </c>
      <c r="C28" s="162" t="s">
        <v>82</v>
      </c>
      <c r="D28" s="162" t="s">
        <v>391</v>
      </c>
      <c r="E28" s="162" t="s">
        <v>392</v>
      </c>
      <c r="F28" s="162" t="s">
        <v>6</v>
      </c>
      <c r="G28" s="162" t="s">
        <v>101</v>
      </c>
      <c r="H28" s="162" t="s">
        <v>34</v>
      </c>
      <c r="I28" s="162" t="s">
        <v>113</v>
      </c>
      <c r="J28" s="162">
        <v>0.5</v>
      </c>
      <c r="K28" s="163">
        <v>0.5</v>
      </c>
      <c r="L28" s="162" t="s">
        <v>114</v>
      </c>
      <c r="M28" s="162">
        <v>0</v>
      </c>
      <c r="N28" s="162">
        <v>0.9</v>
      </c>
      <c r="O28" s="164">
        <v>0.8</v>
      </c>
      <c r="P28" s="165">
        <f>AVERAGE(P8,P12,P16,P20,P24)</f>
        <v>10</v>
      </c>
      <c r="Q28" s="165">
        <f>AVERAGE(Q8,Q12,Q16,Q20,Q24)</f>
        <v>3873.4092000000005</v>
      </c>
      <c r="R28" s="166">
        <f>AVERAGE(R8,R12,R16,R20,R24)</f>
        <v>2.247515108</v>
      </c>
      <c r="S28" s="167">
        <f>S8+S12+S16+S20+S24</f>
        <v>0</v>
      </c>
      <c r="T28" s="109">
        <f t="shared" si="0"/>
        <v>0</v>
      </c>
      <c r="U28" s="109">
        <f t="shared" si="1"/>
        <v>0</v>
      </c>
      <c r="V28" s="165">
        <f>AVERAGE(V8,V12,V16,V20,V24)</f>
        <v>0</v>
      </c>
      <c r="W28" s="168">
        <f>AVERAGE(W8,W12,W16,W20,W24)</f>
        <v>0.09</v>
      </c>
      <c r="Y28" s="164">
        <f>AVERAGE(Y8,Y12,Y16,Y20,Y24)</f>
        <v>0.89442719099991597</v>
      </c>
      <c r="Z28" s="164">
        <f>AVERAGE(Z8,Z12,Z16,Z20,Z24)</f>
        <v>0.89442719099991597</v>
      </c>
      <c r="AA28" s="164">
        <f t="shared" ref="AA28:AC28" si="5">AVERAGE(AA8,AA12,AA16,AA20,AA24)</f>
        <v>10</v>
      </c>
      <c r="AB28" s="164">
        <f t="shared" si="5"/>
        <v>0.15582008990903373</v>
      </c>
      <c r="AC28" s="164">
        <f t="shared" si="5"/>
        <v>14.423782641327429</v>
      </c>
    </row>
    <row r="29" spans="2:29" s="162" customFormat="1" x14ac:dyDescent="0.25">
      <c r="B29" s="162" t="s">
        <v>115</v>
      </c>
      <c r="C29" s="162" t="s">
        <v>82</v>
      </c>
      <c r="D29" s="162" t="s">
        <v>391</v>
      </c>
      <c r="E29" s="162" t="s">
        <v>393</v>
      </c>
      <c r="F29" s="162" t="s">
        <v>6</v>
      </c>
      <c r="G29" s="162" t="s">
        <v>101</v>
      </c>
      <c r="H29" s="162" t="s">
        <v>34</v>
      </c>
      <c r="I29" s="162" t="s">
        <v>113</v>
      </c>
      <c r="J29" s="162">
        <v>0.25</v>
      </c>
      <c r="K29" s="163">
        <v>0.25</v>
      </c>
      <c r="L29" s="162" t="s">
        <v>114</v>
      </c>
      <c r="M29" s="162">
        <v>0</v>
      </c>
      <c r="N29" s="162">
        <v>0.9</v>
      </c>
      <c r="O29" s="164">
        <v>0.8</v>
      </c>
      <c r="P29" s="165">
        <f t="shared" ref="P29:R31" si="6">AVERAGE(P9,P13,P17,P21,P25)</f>
        <v>10</v>
      </c>
      <c r="Q29" s="165">
        <f t="shared" si="6"/>
        <v>3873.4092000000005</v>
      </c>
      <c r="R29" s="166">
        <f t="shared" si="6"/>
        <v>1.9123593459999999</v>
      </c>
      <c r="S29" s="167">
        <f>S9+S13+S17+S21+S25</f>
        <v>0</v>
      </c>
      <c r="T29" s="109">
        <f t="shared" si="0"/>
        <v>0</v>
      </c>
      <c r="U29" s="109">
        <f t="shared" si="1"/>
        <v>0</v>
      </c>
      <c r="V29" s="165">
        <f t="shared" ref="V29:W29" si="7">AVERAGE(V9,V13,V17,V21,V25)</f>
        <v>0</v>
      </c>
      <c r="W29" s="168">
        <f t="shared" si="7"/>
        <v>0.09</v>
      </c>
      <c r="Y29" s="164">
        <f t="shared" ref="Y29:Z29" si="8">AVERAGE(Y9,Y13,Y17,Y21,Y25)</f>
        <v>0.89442719099991597</v>
      </c>
      <c r="Z29" s="164">
        <f t="shared" si="8"/>
        <v>0.89442719099991597</v>
      </c>
      <c r="AA29" s="164">
        <f t="shared" ref="AA29:AC29" si="9">AVERAGE(AA9,AA13,AA17,AA21,AA25)</f>
        <v>10</v>
      </c>
      <c r="AB29" s="164">
        <f t="shared" si="9"/>
        <v>0.15582008990903373</v>
      </c>
      <c r="AC29" s="164">
        <f t="shared" si="9"/>
        <v>12.27286768424031</v>
      </c>
    </row>
    <row r="30" spans="2:29" s="162" customFormat="1" x14ac:dyDescent="0.25">
      <c r="B30" s="162" t="s">
        <v>116</v>
      </c>
      <c r="C30" s="162" t="s">
        <v>82</v>
      </c>
      <c r="D30" s="162" t="s">
        <v>391</v>
      </c>
      <c r="E30" s="162" t="s">
        <v>394</v>
      </c>
      <c r="F30" s="162" t="s">
        <v>6</v>
      </c>
      <c r="G30" s="162" t="s">
        <v>101</v>
      </c>
      <c r="H30" s="162" t="s">
        <v>34</v>
      </c>
      <c r="I30" s="162" t="s">
        <v>113</v>
      </c>
      <c r="J30" s="162">
        <v>0.16666700000000001</v>
      </c>
      <c r="K30" s="163">
        <v>0.16666700000000001</v>
      </c>
      <c r="L30" s="162" t="s">
        <v>114</v>
      </c>
      <c r="M30" s="162">
        <v>0</v>
      </c>
      <c r="N30" s="162">
        <v>0.9</v>
      </c>
      <c r="O30" s="164">
        <v>0.8</v>
      </c>
      <c r="P30" s="165">
        <f t="shared" si="6"/>
        <v>10</v>
      </c>
      <c r="Q30" s="165">
        <f t="shared" si="6"/>
        <v>3873.4092000000005</v>
      </c>
      <c r="R30" s="166">
        <f t="shared" si="6"/>
        <v>1.8006407589999998</v>
      </c>
      <c r="S30" s="167">
        <f>S10+S14+S18+S22+S26</f>
        <v>0</v>
      </c>
      <c r="T30" s="109">
        <f t="shared" si="0"/>
        <v>0</v>
      </c>
      <c r="U30" s="109">
        <f t="shared" si="1"/>
        <v>0</v>
      </c>
      <c r="V30" s="165">
        <f t="shared" ref="V30:W30" si="10">AVERAGE(V10,V14,V18,V22,V26)</f>
        <v>0</v>
      </c>
      <c r="W30" s="168">
        <f t="shared" si="10"/>
        <v>0.09</v>
      </c>
      <c r="Y30" s="164">
        <f t="shared" ref="Y30:Z30" si="11">AVERAGE(Y10,Y14,Y18,Y22,Y26)</f>
        <v>0.89442719099991597</v>
      </c>
      <c r="Z30" s="164">
        <f t="shared" si="11"/>
        <v>0.89442719099991597</v>
      </c>
      <c r="AA30" s="164">
        <f t="shared" ref="AA30:AC30" si="12">AVERAGE(AA10,AA14,AA18,AA22,AA26)</f>
        <v>10</v>
      </c>
      <c r="AB30" s="164">
        <f t="shared" si="12"/>
        <v>0.15582008990903373</v>
      </c>
      <c r="AC30" s="164">
        <f t="shared" si="12"/>
        <v>11.555896034017159</v>
      </c>
    </row>
    <row r="31" spans="2:29" s="153" customFormat="1" x14ac:dyDescent="0.25">
      <c r="B31" s="153" t="s">
        <v>117</v>
      </c>
      <c r="C31" s="153" t="s">
        <v>82</v>
      </c>
      <c r="D31" s="153" t="s">
        <v>391</v>
      </c>
      <c r="E31" s="153" t="s">
        <v>423</v>
      </c>
      <c r="F31" s="153" t="s">
        <v>6</v>
      </c>
      <c r="G31" s="153" t="s">
        <v>101</v>
      </c>
      <c r="H31" s="153" t="s">
        <v>34</v>
      </c>
      <c r="I31" s="153" t="s">
        <v>113</v>
      </c>
      <c r="J31" s="153">
        <v>0.16666666699999999</v>
      </c>
      <c r="K31" s="169">
        <v>0.16666666699999999</v>
      </c>
      <c r="L31" s="153" t="s">
        <v>114</v>
      </c>
      <c r="M31" s="153">
        <v>0</v>
      </c>
      <c r="N31" s="153">
        <v>0.9</v>
      </c>
      <c r="O31" s="170">
        <v>0.75</v>
      </c>
      <c r="P31" s="171">
        <f t="shared" si="6"/>
        <v>20</v>
      </c>
      <c r="Q31" s="171">
        <f t="shared" si="6"/>
        <v>50000</v>
      </c>
      <c r="R31" s="172">
        <f t="shared" si="6"/>
        <v>1.9001303219999996</v>
      </c>
      <c r="S31" s="173">
        <f>S11+S15+S19+S23+S27</f>
        <v>28473.599999999999</v>
      </c>
      <c r="T31" s="141">
        <f t="shared" si="0"/>
        <v>28473.599999999999</v>
      </c>
      <c r="U31" s="141">
        <f t="shared" si="1"/>
        <v>28473.599999999999</v>
      </c>
      <c r="V31" s="171">
        <f t="shared" ref="V31:W31" si="13">AVERAGE(V11,V15,V19,V23,V27)</f>
        <v>0</v>
      </c>
      <c r="W31" s="174">
        <f t="shared" si="13"/>
        <v>0.09</v>
      </c>
      <c r="Y31" s="170">
        <f t="shared" ref="Y31:Z31" si="14">AVERAGE(Y11,Y15,Y19,Y23,Y27)</f>
        <v>0.8660254037844386</v>
      </c>
      <c r="Z31" s="170">
        <f t="shared" si="14"/>
        <v>0.8660254037844386</v>
      </c>
      <c r="AA31" s="170">
        <f t="shared" ref="AA31:AC31" si="15">AVERAGE(AA11,AA15,AA19,AA23,AA27)</f>
        <v>20</v>
      </c>
      <c r="AB31" s="170">
        <f t="shared" si="15"/>
        <v>0.1095464750082292</v>
      </c>
      <c r="AC31" s="170">
        <f t="shared" si="15"/>
        <v>17.345426421591938</v>
      </c>
    </row>
    <row r="38" spans="8:8" x14ac:dyDescent="0.25">
      <c r="H38" s="1"/>
    </row>
    <row r="39" spans="8:8" x14ac:dyDescent="0.25">
      <c r="H39" s="1"/>
    </row>
    <row r="40" spans="8:8" x14ac:dyDescent="0.25">
      <c r="H40" s="1"/>
    </row>
    <row r="41" spans="8:8" x14ac:dyDescent="0.25">
      <c r="H41" s="1"/>
    </row>
    <row r="42" spans="8:8" x14ac:dyDescent="0.25">
      <c r="H42" s="1"/>
    </row>
    <row r="43" spans="8:8" x14ac:dyDescent="0.25">
      <c r="H43" s="1"/>
    </row>
    <row r="44" spans="8:8" x14ac:dyDescent="0.25">
      <c r="H44" s="1"/>
    </row>
    <row r="45" spans="8:8" x14ac:dyDescent="0.25">
      <c r="H45" s="1"/>
    </row>
    <row r="46" spans="8:8" x14ac:dyDescent="0.25">
      <c r="H46" s="1"/>
    </row>
    <row r="47" spans="8:8" x14ac:dyDescent="0.25">
      <c r="H47" s="1"/>
    </row>
    <row r="48" spans="8:8" x14ac:dyDescent="0.25">
      <c r="H48" s="1"/>
    </row>
    <row r="49" spans="8:8" x14ac:dyDescent="0.25">
      <c r="H49" s="1"/>
    </row>
    <row r="50" spans="8:8" x14ac:dyDescent="0.25">
      <c r="H50" s="1"/>
    </row>
    <row r="51" spans="8:8" x14ac:dyDescent="0.25">
      <c r="H51" s="1"/>
    </row>
    <row r="52" spans="8:8" x14ac:dyDescent="0.25">
      <c r="H52" s="1"/>
    </row>
    <row r="53" spans="8:8" x14ac:dyDescent="0.25">
      <c r="H53" s="1"/>
    </row>
    <row r="54" spans="8:8" x14ac:dyDescent="0.25">
      <c r="H54" s="1"/>
    </row>
    <row r="55" spans="8:8" x14ac:dyDescent="0.25">
      <c r="H55" s="1"/>
    </row>
    <row r="56" spans="8:8" x14ac:dyDescent="0.25">
      <c r="H56" s="1"/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6D537-D993-46A2-B113-1A1B0FBDE047}">
  <dimension ref="A1:AC56"/>
  <sheetViews>
    <sheetView workbookViewId="0">
      <pane xSplit="3" ySplit="7" topLeftCell="J8" activePane="bottomRight" state="frozen"/>
      <selection pane="topRight" activeCell="C1" sqref="C1"/>
      <selection pane="bottomLeft" activeCell="A7" sqref="A7"/>
      <selection pane="bottomRight" activeCell="Q15" sqref="Q15"/>
    </sheetView>
  </sheetViews>
  <sheetFormatPr defaultRowHeight="15" x14ac:dyDescent="0.25"/>
  <cols>
    <col min="2" max="2" width="16.5703125" bestFit="1" customWidth="1"/>
    <col min="3" max="3" width="6" customWidth="1"/>
    <col min="4" max="4" width="13.85546875" bestFit="1" customWidth="1"/>
    <col min="5" max="5" width="14.85546875" bestFit="1" customWidth="1"/>
    <col min="6" max="6" width="16" bestFit="1" customWidth="1"/>
    <col min="7" max="7" width="12.140625" bestFit="1" customWidth="1"/>
    <col min="8" max="8" width="13.42578125" customWidth="1"/>
    <col min="9" max="9" width="11.42578125" bestFit="1" customWidth="1"/>
    <col min="10" max="10" width="11.42578125" customWidth="1"/>
    <col min="11" max="11" width="8.28515625" bestFit="1" customWidth="1"/>
    <col min="12" max="12" width="8.140625" customWidth="1"/>
    <col min="13" max="13" width="11.42578125" customWidth="1"/>
    <col min="14" max="14" width="13.85546875" customWidth="1"/>
    <col min="15" max="15" width="9.28515625" bestFit="1" customWidth="1"/>
    <col min="16" max="16" width="8.5703125" bestFit="1" customWidth="1"/>
    <col min="17" max="17" width="8.5703125" customWidth="1"/>
    <col min="18" max="18" width="18.140625" customWidth="1"/>
    <col min="19" max="19" width="14.7109375" customWidth="1"/>
    <col min="20" max="20" width="12" customWidth="1"/>
    <col min="21" max="21" width="13.42578125" customWidth="1"/>
    <col min="24" max="24" width="10.140625" style="134" customWidth="1"/>
    <col min="25" max="25" width="12.85546875" style="161" customWidth="1"/>
    <col min="26" max="26" width="12.140625" style="161" customWidth="1"/>
    <col min="27" max="27" width="11.5703125" customWidth="1"/>
    <col min="29" max="29" width="9.5703125" bestFit="1" customWidth="1"/>
  </cols>
  <sheetData>
    <row r="1" spans="1:29" s="7" customFormat="1" x14ac:dyDescent="0.25">
      <c r="A1" s="7" t="s">
        <v>204</v>
      </c>
      <c r="G1" s="154" t="s">
        <v>237</v>
      </c>
      <c r="H1" s="7" t="s">
        <v>404</v>
      </c>
      <c r="I1" s="7" t="s">
        <v>404</v>
      </c>
      <c r="J1" s="7" t="s">
        <v>404</v>
      </c>
      <c r="K1" s="7" t="s">
        <v>404</v>
      </c>
      <c r="L1" s="7" t="s">
        <v>404</v>
      </c>
      <c r="M1" s="7" t="s">
        <v>406</v>
      </c>
      <c r="N1" s="7" t="s">
        <v>406</v>
      </c>
      <c r="O1" s="7" t="s">
        <v>408</v>
      </c>
      <c r="P1" s="7" t="s">
        <v>413</v>
      </c>
      <c r="Q1" s="7" t="s">
        <v>413</v>
      </c>
      <c r="R1" s="7" t="s">
        <v>408</v>
      </c>
      <c r="S1" s="7" t="s">
        <v>414</v>
      </c>
      <c r="T1" s="7" t="s">
        <v>416</v>
      </c>
      <c r="U1" s="7" t="s">
        <v>416</v>
      </c>
      <c r="V1" s="7" t="s">
        <v>415</v>
      </c>
      <c r="W1" s="7" t="s">
        <v>415</v>
      </c>
      <c r="X1" s="130"/>
      <c r="Y1" s="156"/>
      <c r="Z1" s="156"/>
    </row>
    <row r="2" spans="1:29" s="119" customFormat="1" x14ac:dyDescent="0.25">
      <c r="A2" s="119" t="s">
        <v>282</v>
      </c>
      <c r="B2" s="119" t="s">
        <v>0</v>
      </c>
      <c r="C2" s="119" t="s">
        <v>2</v>
      </c>
      <c r="F2" s="119" t="s">
        <v>1</v>
      </c>
      <c r="G2" s="119" t="s">
        <v>29</v>
      </c>
      <c r="H2" s="119" t="s">
        <v>107</v>
      </c>
      <c r="I2" s="119" t="s">
        <v>108</v>
      </c>
      <c r="J2" s="119" t="s">
        <v>109</v>
      </c>
      <c r="K2" s="119" t="s">
        <v>110</v>
      </c>
      <c r="L2" s="119" t="s">
        <v>111</v>
      </c>
      <c r="M2" s="119" t="s">
        <v>118</v>
      </c>
      <c r="N2" s="119" t="s">
        <v>119</v>
      </c>
      <c r="O2" s="119" t="s">
        <v>120</v>
      </c>
      <c r="P2" s="119" t="s">
        <v>124</v>
      </c>
      <c r="Q2" s="119" t="s">
        <v>125</v>
      </c>
      <c r="R2" s="119" t="s">
        <v>289</v>
      </c>
      <c r="S2" s="119" t="s">
        <v>121</v>
      </c>
      <c r="T2" s="119" t="s">
        <v>294</v>
      </c>
      <c r="U2" s="119" t="s">
        <v>295</v>
      </c>
      <c r="X2" s="131"/>
      <c r="Y2" s="157"/>
      <c r="Z2" s="157"/>
    </row>
    <row r="3" spans="1:29" s="7" customFormat="1" x14ac:dyDescent="0.25">
      <c r="A3" s="7" t="s">
        <v>83</v>
      </c>
      <c r="J3" s="7" t="s">
        <v>84</v>
      </c>
      <c r="K3" s="7" t="s">
        <v>85</v>
      </c>
      <c r="M3" s="7" t="s">
        <v>405</v>
      </c>
      <c r="N3" s="7" t="s">
        <v>373</v>
      </c>
      <c r="O3" s="7" t="s">
        <v>417</v>
      </c>
      <c r="P3" s="7" t="s">
        <v>418</v>
      </c>
      <c r="Q3" s="7" t="s">
        <v>412</v>
      </c>
      <c r="R3" s="7" t="s">
        <v>91</v>
      </c>
      <c r="S3" s="7" t="s">
        <v>205</v>
      </c>
      <c r="T3" s="7" t="s">
        <v>92</v>
      </c>
      <c r="U3" s="7" t="s">
        <v>103</v>
      </c>
      <c r="V3" s="7" t="s">
        <v>206</v>
      </c>
      <c r="W3" s="7" t="s">
        <v>104</v>
      </c>
      <c r="X3" s="130"/>
      <c r="Y3" s="156" t="s">
        <v>93</v>
      </c>
      <c r="Z3" s="156" t="s">
        <v>94</v>
      </c>
      <c r="AA3" s="7" t="s">
        <v>96</v>
      </c>
      <c r="AB3" s="7" t="s">
        <v>97</v>
      </c>
      <c r="AC3" s="7" t="s">
        <v>345</v>
      </c>
    </row>
    <row r="4" spans="1:29" s="7" customFormat="1" x14ac:dyDescent="0.25">
      <c r="A4" s="7" t="s">
        <v>213</v>
      </c>
      <c r="C4" s="7" t="s">
        <v>215</v>
      </c>
      <c r="G4" s="7" t="s">
        <v>286</v>
      </c>
      <c r="H4" s="7" t="s">
        <v>214</v>
      </c>
      <c r="O4" s="7" t="s">
        <v>407</v>
      </c>
      <c r="P4" s="7" t="s">
        <v>409</v>
      </c>
      <c r="Q4" s="7" t="s">
        <v>410</v>
      </c>
      <c r="R4" s="7" t="s">
        <v>218</v>
      </c>
      <c r="S4" s="7" t="s">
        <v>220</v>
      </c>
      <c r="T4" s="7" t="s">
        <v>221</v>
      </c>
      <c r="U4" s="7" t="s">
        <v>222</v>
      </c>
      <c r="V4" s="7" t="s">
        <v>340</v>
      </c>
      <c r="W4" s="7" t="s">
        <v>348</v>
      </c>
      <c r="X4" s="130"/>
      <c r="Y4" s="156"/>
      <c r="Z4" s="156"/>
      <c r="AA4" s="7" t="s">
        <v>344</v>
      </c>
      <c r="AB4" s="7" t="s">
        <v>202</v>
      </c>
    </row>
    <row r="5" spans="1:29" s="7" customFormat="1" x14ac:dyDescent="0.25">
      <c r="A5" s="7" t="s">
        <v>283</v>
      </c>
      <c r="G5" s="7" t="s">
        <v>212</v>
      </c>
      <c r="H5" s="7" t="s">
        <v>102</v>
      </c>
      <c r="J5" s="7" t="s">
        <v>102</v>
      </c>
      <c r="K5" s="7" t="s">
        <v>102</v>
      </c>
      <c r="M5" s="7" t="s">
        <v>102</v>
      </c>
      <c r="N5" s="7" t="s">
        <v>102</v>
      </c>
      <c r="O5" s="7" t="s">
        <v>102</v>
      </c>
      <c r="P5" s="7" t="s">
        <v>102</v>
      </c>
      <c r="Q5" s="7" t="s">
        <v>102</v>
      </c>
      <c r="R5" s="7" t="s">
        <v>223</v>
      </c>
      <c r="S5" s="7" t="s">
        <v>367</v>
      </c>
      <c r="T5" s="7" t="s">
        <v>367</v>
      </c>
      <c r="U5" s="7" t="s">
        <v>367</v>
      </c>
      <c r="W5" s="7" t="s">
        <v>347</v>
      </c>
      <c r="X5" s="130"/>
      <c r="Y5" s="156" t="s">
        <v>422</v>
      </c>
      <c r="Z5" s="156" t="s">
        <v>422</v>
      </c>
      <c r="AA5" s="7" t="s">
        <v>343</v>
      </c>
      <c r="AB5" s="7" t="s">
        <v>362</v>
      </c>
      <c r="AC5" s="7" t="s">
        <v>356</v>
      </c>
    </row>
    <row r="6" spans="1:29" s="4" customFormat="1" ht="15.75" thickBot="1" x14ac:dyDescent="0.3">
      <c r="A6" s="4" t="s">
        <v>284</v>
      </c>
      <c r="C6" s="4" t="s">
        <v>285</v>
      </c>
      <c r="D6" s="4" t="s">
        <v>298</v>
      </c>
      <c r="E6" s="4" t="s">
        <v>300</v>
      </c>
      <c r="F6" s="120"/>
      <c r="G6" s="120"/>
      <c r="J6" s="4" t="s">
        <v>421</v>
      </c>
      <c r="P6" s="4" t="s">
        <v>219</v>
      </c>
      <c r="R6" s="4" t="s">
        <v>288</v>
      </c>
      <c r="T6" s="4" t="s">
        <v>355</v>
      </c>
      <c r="U6" s="4" t="s">
        <v>297</v>
      </c>
      <c r="W6" s="4" t="s">
        <v>201</v>
      </c>
      <c r="X6" s="132"/>
      <c r="Y6" s="158" t="s">
        <v>419</v>
      </c>
      <c r="Z6" s="158" t="s">
        <v>420</v>
      </c>
      <c r="AA6" s="4" t="s">
        <v>342</v>
      </c>
      <c r="AC6" s="4" t="s">
        <v>351</v>
      </c>
    </row>
    <row r="7" spans="1:29" s="4" customFormat="1" ht="16.5" thickTop="1" thickBot="1" x14ac:dyDescent="0.3">
      <c r="A7" s="4" t="s">
        <v>98</v>
      </c>
      <c r="J7" s="4" t="s">
        <v>99</v>
      </c>
      <c r="K7" s="4" t="s">
        <v>99</v>
      </c>
      <c r="M7" s="4" t="s">
        <v>99</v>
      </c>
      <c r="N7" s="4" t="s">
        <v>354</v>
      </c>
      <c r="O7" s="4" t="s">
        <v>99</v>
      </c>
      <c r="P7" s="4" t="s">
        <v>100</v>
      </c>
      <c r="Q7" s="4" t="s">
        <v>411</v>
      </c>
      <c r="R7" s="4" t="s">
        <v>269</v>
      </c>
      <c r="S7" s="4" t="s">
        <v>179</v>
      </c>
      <c r="T7" s="4" t="s">
        <v>179</v>
      </c>
      <c r="U7" s="4" t="s">
        <v>179</v>
      </c>
      <c r="V7" s="4" t="s">
        <v>336</v>
      </c>
      <c r="W7" s="4" t="s">
        <v>99</v>
      </c>
      <c r="X7" s="132"/>
      <c r="Y7" s="158" t="s">
        <v>99</v>
      </c>
      <c r="Z7" s="158" t="s">
        <v>99</v>
      </c>
      <c r="AA7" s="4" t="s">
        <v>100</v>
      </c>
      <c r="AC7" s="4" t="s">
        <v>352</v>
      </c>
    </row>
    <row r="8" spans="1:29" ht="15.75" thickTop="1" x14ac:dyDescent="0.25">
      <c r="B8" t="s">
        <v>112</v>
      </c>
      <c r="C8" t="s">
        <v>12</v>
      </c>
      <c r="D8" t="s">
        <v>391</v>
      </c>
      <c r="E8" t="s">
        <v>392</v>
      </c>
      <c r="F8" t="s">
        <v>6</v>
      </c>
      <c r="G8" t="s">
        <v>101</v>
      </c>
      <c r="H8" t="s">
        <v>34</v>
      </c>
      <c r="I8" t="s">
        <v>113</v>
      </c>
      <c r="J8">
        <v>0.5</v>
      </c>
      <c r="K8" s="5">
        <v>0.5</v>
      </c>
      <c r="L8" t="s">
        <v>114</v>
      </c>
      <c r="M8">
        <v>0</v>
      </c>
      <c r="N8">
        <v>0.9</v>
      </c>
      <c r="O8" s="1">
        <v>0.8</v>
      </c>
      <c r="P8">
        <v>10</v>
      </c>
      <c r="Q8" s="177">
        <f>Capacity!D94</f>
        <v>3873.4092000000001</v>
      </c>
      <c r="R8" s="179">
        <f>Capacity!$D$103/1000</f>
        <v>2.247515108</v>
      </c>
      <c r="S8" s="108">
        <v>0</v>
      </c>
      <c r="T8" s="109">
        <f>Capacity!C183*1000</f>
        <v>0</v>
      </c>
      <c r="U8" s="191">
        <f>Capacity!W183*1000</f>
        <v>89.882384000000002</v>
      </c>
      <c r="V8" s="102">
        <v>0</v>
      </c>
      <c r="W8">
        <v>0.09</v>
      </c>
      <c r="X8" s="133"/>
      <c r="Y8" s="159">
        <f>SQRT(O8)</f>
        <v>0.89442719099991586</v>
      </c>
      <c r="Z8" s="159">
        <f>Y8</f>
        <v>0.89442719099991586</v>
      </c>
      <c r="AA8">
        <f>P8</f>
        <v>10</v>
      </c>
      <c r="AB8" s="5">
        <f>W8/(1-(1+W8)^(-AA8))</f>
        <v>0.15582008990903373</v>
      </c>
      <c r="AC8" s="107">
        <f>R8/AB8</f>
        <v>14.423782641327429</v>
      </c>
    </row>
    <row r="9" spans="1:29" x14ac:dyDescent="0.25">
      <c r="B9" t="s">
        <v>115</v>
      </c>
      <c r="C9" t="s">
        <v>12</v>
      </c>
      <c r="D9" t="s">
        <v>391</v>
      </c>
      <c r="E9" t="s">
        <v>393</v>
      </c>
      <c r="F9" t="s">
        <v>6</v>
      </c>
      <c r="G9" t="s">
        <v>101</v>
      </c>
      <c r="H9" t="s">
        <v>34</v>
      </c>
      <c r="I9" t="s">
        <v>113</v>
      </c>
      <c r="J9">
        <v>0.25</v>
      </c>
      <c r="K9" s="5">
        <v>0.25</v>
      </c>
      <c r="L9" t="s">
        <v>114</v>
      </c>
      <c r="M9">
        <v>0</v>
      </c>
      <c r="N9">
        <v>0.9</v>
      </c>
      <c r="O9" s="1">
        <v>0.8</v>
      </c>
      <c r="P9">
        <v>10</v>
      </c>
      <c r="Q9" s="177">
        <f>Capacity!D95</f>
        <v>3873.4092000000001</v>
      </c>
      <c r="R9" s="179">
        <f>Capacity!$D$123/1000</f>
        <v>1.9123593459999999</v>
      </c>
      <c r="S9" s="108">
        <v>0</v>
      </c>
      <c r="T9" s="109">
        <f>Capacity!C184*1000</f>
        <v>0</v>
      </c>
      <c r="U9" s="191">
        <f>Capacity!W184*1000</f>
        <v>179.76477000000003</v>
      </c>
      <c r="V9" s="102">
        <v>0</v>
      </c>
      <c r="W9">
        <v>0.09</v>
      </c>
      <c r="Y9" s="159">
        <f t="shared" ref="Y9:Y27" si="0">SQRT(O9)</f>
        <v>0.89442719099991586</v>
      </c>
      <c r="Z9" s="159">
        <f t="shared" ref="Z9:Z27" si="1">Y9</f>
        <v>0.89442719099991586</v>
      </c>
      <c r="AA9">
        <f t="shared" ref="AA9:AA27" si="2">P9</f>
        <v>10</v>
      </c>
      <c r="AB9" s="5">
        <f>W9/(1-(1+W9)^-AA9)</f>
        <v>0.15582008990903373</v>
      </c>
      <c r="AC9" s="107">
        <f>R9/AB9</f>
        <v>12.27286768424031</v>
      </c>
    </row>
    <row r="10" spans="1:29" x14ac:dyDescent="0.25">
      <c r="B10" t="s">
        <v>116</v>
      </c>
      <c r="C10" t="s">
        <v>12</v>
      </c>
      <c r="D10" t="s">
        <v>391</v>
      </c>
      <c r="E10" t="s">
        <v>394</v>
      </c>
      <c r="F10" t="s">
        <v>6</v>
      </c>
      <c r="G10" t="s">
        <v>101</v>
      </c>
      <c r="H10" t="s">
        <v>34</v>
      </c>
      <c r="I10" t="s">
        <v>113</v>
      </c>
      <c r="J10">
        <v>0.16666700000000001</v>
      </c>
      <c r="K10" s="5">
        <v>0.16666700000000001</v>
      </c>
      <c r="L10" t="s">
        <v>114</v>
      </c>
      <c r="M10">
        <v>0</v>
      </c>
      <c r="N10">
        <v>0.9</v>
      </c>
      <c r="O10" s="1">
        <v>0.8</v>
      </c>
      <c r="P10">
        <v>10</v>
      </c>
      <c r="Q10" s="177">
        <f>Capacity!D96</f>
        <v>3873.4092000000001</v>
      </c>
      <c r="R10" s="179">
        <f>Capacity!$D$143/1000</f>
        <v>1.800640759</v>
      </c>
      <c r="S10" s="108">
        <v>0</v>
      </c>
      <c r="T10" s="109">
        <f>Capacity!C185*1000</f>
        <v>0</v>
      </c>
      <c r="U10" s="191">
        <f>Capacity!W185*1000</f>
        <v>269.64715299999995</v>
      </c>
      <c r="V10" s="102">
        <v>0</v>
      </c>
      <c r="W10">
        <v>0.09</v>
      </c>
      <c r="Y10" s="159">
        <f t="shared" si="0"/>
        <v>0.89442719099991586</v>
      </c>
      <c r="Z10" s="159">
        <f t="shared" si="1"/>
        <v>0.89442719099991586</v>
      </c>
      <c r="AA10">
        <f t="shared" si="2"/>
        <v>10</v>
      </c>
      <c r="AB10" s="5">
        <f>W10/(1-(1+W10)^-AA10)</f>
        <v>0.15582008990903373</v>
      </c>
      <c r="AC10" s="107">
        <f>R10/AB10</f>
        <v>11.555896034017159</v>
      </c>
    </row>
    <row r="11" spans="1:29" s="116" customFormat="1" x14ac:dyDescent="0.25">
      <c r="B11" s="116" t="s">
        <v>117</v>
      </c>
      <c r="C11" s="116" t="s">
        <v>12</v>
      </c>
      <c r="D11" s="116" t="s">
        <v>391</v>
      </c>
      <c r="E11" s="116" t="s">
        <v>423</v>
      </c>
      <c r="F11" s="116" t="s">
        <v>6</v>
      </c>
      <c r="G11" s="116" t="s">
        <v>101</v>
      </c>
      <c r="H11" s="116" t="s">
        <v>34</v>
      </c>
      <c r="I11" s="116" t="s">
        <v>113</v>
      </c>
      <c r="J11" s="116">
        <v>0.16666666699999999</v>
      </c>
      <c r="K11" s="136">
        <v>0.16666666699999999</v>
      </c>
      <c r="L11" s="116" t="s">
        <v>114</v>
      </c>
      <c r="M11" s="116">
        <v>0</v>
      </c>
      <c r="N11" s="116">
        <v>0.9</v>
      </c>
      <c r="O11" s="139">
        <v>0.75</v>
      </c>
      <c r="P11" s="116">
        <v>40</v>
      </c>
      <c r="Q11" s="178">
        <f>Capacity!D97</f>
        <v>50000</v>
      </c>
      <c r="R11" s="180">
        <f>Capacity!$D$163/1000</f>
        <v>1.9001303219999999</v>
      </c>
      <c r="S11" s="140">
        <f>Capacity!D85*1000</f>
        <v>0</v>
      </c>
      <c r="T11" s="141">
        <f>Capacity!C186*1000</f>
        <v>0</v>
      </c>
      <c r="U11" s="192">
        <f>Capacity!W186*1000</f>
        <v>0</v>
      </c>
      <c r="V11" s="155">
        <v>0</v>
      </c>
      <c r="W11" s="116">
        <v>0.09</v>
      </c>
      <c r="X11" s="143"/>
      <c r="Y11" s="160">
        <f t="shared" si="0"/>
        <v>0.8660254037844386</v>
      </c>
      <c r="Z11" s="160">
        <f t="shared" si="1"/>
        <v>0.8660254037844386</v>
      </c>
      <c r="AA11" s="116">
        <f t="shared" si="2"/>
        <v>40</v>
      </c>
      <c r="AB11" s="136">
        <f>W11/(1-(1+W11)^-AA11)</f>
        <v>9.2959609221097042E-2</v>
      </c>
      <c r="AC11" s="145">
        <f>R11/AB11</f>
        <v>20.440386291649428</v>
      </c>
    </row>
    <row r="12" spans="1:29" x14ac:dyDescent="0.25">
      <c r="B12" t="s">
        <v>112</v>
      </c>
      <c r="C12" t="s">
        <v>9</v>
      </c>
      <c r="D12" t="s">
        <v>391</v>
      </c>
      <c r="E12" t="s">
        <v>392</v>
      </c>
      <c r="F12" t="s">
        <v>6</v>
      </c>
      <c r="G12" t="s">
        <v>101</v>
      </c>
      <c r="H12" t="s">
        <v>34</v>
      </c>
      <c r="I12" t="s">
        <v>113</v>
      </c>
      <c r="J12">
        <v>0.5</v>
      </c>
      <c r="K12" s="5">
        <v>0.5</v>
      </c>
      <c r="L12" t="s">
        <v>114</v>
      </c>
      <c r="M12">
        <v>0</v>
      </c>
      <c r="N12">
        <v>0.9</v>
      </c>
      <c r="O12" s="1">
        <v>0.8</v>
      </c>
      <c r="P12">
        <v>10</v>
      </c>
      <c r="Q12" s="175">
        <f>$Q$8</f>
        <v>3873.4092000000001</v>
      </c>
      <c r="R12" s="181">
        <f>$R$8</f>
        <v>2.247515108</v>
      </c>
      <c r="S12" s="108">
        <v>0</v>
      </c>
      <c r="T12" s="109">
        <f>Capacity!C187*1000</f>
        <v>0</v>
      </c>
      <c r="U12" s="191">
        <f>Capacity!W187*1000</f>
        <v>15.332799000000001</v>
      </c>
      <c r="V12" s="102">
        <v>0</v>
      </c>
      <c r="W12">
        <v>0.09</v>
      </c>
      <c r="X12" s="133"/>
      <c r="Y12" s="159">
        <f t="shared" si="0"/>
        <v>0.89442719099991586</v>
      </c>
      <c r="Z12" s="159">
        <f t="shared" si="1"/>
        <v>0.89442719099991586</v>
      </c>
      <c r="AA12">
        <f t="shared" si="2"/>
        <v>10</v>
      </c>
      <c r="AB12" s="5">
        <f>W12/(1-(1+W12)^-AA12)</f>
        <v>0.15582008990903373</v>
      </c>
      <c r="AC12" s="107">
        <f>R12/AB12</f>
        <v>14.423782641327429</v>
      </c>
    </row>
    <row r="13" spans="1:29" x14ac:dyDescent="0.25">
      <c r="B13" t="s">
        <v>115</v>
      </c>
      <c r="C13" t="s">
        <v>9</v>
      </c>
      <c r="D13" t="s">
        <v>391</v>
      </c>
      <c r="E13" t="s">
        <v>393</v>
      </c>
      <c r="F13" t="s">
        <v>6</v>
      </c>
      <c r="G13" t="s">
        <v>101</v>
      </c>
      <c r="H13" t="s">
        <v>34</v>
      </c>
      <c r="I13" t="s">
        <v>113</v>
      </c>
      <c r="J13">
        <v>0.25</v>
      </c>
      <c r="K13" s="5">
        <v>0.25</v>
      </c>
      <c r="L13" t="s">
        <v>114</v>
      </c>
      <c r="M13">
        <v>0</v>
      </c>
      <c r="N13">
        <v>0.9</v>
      </c>
      <c r="O13" s="1">
        <v>0.8</v>
      </c>
      <c r="P13">
        <v>10</v>
      </c>
      <c r="Q13" s="175">
        <f>$Q$9</f>
        <v>3873.4092000000001</v>
      </c>
      <c r="R13" s="181">
        <f>$R$9</f>
        <v>1.9123593459999999</v>
      </c>
      <c r="S13" s="108">
        <v>0</v>
      </c>
      <c r="T13" s="109">
        <f>Capacity!C188*1000</f>
        <v>0</v>
      </c>
      <c r="U13" s="191">
        <f>Capacity!W188*1000</f>
        <v>30.665598000000003</v>
      </c>
      <c r="V13" s="102">
        <v>0</v>
      </c>
      <c r="W13">
        <v>0.09</v>
      </c>
      <c r="Y13" s="159">
        <f t="shared" si="0"/>
        <v>0.89442719099991586</v>
      </c>
      <c r="Z13" s="159">
        <f t="shared" si="1"/>
        <v>0.89442719099991586</v>
      </c>
      <c r="AA13">
        <f t="shared" si="2"/>
        <v>10</v>
      </c>
      <c r="AB13" s="5">
        <f>W13/(1-(1+W13)^-AA13)</f>
        <v>0.15582008990903373</v>
      </c>
      <c r="AC13" s="107">
        <f>R13/AB13</f>
        <v>12.27286768424031</v>
      </c>
    </row>
    <row r="14" spans="1:29" x14ac:dyDescent="0.25">
      <c r="B14" t="s">
        <v>116</v>
      </c>
      <c r="C14" t="s">
        <v>9</v>
      </c>
      <c r="D14" t="s">
        <v>391</v>
      </c>
      <c r="E14" t="s">
        <v>394</v>
      </c>
      <c r="F14" t="s">
        <v>6</v>
      </c>
      <c r="G14" t="s">
        <v>101</v>
      </c>
      <c r="H14" t="s">
        <v>34</v>
      </c>
      <c r="I14" t="s">
        <v>113</v>
      </c>
      <c r="J14">
        <v>0.16666700000000001</v>
      </c>
      <c r="K14" s="5">
        <v>0.16666700000000001</v>
      </c>
      <c r="L14" t="s">
        <v>114</v>
      </c>
      <c r="M14">
        <v>0</v>
      </c>
      <c r="N14">
        <v>0.9</v>
      </c>
      <c r="O14" s="1">
        <v>0.8</v>
      </c>
      <c r="P14">
        <v>10</v>
      </c>
      <c r="Q14" s="175">
        <f>$Q$10</f>
        <v>3873.4092000000001</v>
      </c>
      <c r="R14" s="181">
        <f>$R$10</f>
        <v>1.800640759</v>
      </c>
      <c r="S14" s="108">
        <v>0</v>
      </c>
      <c r="T14" s="109">
        <f>Capacity!C189*1000</f>
        <v>0</v>
      </c>
      <c r="U14" s="191">
        <f>Capacity!W189*1000</f>
        <v>45.998396</v>
      </c>
      <c r="V14" s="102">
        <v>0</v>
      </c>
      <c r="W14">
        <v>0.09</v>
      </c>
      <c r="Y14" s="159">
        <f t="shared" si="0"/>
        <v>0.89442719099991586</v>
      </c>
      <c r="Z14" s="159">
        <f t="shared" si="1"/>
        <v>0.89442719099991586</v>
      </c>
      <c r="AA14">
        <f t="shared" si="2"/>
        <v>10</v>
      </c>
      <c r="AB14" s="5">
        <f>W14/(1-(1+W14)^-AA14)</f>
        <v>0.15582008990903373</v>
      </c>
      <c r="AC14" s="107">
        <f>R14/AB14</f>
        <v>11.555896034017159</v>
      </c>
    </row>
    <row r="15" spans="1:29" s="116" customFormat="1" x14ac:dyDescent="0.25">
      <c r="B15" s="116" t="s">
        <v>117</v>
      </c>
      <c r="C15" s="116" t="s">
        <v>9</v>
      </c>
      <c r="D15" s="116" t="s">
        <v>391</v>
      </c>
      <c r="E15" s="116" t="s">
        <v>423</v>
      </c>
      <c r="F15" s="116" t="s">
        <v>6</v>
      </c>
      <c r="G15" s="116" t="s">
        <v>101</v>
      </c>
      <c r="H15" s="116" t="s">
        <v>34</v>
      </c>
      <c r="I15" s="116" t="s">
        <v>113</v>
      </c>
      <c r="J15" s="116">
        <v>0.16666666699999999</v>
      </c>
      <c r="K15" s="136">
        <v>0.16666666699999999</v>
      </c>
      <c r="L15" s="116" t="s">
        <v>114</v>
      </c>
      <c r="M15" s="116">
        <v>0</v>
      </c>
      <c r="N15" s="116">
        <v>0.9</v>
      </c>
      <c r="O15" s="139">
        <v>0.75</v>
      </c>
      <c r="P15" s="116">
        <v>40</v>
      </c>
      <c r="Q15" s="176">
        <f>$Q$11</f>
        <v>50000</v>
      </c>
      <c r="R15" s="182">
        <f>$R$11</f>
        <v>1.9001303219999999</v>
      </c>
      <c r="S15" s="140">
        <f>Capacity!D86*1000</f>
        <v>0</v>
      </c>
      <c r="T15" s="141">
        <f>Capacity!C190*1000</f>
        <v>0</v>
      </c>
      <c r="U15" s="192">
        <f>Capacity!W190*1000</f>
        <v>0</v>
      </c>
      <c r="V15" s="155">
        <v>0</v>
      </c>
      <c r="W15" s="116">
        <v>0.09</v>
      </c>
      <c r="X15" s="143"/>
      <c r="Y15" s="160">
        <f t="shared" si="0"/>
        <v>0.8660254037844386</v>
      </c>
      <c r="Z15" s="160">
        <f t="shared" si="1"/>
        <v>0.8660254037844386</v>
      </c>
      <c r="AA15" s="116">
        <f t="shared" si="2"/>
        <v>40</v>
      </c>
      <c r="AB15" s="136">
        <f>W15/(1-(1+W15)^-AA15)</f>
        <v>9.2959609221097042E-2</v>
      </c>
      <c r="AC15" s="145">
        <f>R15/AB15</f>
        <v>20.440386291649428</v>
      </c>
    </row>
    <row r="16" spans="1:29" x14ac:dyDescent="0.25">
      <c r="B16" t="s">
        <v>112</v>
      </c>
      <c r="C16" t="s">
        <v>10</v>
      </c>
      <c r="D16" t="s">
        <v>391</v>
      </c>
      <c r="E16" t="s">
        <v>392</v>
      </c>
      <c r="F16" t="s">
        <v>6</v>
      </c>
      <c r="G16" t="s">
        <v>101</v>
      </c>
      <c r="H16" t="s">
        <v>34</v>
      </c>
      <c r="I16" t="s">
        <v>113</v>
      </c>
      <c r="J16">
        <v>0.5</v>
      </c>
      <c r="K16" s="5">
        <v>0.5</v>
      </c>
      <c r="L16" t="s">
        <v>114</v>
      </c>
      <c r="M16">
        <v>0</v>
      </c>
      <c r="N16">
        <v>0.9</v>
      </c>
      <c r="O16" s="1">
        <v>0.8</v>
      </c>
      <c r="P16">
        <v>10</v>
      </c>
      <c r="Q16" s="175">
        <f>$Q$8</f>
        <v>3873.4092000000001</v>
      </c>
      <c r="R16" s="181">
        <f>$R$8</f>
        <v>2.247515108</v>
      </c>
      <c r="S16" s="108">
        <v>0</v>
      </c>
      <c r="T16" s="109">
        <f>Capacity!C191*1000</f>
        <v>0</v>
      </c>
      <c r="U16" s="191">
        <f>Capacity!W191*1000</f>
        <v>17.738572999999999</v>
      </c>
      <c r="V16" s="102">
        <v>0</v>
      </c>
      <c r="W16">
        <v>0.09</v>
      </c>
      <c r="X16" s="133"/>
      <c r="Y16" s="159">
        <f t="shared" si="0"/>
        <v>0.89442719099991586</v>
      </c>
      <c r="Z16" s="159">
        <f t="shared" si="1"/>
        <v>0.89442719099991586</v>
      </c>
      <c r="AA16">
        <f t="shared" si="2"/>
        <v>10</v>
      </c>
      <c r="AB16" s="5">
        <f>W16/(1-(1+W16)^-AA16)</f>
        <v>0.15582008990903373</v>
      </c>
      <c r="AC16" s="107">
        <f>R16/AB16</f>
        <v>14.423782641327429</v>
      </c>
    </row>
    <row r="17" spans="2:29" x14ac:dyDescent="0.25">
      <c r="B17" t="s">
        <v>115</v>
      </c>
      <c r="C17" t="s">
        <v>10</v>
      </c>
      <c r="D17" t="s">
        <v>391</v>
      </c>
      <c r="E17" t="s">
        <v>393</v>
      </c>
      <c r="F17" t="s">
        <v>6</v>
      </c>
      <c r="G17" t="s">
        <v>101</v>
      </c>
      <c r="H17" t="s">
        <v>34</v>
      </c>
      <c r="I17" t="s">
        <v>113</v>
      </c>
      <c r="J17">
        <v>0.25</v>
      </c>
      <c r="K17" s="5">
        <v>0.25</v>
      </c>
      <c r="L17" t="s">
        <v>114</v>
      </c>
      <c r="M17">
        <v>0</v>
      </c>
      <c r="N17">
        <v>0.9</v>
      </c>
      <c r="O17" s="1">
        <v>0.8</v>
      </c>
      <c r="P17">
        <v>10</v>
      </c>
      <c r="Q17" s="175">
        <f>$Q$9</f>
        <v>3873.4092000000001</v>
      </c>
      <c r="R17" s="181">
        <f>$R$9</f>
        <v>1.9123593459999999</v>
      </c>
      <c r="S17" s="108">
        <v>0</v>
      </c>
      <c r="T17" s="109">
        <f>Capacity!C192*1000</f>
        <v>0</v>
      </c>
      <c r="U17" s="191">
        <f>Capacity!W192*1000</f>
        <v>35.477145</v>
      </c>
      <c r="V17" s="102">
        <v>0</v>
      </c>
      <c r="W17">
        <v>0.09</v>
      </c>
      <c r="Y17" s="159">
        <f t="shared" si="0"/>
        <v>0.89442719099991586</v>
      </c>
      <c r="Z17" s="159">
        <f t="shared" si="1"/>
        <v>0.89442719099991586</v>
      </c>
      <c r="AA17">
        <f t="shared" si="2"/>
        <v>10</v>
      </c>
      <c r="AB17" s="5">
        <f>W17/(1-(1+W17)^-AA17)</f>
        <v>0.15582008990903373</v>
      </c>
      <c r="AC17" s="107">
        <f>R17/AB17</f>
        <v>12.27286768424031</v>
      </c>
    </row>
    <row r="18" spans="2:29" x14ac:dyDescent="0.25">
      <c r="B18" t="s">
        <v>116</v>
      </c>
      <c r="C18" t="s">
        <v>10</v>
      </c>
      <c r="D18" t="s">
        <v>391</v>
      </c>
      <c r="E18" t="s">
        <v>394</v>
      </c>
      <c r="F18" t="s">
        <v>6</v>
      </c>
      <c r="G18" t="s">
        <v>101</v>
      </c>
      <c r="H18" t="s">
        <v>34</v>
      </c>
      <c r="I18" t="s">
        <v>113</v>
      </c>
      <c r="J18">
        <v>0.16666700000000001</v>
      </c>
      <c r="K18" s="5">
        <v>0.16666700000000001</v>
      </c>
      <c r="L18" t="s">
        <v>114</v>
      </c>
      <c r="M18">
        <v>0</v>
      </c>
      <c r="N18">
        <v>0.9</v>
      </c>
      <c r="O18" s="1">
        <v>0.8</v>
      </c>
      <c r="P18">
        <v>10</v>
      </c>
      <c r="Q18" s="175">
        <f>$Q$10</f>
        <v>3873.4092000000001</v>
      </c>
      <c r="R18" s="181">
        <f>$R$10</f>
        <v>1.800640759</v>
      </c>
      <c r="S18" s="108">
        <v>0</v>
      </c>
      <c r="T18" s="109">
        <f>Capacity!C193*1000</f>
        <v>0</v>
      </c>
      <c r="U18" s="191">
        <f>Capacity!W193*1000</f>
        <v>53.215719</v>
      </c>
      <c r="V18" s="102">
        <v>0</v>
      </c>
      <c r="W18">
        <v>0.09</v>
      </c>
      <c r="Y18" s="159">
        <f t="shared" si="0"/>
        <v>0.89442719099991586</v>
      </c>
      <c r="Z18" s="159">
        <f t="shared" si="1"/>
        <v>0.89442719099991586</v>
      </c>
      <c r="AA18">
        <f t="shared" si="2"/>
        <v>10</v>
      </c>
      <c r="AB18" s="5">
        <f>W18/(1-(1+W18)^-AA18)</f>
        <v>0.15582008990903373</v>
      </c>
      <c r="AC18" s="107">
        <f>R18/AB18</f>
        <v>11.555896034017159</v>
      </c>
    </row>
    <row r="19" spans="2:29" s="116" customFormat="1" x14ac:dyDescent="0.25">
      <c r="B19" s="116" t="s">
        <v>117</v>
      </c>
      <c r="C19" s="116" t="s">
        <v>10</v>
      </c>
      <c r="D19" s="116" t="s">
        <v>391</v>
      </c>
      <c r="E19" s="116" t="s">
        <v>423</v>
      </c>
      <c r="F19" s="116" t="s">
        <v>6</v>
      </c>
      <c r="G19" s="116" t="s">
        <v>101</v>
      </c>
      <c r="H19" s="116" t="s">
        <v>34</v>
      </c>
      <c r="I19" s="116" t="s">
        <v>113</v>
      </c>
      <c r="J19" s="116">
        <v>0.16666666699999999</v>
      </c>
      <c r="K19" s="136">
        <v>0.16666666699999999</v>
      </c>
      <c r="L19" s="116" t="s">
        <v>114</v>
      </c>
      <c r="M19" s="116">
        <v>0</v>
      </c>
      <c r="N19" s="116">
        <v>0.9</v>
      </c>
      <c r="O19" s="139">
        <v>0.75</v>
      </c>
      <c r="P19" s="116">
        <v>40</v>
      </c>
      <c r="Q19" s="176">
        <f>$Q$11</f>
        <v>50000</v>
      </c>
      <c r="R19" s="182">
        <f>$R$11</f>
        <v>1.9001303219999999</v>
      </c>
      <c r="S19" s="140">
        <f>Capacity!D87*1000</f>
        <v>5400</v>
      </c>
      <c r="T19" s="141">
        <f>Capacity!C194*1000</f>
        <v>0</v>
      </c>
      <c r="U19" s="192">
        <f>Capacity!W194*1000</f>
        <v>0</v>
      </c>
      <c r="V19" s="155">
        <v>0</v>
      </c>
      <c r="W19" s="116">
        <v>0.09</v>
      </c>
      <c r="X19" s="143"/>
      <c r="Y19" s="160">
        <f t="shared" si="0"/>
        <v>0.8660254037844386</v>
      </c>
      <c r="Z19" s="160">
        <f t="shared" si="1"/>
        <v>0.8660254037844386</v>
      </c>
      <c r="AA19" s="116">
        <f t="shared" si="2"/>
        <v>40</v>
      </c>
      <c r="AB19" s="136">
        <f>W19/(1-(1+W19)^-AA19)</f>
        <v>9.2959609221097042E-2</v>
      </c>
      <c r="AC19" s="145">
        <f>R19/AB19</f>
        <v>20.440386291649428</v>
      </c>
    </row>
    <row r="20" spans="2:29" x14ac:dyDescent="0.25">
      <c r="B20" t="s">
        <v>112</v>
      </c>
      <c r="C20" t="s">
        <v>11</v>
      </c>
      <c r="D20" t="s">
        <v>391</v>
      </c>
      <c r="E20" t="s">
        <v>392</v>
      </c>
      <c r="F20" t="s">
        <v>6</v>
      </c>
      <c r="G20" t="s">
        <v>101</v>
      </c>
      <c r="H20" t="s">
        <v>34</v>
      </c>
      <c r="I20" t="s">
        <v>113</v>
      </c>
      <c r="J20">
        <v>0.5</v>
      </c>
      <c r="K20" s="5">
        <v>0.5</v>
      </c>
      <c r="L20" t="s">
        <v>114</v>
      </c>
      <c r="M20">
        <v>0</v>
      </c>
      <c r="N20">
        <v>0.9</v>
      </c>
      <c r="O20" s="1">
        <v>0.8</v>
      </c>
      <c r="P20">
        <v>10</v>
      </c>
      <c r="Q20" s="175">
        <f>$Q$8</f>
        <v>3873.4092000000001</v>
      </c>
      <c r="R20" s="181">
        <f>$R$8</f>
        <v>2.247515108</v>
      </c>
      <c r="S20" s="108">
        <v>0</v>
      </c>
      <c r="T20" s="109">
        <f>Capacity!C195*1000</f>
        <v>0</v>
      </c>
      <c r="U20" s="191">
        <f>Capacity!W195*1000</f>
        <v>48.356055000000005</v>
      </c>
      <c r="V20" s="102">
        <v>0</v>
      </c>
      <c r="W20">
        <v>0.09</v>
      </c>
      <c r="X20" s="133"/>
      <c r="Y20" s="159">
        <f t="shared" si="0"/>
        <v>0.89442719099991586</v>
      </c>
      <c r="Z20" s="159">
        <f t="shared" si="1"/>
        <v>0.89442719099991586</v>
      </c>
      <c r="AA20">
        <f t="shared" si="2"/>
        <v>10</v>
      </c>
      <c r="AB20" s="5">
        <f>W20/(1-(1+W20)^-AA20)</f>
        <v>0.15582008990903373</v>
      </c>
      <c r="AC20" s="107">
        <f>R20/AB20</f>
        <v>14.423782641327429</v>
      </c>
    </row>
    <row r="21" spans="2:29" x14ac:dyDescent="0.25">
      <c r="B21" t="s">
        <v>115</v>
      </c>
      <c r="C21" t="s">
        <v>11</v>
      </c>
      <c r="D21" t="s">
        <v>391</v>
      </c>
      <c r="E21" t="s">
        <v>393</v>
      </c>
      <c r="F21" t="s">
        <v>6</v>
      </c>
      <c r="G21" t="s">
        <v>101</v>
      </c>
      <c r="H21" t="s">
        <v>34</v>
      </c>
      <c r="I21" t="s">
        <v>113</v>
      </c>
      <c r="J21">
        <v>0.25</v>
      </c>
      <c r="K21" s="5">
        <v>0.25</v>
      </c>
      <c r="L21" t="s">
        <v>114</v>
      </c>
      <c r="M21">
        <v>0</v>
      </c>
      <c r="N21">
        <v>0.9</v>
      </c>
      <c r="O21" s="1">
        <v>0.8</v>
      </c>
      <c r="P21">
        <v>10</v>
      </c>
      <c r="Q21" s="175">
        <f>$Q$9</f>
        <v>3873.4092000000001</v>
      </c>
      <c r="R21" s="181">
        <f>$R$9</f>
        <v>1.9123593459999999</v>
      </c>
      <c r="S21" s="108">
        <v>0</v>
      </c>
      <c r="T21" s="109">
        <f>Capacity!C196*1000</f>
        <v>0</v>
      </c>
      <c r="U21" s="191">
        <f>Capacity!W196*1000</f>
        <v>96.712108999999998</v>
      </c>
      <c r="V21" s="102">
        <v>0</v>
      </c>
      <c r="W21">
        <v>0.09</v>
      </c>
      <c r="Y21" s="159">
        <f t="shared" si="0"/>
        <v>0.89442719099991586</v>
      </c>
      <c r="Z21" s="159">
        <f t="shared" si="1"/>
        <v>0.89442719099991586</v>
      </c>
      <c r="AA21">
        <f t="shared" si="2"/>
        <v>10</v>
      </c>
      <c r="AB21" s="5">
        <f>W21/(1-(1+W21)^-AA21)</f>
        <v>0.15582008990903373</v>
      </c>
      <c r="AC21" s="107">
        <f>R21/AB21</f>
        <v>12.27286768424031</v>
      </c>
    </row>
    <row r="22" spans="2:29" x14ac:dyDescent="0.25">
      <c r="B22" t="s">
        <v>116</v>
      </c>
      <c r="C22" t="s">
        <v>11</v>
      </c>
      <c r="D22" t="s">
        <v>391</v>
      </c>
      <c r="E22" t="s">
        <v>394</v>
      </c>
      <c r="F22" t="s">
        <v>6</v>
      </c>
      <c r="G22" t="s">
        <v>101</v>
      </c>
      <c r="H22" t="s">
        <v>34</v>
      </c>
      <c r="I22" t="s">
        <v>113</v>
      </c>
      <c r="J22">
        <v>0.16666700000000001</v>
      </c>
      <c r="K22" s="5">
        <v>0.16666700000000001</v>
      </c>
      <c r="L22" t="s">
        <v>114</v>
      </c>
      <c r="M22">
        <v>0</v>
      </c>
      <c r="N22">
        <v>0.9</v>
      </c>
      <c r="O22" s="1">
        <v>0.8</v>
      </c>
      <c r="P22">
        <v>10</v>
      </c>
      <c r="Q22" s="175">
        <f>$Q$10</f>
        <v>3873.4092000000001</v>
      </c>
      <c r="R22" s="181">
        <f>$R$10</f>
        <v>1.800640759</v>
      </c>
      <c r="S22" s="108">
        <v>0</v>
      </c>
      <c r="T22" s="109">
        <f>Capacity!C197*1000</f>
        <v>0</v>
      </c>
      <c r="U22" s="191">
        <f>Capacity!W197*1000</f>
        <v>145.06816400000002</v>
      </c>
      <c r="V22" s="102">
        <v>0</v>
      </c>
      <c r="W22">
        <v>0.09</v>
      </c>
      <c r="Y22" s="159">
        <f t="shared" si="0"/>
        <v>0.89442719099991586</v>
      </c>
      <c r="Z22" s="159">
        <f t="shared" si="1"/>
        <v>0.89442719099991586</v>
      </c>
      <c r="AA22">
        <f t="shared" si="2"/>
        <v>10</v>
      </c>
      <c r="AB22" s="5">
        <f>W22/(1-(1+W22)^-AA22)</f>
        <v>0.15582008990903373</v>
      </c>
      <c r="AC22" s="107">
        <f>R22/AB22</f>
        <v>11.555896034017159</v>
      </c>
    </row>
    <row r="23" spans="2:29" s="116" customFormat="1" x14ac:dyDescent="0.25">
      <c r="B23" s="116" t="s">
        <v>117</v>
      </c>
      <c r="C23" s="116" t="s">
        <v>11</v>
      </c>
      <c r="D23" s="116" t="s">
        <v>391</v>
      </c>
      <c r="E23" s="116" t="s">
        <v>423</v>
      </c>
      <c r="F23" s="116" t="s">
        <v>6</v>
      </c>
      <c r="G23" s="116" t="s">
        <v>101</v>
      </c>
      <c r="H23" s="116" t="s">
        <v>34</v>
      </c>
      <c r="I23" s="116" t="s">
        <v>113</v>
      </c>
      <c r="J23" s="116">
        <v>0.16666666699999999</v>
      </c>
      <c r="K23" s="136">
        <v>0.16666666699999999</v>
      </c>
      <c r="L23" s="116" t="s">
        <v>114</v>
      </c>
      <c r="M23" s="116">
        <v>0</v>
      </c>
      <c r="N23" s="116">
        <v>0.9</v>
      </c>
      <c r="O23" s="139">
        <v>0.75</v>
      </c>
      <c r="P23" s="116">
        <v>40</v>
      </c>
      <c r="Q23" s="176">
        <f>$Q$11</f>
        <v>50000</v>
      </c>
      <c r="R23" s="182">
        <f>$R$11</f>
        <v>1.9001303219999999</v>
      </c>
      <c r="S23" s="140">
        <f>Capacity!D88*1000</f>
        <v>11040</v>
      </c>
      <c r="T23" s="141">
        <f>Capacity!C198*1000</f>
        <v>0</v>
      </c>
      <c r="U23" s="192">
        <f>Capacity!W198*1000</f>
        <v>0</v>
      </c>
      <c r="V23" s="155">
        <v>0</v>
      </c>
      <c r="W23" s="116">
        <v>0.09</v>
      </c>
      <c r="X23" s="143"/>
      <c r="Y23" s="160">
        <f t="shared" si="0"/>
        <v>0.8660254037844386</v>
      </c>
      <c r="Z23" s="160">
        <f t="shared" si="1"/>
        <v>0.8660254037844386</v>
      </c>
      <c r="AA23" s="116">
        <f t="shared" si="2"/>
        <v>40</v>
      </c>
      <c r="AB23" s="136">
        <f>W23/(1-(1+W23)^-AA23)</f>
        <v>9.2959609221097042E-2</v>
      </c>
      <c r="AC23" s="145">
        <f>R23/AB23</f>
        <v>20.440386291649428</v>
      </c>
    </row>
    <row r="24" spans="2:29" x14ac:dyDescent="0.25">
      <c r="B24" t="s">
        <v>112</v>
      </c>
      <c r="C24" t="s">
        <v>8</v>
      </c>
      <c r="D24" t="s">
        <v>391</v>
      </c>
      <c r="E24" t="s">
        <v>392</v>
      </c>
      <c r="F24" t="s">
        <v>6</v>
      </c>
      <c r="G24" t="s">
        <v>101</v>
      </c>
      <c r="H24" t="s">
        <v>34</v>
      </c>
      <c r="I24" t="s">
        <v>113</v>
      </c>
      <c r="J24">
        <v>0.5</v>
      </c>
      <c r="K24" s="5">
        <v>0.5</v>
      </c>
      <c r="L24" t="s">
        <v>114</v>
      </c>
      <c r="M24">
        <v>0</v>
      </c>
      <c r="N24">
        <v>0.9</v>
      </c>
      <c r="O24" s="1">
        <v>0.8</v>
      </c>
      <c r="P24">
        <v>10</v>
      </c>
      <c r="Q24" s="175">
        <f>$Q$8</f>
        <v>3873.4092000000001</v>
      </c>
      <c r="R24" s="181">
        <f>$R$8</f>
        <v>2.247515108</v>
      </c>
      <c r="S24" s="108">
        <v>0</v>
      </c>
      <c r="T24" s="109">
        <f>Capacity!C199*1000</f>
        <v>0</v>
      </c>
      <c r="U24" s="191">
        <f>Capacity!W199*1000</f>
        <v>28.690189</v>
      </c>
      <c r="V24" s="102">
        <v>0</v>
      </c>
      <c r="W24">
        <v>0.09</v>
      </c>
      <c r="X24" s="133"/>
      <c r="Y24" s="159">
        <f t="shared" si="0"/>
        <v>0.89442719099991586</v>
      </c>
      <c r="Z24" s="159">
        <f t="shared" si="1"/>
        <v>0.89442719099991586</v>
      </c>
      <c r="AA24">
        <f t="shared" si="2"/>
        <v>10</v>
      </c>
      <c r="AB24" s="5">
        <f>W24/(1-(1+W24)^-AA24)</f>
        <v>0.15582008990903373</v>
      </c>
      <c r="AC24" s="107">
        <f>R24/AB24</f>
        <v>14.423782641327429</v>
      </c>
    </row>
    <row r="25" spans="2:29" x14ac:dyDescent="0.25">
      <c r="B25" t="s">
        <v>115</v>
      </c>
      <c r="C25" t="s">
        <v>8</v>
      </c>
      <c r="D25" t="s">
        <v>391</v>
      </c>
      <c r="E25" t="s">
        <v>393</v>
      </c>
      <c r="F25" t="s">
        <v>6</v>
      </c>
      <c r="G25" t="s">
        <v>101</v>
      </c>
      <c r="H25" t="s">
        <v>34</v>
      </c>
      <c r="I25" t="s">
        <v>113</v>
      </c>
      <c r="J25">
        <v>0.25</v>
      </c>
      <c r="K25" s="5">
        <v>0.25</v>
      </c>
      <c r="L25" t="s">
        <v>114</v>
      </c>
      <c r="M25">
        <v>0</v>
      </c>
      <c r="N25">
        <v>0.9</v>
      </c>
      <c r="O25" s="1">
        <v>0.8</v>
      </c>
      <c r="P25">
        <v>10</v>
      </c>
      <c r="Q25" s="175">
        <f>$Q$9</f>
        <v>3873.4092000000001</v>
      </c>
      <c r="R25" s="181">
        <f>$R$9</f>
        <v>1.9123593459999999</v>
      </c>
      <c r="S25" s="108">
        <v>0</v>
      </c>
      <c r="T25" s="109">
        <f>Capacity!C200*1000</f>
        <v>0</v>
      </c>
      <c r="U25" s="191">
        <f>Capacity!W200*1000</f>
        <v>57.380379000000005</v>
      </c>
      <c r="V25" s="102">
        <v>0</v>
      </c>
      <c r="W25">
        <v>0.09</v>
      </c>
      <c r="Y25" s="159">
        <f t="shared" si="0"/>
        <v>0.89442719099991586</v>
      </c>
      <c r="Z25" s="159">
        <f t="shared" si="1"/>
        <v>0.89442719099991586</v>
      </c>
      <c r="AA25">
        <f t="shared" si="2"/>
        <v>10</v>
      </c>
      <c r="AB25" s="5">
        <f>W25/(1-(1+W25)^-AA25)</f>
        <v>0.15582008990903373</v>
      </c>
      <c r="AC25" s="107">
        <f>R25/AB25</f>
        <v>12.27286768424031</v>
      </c>
    </row>
    <row r="26" spans="2:29" x14ac:dyDescent="0.25">
      <c r="B26" t="s">
        <v>116</v>
      </c>
      <c r="C26" t="s">
        <v>8</v>
      </c>
      <c r="D26" t="s">
        <v>391</v>
      </c>
      <c r="E26" t="s">
        <v>394</v>
      </c>
      <c r="F26" t="s">
        <v>6</v>
      </c>
      <c r="G26" t="s">
        <v>101</v>
      </c>
      <c r="H26" t="s">
        <v>34</v>
      </c>
      <c r="I26" t="s">
        <v>113</v>
      </c>
      <c r="J26">
        <v>0.16666700000000001</v>
      </c>
      <c r="K26" s="5">
        <v>0.16666700000000001</v>
      </c>
      <c r="L26" t="s">
        <v>114</v>
      </c>
      <c r="M26">
        <v>0</v>
      </c>
      <c r="N26">
        <v>0.9</v>
      </c>
      <c r="O26" s="1">
        <v>0.8</v>
      </c>
      <c r="P26">
        <v>10</v>
      </c>
      <c r="Q26" s="175">
        <f>$Q$10</f>
        <v>3873.4092000000001</v>
      </c>
      <c r="R26" s="181">
        <f>$R$10</f>
        <v>1.800640759</v>
      </c>
      <c r="S26" s="108">
        <v>0</v>
      </c>
      <c r="T26" s="109">
        <f>Capacity!C201*1000</f>
        <v>0</v>
      </c>
      <c r="U26" s="191">
        <f>Capacity!W201*1000</f>
        <v>86.070567999999994</v>
      </c>
      <c r="V26" s="102">
        <v>0</v>
      </c>
      <c r="W26">
        <v>0.09</v>
      </c>
      <c r="Y26" s="159">
        <f t="shared" si="0"/>
        <v>0.89442719099991586</v>
      </c>
      <c r="Z26" s="159">
        <f t="shared" si="1"/>
        <v>0.89442719099991586</v>
      </c>
      <c r="AA26">
        <f t="shared" si="2"/>
        <v>10</v>
      </c>
      <c r="AB26" s="5">
        <f>W26/(1-(1+W26)^-AA26)</f>
        <v>0.15582008990903373</v>
      </c>
      <c r="AC26" s="107">
        <f>R26/AB26</f>
        <v>11.555896034017159</v>
      </c>
    </row>
    <row r="27" spans="2:29" s="116" customFormat="1" x14ac:dyDescent="0.25">
      <c r="B27" s="116" t="s">
        <v>117</v>
      </c>
      <c r="C27" s="116" t="s">
        <v>8</v>
      </c>
      <c r="D27" s="116" t="s">
        <v>391</v>
      </c>
      <c r="E27" s="116" t="s">
        <v>423</v>
      </c>
      <c r="F27" s="116" t="s">
        <v>6</v>
      </c>
      <c r="G27" s="116" t="s">
        <v>101</v>
      </c>
      <c r="H27" s="116" t="s">
        <v>34</v>
      </c>
      <c r="I27" s="116" t="s">
        <v>113</v>
      </c>
      <c r="J27" s="116">
        <v>0.16666666699999999</v>
      </c>
      <c r="K27" s="136">
        <v>0.16666666699999999</v>
      </c>
      <c r="L27" s="116" t="s">
        <v>114</v>
      </c>
      <c r="M27" s="116">
        <v>0</v>
      </c>
      <c r="N27" s="116">
        <v>0.9</v>
      </c>
      <c r="O27" s="139">
        <v>0.75</v>
      </c>
      <c r="P27" s="116">
        <v>40</v>
      </c>
      <c r="Q27" s="176">
        <f>$Q$11</f>
        <v>50000</v>
      </c>
      <c r="R27" s="182">
        <f>$R$11</f>
        <v>1.9001303219999999</v>
      </c>
      <c r="S27" s="140">
        <f>Capacity!D89*1000</f>
        <v>12033.6</v>
      </c>
      <c r="T27" s="141">
        <f>Capacity!C202*1000</f>
        <v>0</v>
      </c>
      <c r="U27" s="192">
        <f>Capacity!W202*1000</f>
        <v>0</v>
      </c>
      <c r="V27" s="155">
        <v>0</v>
      </c>
      <c r="W27" s="116">
        <v>0.09</v>
      </c>
      <c r="X27" s="143"/>
      <c r="Y27" s="160">
        <f t="shared" si="0"/>
        <v>0.8660254037844386</v>
      </c>
      <c r="Z27" s="160">
        <f t="shared" si="1"/>
        <v>0.8660254037844386</v>
      </c>
      <c r="AA27" s="116">
        <f t="shared" si="2"/>
        <v>40</v>
      </c>
      <c r="AB27" s="136">
        <f>W27/(1-(1+W27)^-AA27)</f>
        <v>9.2959609221097042E-2</v>
      </c>
      <c r="AC27" s="145">
        <f>R27/AB27</f>
        <v>20.440386291649428</v>
      </c>
    </row>
    <row r="28" spans="2:29" s="162" customFormat="1" x14ac:dyDescent="0.25">
      <c r="B28" s="162" t="s">
        <v>112</v>
      </c>
      <c r="C28" s="162" t="s">
        <v>82</v>
      </c>
      <c r="D28" s="162" t="s">
        <v>391</v>
      </c>
      <c r="E28" s="162" t="s">
        <v>392</v>
      </c>
      <c r="F28" s="162" t="s">
        <v>6</v>
      </c>
      <c r="G28" s="162" t="s">
        <v>101</v>
      </c>
      <c r="H28" s="162" t="s">
        <v>34</v>
      </c>
      <c r="I28" s="162" t="s">
        <v>113</v>
      </c>
      <c r="J28" s="162">
        <v>0.5</v>
      </c>
      <c r="K28" s="163">
        <v>0.5</v>
      </c>
      <c r="L28" s="162" t="s">
        <v>114</v>
      </c>
      <c r="M28" s="162">
        <v>0</v>
      </c>
      <c r="N28" s="162">
        <v>0.9</v>
      </c>
      <c r="O28" s="164">
        <v>0.8</v>
      </c>
      <c r="P28" s="165">
        <f>AVERAGE(P8,P12,P16,P20,P24)</f>
        <v>10</v>
      </c>
      <c r="Q28" s="165">
        <f>AVERAGE(Q8,Q12,Q16,Q20,Q24)</f>
        <v>3873.4092000000005</v>
      </c>
      <c r="R28" s="166">
        <f>AVERAGE(R8,R12,R16,R20,R24)</f>
        <v>2.247515108</v>
      </c>
      <c r="S28" s="167">
        <f>S8+S12+S16+S20+S24</f>
        <v>0</v>
      </c>
      <c r="T28" s="167">
        <f t="shared" ref="T28:U28" si="3">T8+T12+T16+T20+T24</f>
        <v>0</v>
      </c>
      <c r="U28" s="167">
        <f t="shared" si="3"/>
        <v>200</v>
      </c>
      <c r="V28" s="165">
        <f>AVERAGE(V8,V12,V16,V20,V24)</f>
        <v>0</v>
      </c>
      <c r="W28" s="168">
        <f>AVERAGE(W8,W12,W16,W20,W24)</f>
        <v>0.09</v>
      </c>
      <c r="X28" s="190"/>
      <c r="Y28" s="164">
        <f>AVERAGE(Y8,Y12,Y16,Y20,Y24)</f>
        <v>0.89442719099991597</v>
      </c>
      <c r="Z28" s="164">
        <f>AVERAGE(Z8,Z12,Z16,Z20,Z24)</f>
        <v>0.89442719099991597</v>
      </c>
      <c r="AA28" s="164">
        <f t="shared" ref="AA28:AC31" si="4">AVERAGE(AA8,AA12,AA16,AA20,AA24)</f>
        <v>10</v>
      </c>
      <c r="AB28" s="164">
        <f t="shared" si="4"/>
        <v>0.15582008990903373</v>
      </c>
      <c r="AC28" s="164">
        <f t="shared" si="4"/>
        <v>14.423782641327429</v>
      </c>
    </row>
    <row r="29" spans="2:29" s="162" customFormat="1" x14ac:dyDescent="0.25">
      <c r="B29" s="162" t="s">
        <v>115</v>
      </c>
      <c r="C29" s="162" t="s">
        <v>82</v>
      </c>
      <c r="D29" s="162" t="s">
        <v>391</v>
      </c>
      <c r="E29" s="162" t="s">
        <v>393</v>
      </c>
      <c r="F29" s="162" t="s">
        <v>6</v>
      </c>
      <c r="G29" s="162" t="s">
        <v>101</v>
      </c>
      <c r="H29" s="162" t="s">
        <v>34</v>
      </c>
      <c r="I29" s="162" t="s">
        <v>113</v>
      </c>
      <c r="J29" s="162">
        <v>0.25</v>
      </c>
      <c r="K29" s="163">
        <v>0.25</v>
      </c>
      <c r="L29" s="162" t="s">
        <v>114</v>
      </c>
      <c r="M29" s="162">
        <v>0</v>
      </c>
      <c r="N29" s="162">
        <v>0.9</v>
      </c>
      <c r="O29" s="164">
        <v>0.8</v>
      </c>
      <c r="P29" s="165">
        <f t="shared" ref="P29:R31" si="5">AVERAGE(P9,P13,P17,P21,P25)</f>
        <v>10</v>
      </c>
      <c r="Q29" s="165">
        <f t="shared" si="5"/>
        <v>3873.4092000000005</v>
      </c>
      <c r="R29" s="166">
        <f t="shared" si="5"/>
        <v>1.9123593459999999</v>
      </c>
      <c r="S29" s="167">
        <f t="shared" ref="S29:U29" si="6">S9+S13+S17+S21+S25</f>
        <v>0</v>
      </c>
      <c r="T29" s="167">
        <f t="shared" si="6"/>
        <v>0</v>
      </c>
      <c r="U29" s="167">
        <f t="shared" si="6"/>
        <v>400.00000100000005</v>
      </c>
      <c r="V29" s="165">
        <f t="shared" ref="V29:W31" si="7">AVERAGE(V9,V13,V17,V21,V25)</f>
        <v>0</v>
      </c>
      <c r="W29" s="168">
        <f t="shared" si="7"/>
        <v>0.09</v>
      </c>
      <c r="X29" s="190"/>
      <c r="Y29" s="164">
        <f t="shared" ref="Y29:Z31" si="8">AVERAGE(Y9,Y13,Y17,Y21,Y25)</f>
        <v>0.89442719099991597</v>
      </c>
      <c r="Z29" s="164">
        <f t="shared" si="8"/>
        <v>0.89442719099991597</v>
      </c>
      <c r="AA29" s="164">
        <f t="shared" si="4"/>
        <v>10</v>
      </c>
      <c r="AB29" s="164">
        <f t="shared" si="4"/>
        <v>0.15582008990903373</v>
      </c>
      <c r="AC29" s="164">
        <f t="shared" si="4"/>
        <v>12.27286768424031</v>
      </c>
    </row>
    <row r="30" spans="2:29" s="162" customFormat="1" x14ac:dyDescent="0.25">
      <c r="B30" s="162" t="s">
        <v>116</v>
      </c>
      <c r="C30" s="162" t="s">
        <v>82</v>
      </c>
      <c r="D30" s="162" t="s">
        <v>391</v>
      </c>
      <c r="E30" s="162" t="s">
        <v>394</v>
      </c>
      <c r="F30" s="162" t="s">
        <v>6</v>
      </c>
      <c r="G30" s="162" t="s">
        <v>101</v>
      </c>
      <c r="H30" s="162" t="s">
        <v>34</v>
      </c>
      <c r="I30" s="162" t="s">
        <v>113</v>
      </c>
      <c r="J30" s="162">
        <v>0.16666700000000001</v>
      </c>
      <c r="K30" s="163">
        <v>0.16666700000000001</v>
      </c>
      <c r="L30" s="162" t="s">
        <v>114</v>
      </c>
      <c r="M30" s="162">
        <v>0</v>
      </c>
      <c r="N30" s="162">
        <v>0.9</v>
      </c>
      <c r="O30" s="164">
        <v>0.8</v>
      </c>
      <c r="P30" s="165">
        <f t="shared" si="5"/>
        <v>10</v>
      </c>
      <c r="Q30" s="165">
        <f t="shared" si="5"/>
        <v>3873.4092000000005</v>
      </c>
      <c r="R30" s="166">
        <f t="shared" si="5"/>
        <v>1.8006407589999998</v>
      </c>
      <c r="S30" s="167">
        <f t="shared" ref="S30:U30" si="9">S10+S14+S18+S22+S26</f>
        <v>0</v>
      </c>
      <c r="T30" s="167">
        <f t="shared" si="9"/>
        <v>0</v>
      </c>
      <c r="U30" s="167">
        <f t="shared" si="9"/>
        <v>599.99999999999989</v>
      </c>
      <c r="V30" s="165">
        <f t="shared" si="7"/>
        <v>0</v>
      </c>
      <c r="W30" s="168">
        <f t="shared" si="7"/>
        <v>0.09</v>
      </c>
      <c r="X30" s="190"/>
      <c r="Y30" s="164">
        <f t="shared" si="8"/>
        <v>0.89442719099991597</v>
      </c>
      <c r="Z30" s="164">
        <f t="shared" si="8"/>
        <v>0.89442719099991597</v>
      </c>
      <c r="AA30" s="164">
        <f t="shared" si="4"/>
        <v>10</v>
      </c>
      <c r="AB30" s="164">
        <f t="shared" si="4"/>
        <v>0.15582008990903373</v>
      </c>
      <c r="AC30" s="164">
        <f t="shared" si="4"/>
        <v>11.555896034017159</v>
      </c>
    </row>
    <row r="31" spans="2:29" s="153" customFormat="1" x14ac:dyDescent="0.25">
      <c r="B31" s="153" t="s">
        <v>117</v>
      </c>
      <c r="C31" s="153" t="s">
        <v>82</v>
      </c>
      <c r="D31" s="153" t="s">
        <v>391</v>
      </c>
      <c r="E31" s="153" t="s">
        <v>423</v>
      </c>
      <c r="F31" s="153" t="s">
        <v>6</v>
      </c>
      <c r="G31" s="153" t="s">
        <v>101</v>
      </c>
      <c r="H31" s="153" t="s">
        <v>34</v>
      </c>
      <c r="I31" s="153" t="s">
        <v>113</v>
      </c>
      <c r="J31" s="153">
        <v>0.16666666699999999</v>
      </c>
      <c r="K31" s="169">
        <v>0.16666666699999999</v>
      </c>
      <c r="L31" s="153" t="s">
        <v>114</v>
      </c>
      <c r="M31" s="153">
        <v>0</v>
      </c>
      <c r="N31" s="153">
        <v>0.9</v>
      </c>
      <c r="O31" s="170">
        <v>0.75</v>
      </c>
      <c r="P31" s="171">
        <f t="shared" si="5"/>
        <v>40</v>
      </c>
      <c r="Q31" s="171">
        <f t="shared" si="5"/>
        <v>50000</v>
      </c>
      <c r="R31" s="172">
        <f t="shared" si="5"/>
        <v>1.9001303219999996</v>
      </c>
      <c r="S31" s="173">
        <f t="shared" ref="S31:U31" si="10">S11+S15+S19+S23+S27</f>
        <v>28473.599999999999</v>
      </c>
      <c r="T31" s="173">
        <f t="shared" si="10"/>
        <v>0</v>
      </c>
      <c r="U31" s="173">
        <f t="shared" si="10"/>
        <v>0</v>
      </c>
      <c r="V31" s="171">
        <f t="shared" si="7"/>
        <v>0</v>
      </c>
      <c r="W31" s="174">
        <f t="shared" si="7"/>
        <v>0.09</v>
      </c>
      <c r="X31" s="143"/>
      <c r="Y31" s="170">
        <f t="shared" si="8"/>
        <v>0.8660254037844386</v>
      </c>
      <c r="Z31" s="170">
        <f t="shared" si="8"/>
        <v>0.8660254037844386</v>
      </c>
      <c r="AA31" s="170">
        <f t="shared" si="4"/>
        <v>40</v>
      </c>
      <c r="AB31" s="170">
        <f t="shared" si="4"/>
        <v>9.2959609221097042E-2</v>
      </c>
      <c r="AC31" s="170">
        <f t="shared" si="4"/>
        <v>20.440386291649428</v>
      </c>
    </row>
    <row r="38" spans="8:8" x14ac:dyDescent="0.25">
      <c r="H38" s="1"/>
    </row>
    <row r="39" spans="8:8" x14ac:dyDescent="0.25">
      <c r="H39" s="1"/>
    </row>
    <row r="40" spans="8:8" x14ac:dyDescent="0.25">
      <c r="H40" s="1"/>
    </row>
    <row r="41" spans="8:8" x14ac:dyDescent="0.25">
      <c r="H41" s="1"/>
    </row>
    <row r="42" spans="8:8" x14ac:dyDescent="0.25">
      <c r="H42" s="1"/>
    </row>
    <row r="43" spans="8:8" x14ac:dyDescent="0.25">
      <c r="H43" s="1"/>
    </row>
    <row r="44" spans="8:8" x14ac:dyDescent="0.25">
      <c r="H44" s="1"/>
    </row>
    <row r="45" spans="8:8" x14ac:dyDescent="0.25">
      <c r="H45" s="1"/>
    </row>
    <row r="46" spans="8:8" x14ac:dyDescent="0.25">
      <c r="H46" s="1"/>
    </row>
    <row r="47" spans="8:8" x14ac:dyDescent="0.25">
      <c r="H47" s="1"/>
    </row>
    <row r="48" spans="8:8" x14ac:dyDescent="0.25">
      <c r="H48" s="1"/>
    </row>
    <row r="49" spans="8:8" x14ac:dyDescent="0.25">
      <c r="H49" s="1"/>
    </row>
    <row r="50" spans="8:8" x14ac:dyDescent="0.25">
      <c r="H50" s="1"/>
    </row>
    <row r="51" spans="8:8" x14ac:dyDescent="0.25">
      <c r="H51" s="1"/>
    </row>
    <row r="52" spans="8:8" x14ac:dyDescent="0.25">
      <c r="H52" s="1"/>
    </row>
    <row r="53" spans="8:8" x14ac:dyDescent="0.25">
      <c r="H53" s="1"/>
    </row>
    <row r="54" spans="8:8" x14ac:dyDescent="0.25">
      <c r="H54" s="1"/>
    </row>
    <row r="55" spans="8:8" x14ac:dyDescent="0.25">
      <c r="H55" s="1"/>
    </row>
    <row r="56" spans="8:8" x14ac:dyDescent="0.25">
      <c r="H56" s="1"/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E9DA8-C3F3-4A16-8A8B-822FE2EEA490}">
  <dimension ref="A1:S16"/>
  <sheetViews>
    <sheetView workbookViewId="0">
      <selection activeCell="K24" sqref="K24"/>
    </sheetView>
  </sheetViews>
  <sheetFormatPr defaultRowHeight="15" x14ac:dyDescent="0.25"/>
  <cols>
    <col min="1" max="1" width="20.42578125" bestFit="1" customWidth="1"/>
    <col min="2" max="2" width="15.7109375" bestFit="1" customWidth="1"/>
    <col min="3" max="3" width="8.28515625" customWidth="1"/>
    <col min="4" max="4" width="7.7109375" customWidth="1"/>
    <col min="5" max="5" width="5" bestFit="1" customWidth="1"/>
    <col min="6" max="6" width="17.28515625" bestFit="1" customWidth="1"/>
    <col min="7" max="7" width="10.42578125" bestFit="1" customWidth="1"/>
    <col min="8" max="8" width="13.5703125" customWidth="1"/>
    <col min="9" max="9" width="13.85546875" bestFit="1" customWidth="1"/>
    <col min="10" max="10" width="15.28515625" bestFit="1" customWidth="1"/>
    <col min="11" max="11" width="15.5703125" bestFit="1" customWidth="1"/>
    <col min="12" max="12" width="12" bestFit="1" customWidth="1"/>
    <col min="13" max="13" width="12.42578125" bestFit="1" customWidth="1"/>
    <col min="14" max="14" width="14.85546875" bestFit="1" customWidth="1"/>
    <col min="16" max="16" width="14.7109375" bestFit="1" customWidth="1"/>
    <col min="17" max="17" width="20.5703125" bestFit="1" customWidth="1"/>
    <col min="18" max="18" width="14.7109375" customWidth="1"/>
    <col min="19" max="19" width="16.7109375" bestFit="1" customWidth="1"/>
  </cols>
  <sheetData>
    <row r="1" spans="1:19" x14ac:dyDescent="0.25">
      <c r="A1" t="s">
        <v>204</v>
      </c>
      <c r="B1" t="s">
        <v>371</v>
      </c>
      <c r="C1" t="s">
        <v>371</v>
      </c>
      <c r="D1" t="s">
        <v>371</v>
      </c>
      <c r="E1" t="s">
        <v>371</v>
      </c>
      <c r="F1" t="s">
        <v>371</v>
      </c>
      <c r="G1" t="s">
        <v>371</v>
      </c>
      <c r="H1" t="s">
        <v>372</v>
      </c>
      <c r="I1" t="s">
        <v>372</v>
      </c>
      <c r="J1" t="s">
        <v>372</v>
      </c>
      <c r="K1" t="s">
        <v>372</v>
      </c>
      <c r="L1" t="s">
        <v>372</v>
      </c>
      <c r="M1" t="s">
        <v>372</v>
      </c>
      <c r="N1" t="s">
        <v>372</v>
      </c>
    </row>
    <row r="2" spans="1:19" x14ac:dyDescent="0.25">
      <c r="A2" t="s">
        <v>282</v>
      </c>
      <c r="B2" s="106" t="s">
        <v>52</v>
      </c>
      <c r="C2" s="106" t="s">
        <v>1</v>
      </c>
      <c r="D2" s="106" t="s">
        <v>2</v>
      </c>
      <c r="E2" s="106" t="s">
        <v>3</v>
      </c>
      <c r="F2" s="106" t="s">
        <v>191</v>
      </c>
      <c r="G2" s="106" t="s">
        <v>190</v>
      </c>
      <c r="H2" s="106" t="s">
        <v>197</v>
      </c>
      <c r="I2" s="106" t="s">
        <v>200</v>
      </c>
      <c r="J2" s="106" t="s">
        <v>196</v>
      </c>
      <c r="K2" s="106" t="s">
        <v>195</v>
      </c>
      <c r="L2" s="106" t="s">
        <v>194</v>
      </c>
      <c r="M2" s="106" t="s">
        <v>193</v>
      </c>
      <c r="N2" s="106" t="s">
        <v>192</v>
      </c>
    </row>
    <row r="3" spans="1:19" x14ac:dyDescent="0.25">
      <c r="A3" t="s">
        <v>83</v>
      </c>
      <c r="F3" t="s">
        <v>84</v>
      </c>
      <c r="G3" t="s">
        <v>85</v>
      </c>
      <c r="H3" t="s">
        <v>86</v>
      </c>
      <c r="I3" t="s">
        <v>373</v>
      </c>
      <c r="J3" t="s">
        <v>88</v>
      </c>
      <c r="K3" t="s">
        <v>89</v>
      </c>
      <c r="L3" t="s">
        <v>90</v>
      </c>
      <c r="M3" t="s">
        <v>91</v>
      </c>
      <c r="N3" t="s">
        <v>205</v>
      </c>
      <c r="P3" t="s">
        <v>93</v>
      </c>
      <c r="Q3" t="s">
        <v>94</v>
      </c>
      <c r="R3" t="s">
        <v>95</v>
      </c>
      <c r="S3" t="s">
        <v>96</v>
      </c>
    </row>
    <row r="4" spans="1:19" x14ac:dyDescent="0.25">
      <c r="A4" t="s">
        <v>213</v>
      </c>
      <c r="P4" t="s">
        <v>387</v>
      </c>
      <c r="Q4" t="s">
        <v>388</v>
      </c>
      <c r="R4" t="s">
        <v>389</v>
      </c>
      <c r="S4" t="s">
        <v>390</v>
      </c>
    </row>
    <row r="5" spans="1:19" x14ac:dyDescent="0.25">
      <c r="A5" t="s">
        <v>283</v>
      </c>
      <c r="P5" t="s">
        <v>381</v>
      </c>
      <c r="Q5" t="s">
        <v>383</v>
      </c>
      <c r="R5" t="s">
        <v>382</v>
      </c>
      <c r="S5" t="s">
        <v>384</v>
      </c>
    </row>
    <row r="6" spans="1:19" s="4" customFormat="1" ht="15.75" thickBot="1" x14ac:dyDescent="0.3">
      <c r="A6" s="4" t="s">
        <v>284</v>
      </c>
      <c r="D6" s="4" t="s">
        <v>285</v>
      </c>
      <c r="P6" s="4" t="s">
        <v>374</v>
      </c>
      <c r="Q6" s="4" t="s">
        <v>380</v>
      </c>
      <c r="R6" s="4" t="s">
        <v>374</v>
      </c>
      <c r="S6" s="4" t="s">
        <v>380</v>
      </c>
    </row>
    <row r="7" spans="1:19" s="6" customFormat="1" ht="16.5" thickTop="1" thickBot="1" x14ac:dyDescent="0.3">
      <c r="A7" s="147" t="s">
        <v>98</v>
      </c>
      <c r="F7" s="6" t="s">
        <v>377</v>
      </c>
      <c r="G7" s="6" t="s">
        <v>198</v>
      </c>
      <c r="H7" s="6" t="s">
        <v>99</v>
      </c>
      <c r="I7" s="6" t="s">
        <v>378</v>
      </c>
      <c r="J7" s="6" t="s">
        <v>99</v>
      </c>
      <c r="K7" s="6" t="s">
        <v>379</v>
      </c>
      <c r="L7" s="6" t="s">
        <v>378</v>
      </c>
      <c r="M7" s="6" t="s">
        <v>99</v>
      </c>
      <c r="N7" s="6" t="s">
        <v>378</v>
      </c>
      <c r="P7" s="6" t="s">
        <v>376</v>
      </c>
      <c r="Q7" s="6" t="s">
        <v>101</v>
      </c>
      <c r="R7" s="6" t="s">
        <v>375</v>
      </c>
    </row>
    <row r="8" spans="1:19" ht="15.75" thickTop="1" x14ac:dyDescent="0.25">
      <c r="B8" t="s">
        <v>59</v>
      </c>
      <c r="C8" t="s">
        <v>6</v>
      </c>
      <c r="E8">
        <v>2023</v>
      </c>
      <c r="F8" s="5">
        <v>270</v>
      </c>
      <c r="G8">
        <v>0</v>
      </c>
      <c r="H8">
        <v>0</v>
      </c>
      <c r="I8">
        <v>5449.5726500000001</v>
      </c>
      <c r="J8">
        <v>0</v>
      </c>
      <c r="K8">
        <v>0</v>
      </c>
      <c r="L8">
        <v>5449.5726500000001</v>
      </c>
      <c r="M8">
        <v>0</v>
      </c>
      <c r="N8">
        <v>0</v>
      </c>
      <c r="P8">
        <f>(I8*(1+J8)+K8*1000)/CarriersTech_characteristics!$G$5/Conversions!$D$2</f>
        <v>1.26082656703421E-3</v>
      </c>
      <c r="Q8" s="101">
        <f>F8*CarriersTech_characteristics!$G$5*Conversions!$D$2</f>
        <v>1167000009.336</v>
      </c>
      <c r="R8">
        <f>(L8*(1+M8)+N8*1000)/CarriersTech_characteristics!$J$5/Conversions!$D$2</f>
        <v>1.26082656703421E-3</v>
      </c>
      <c r="S8" s="101">
        <f>G8*CarriersTech_characteristics!$J$5*Conversions!$D$2</f>
        <v>0</v>
      </c>
    </row>
    <row r="9" spans="1:19" x14ac:dyDescent="0.25">
      <c r="B9" t="s">
        <v>38</v>
      </c>
      <c r="C9" t="s">
        <v>6</v>
      </c>
      <c r="E9">
        <v>2023</v>
      </c>
      <c r="F9" s="5">
        <v>175</v>
      </c>
      <c r="G9">
        <v>0</v>
      </c>
      <c r="H9">
        <v>0</v>
      </c>
      <c r="I9">
        <v>9000</v>
      </c>
      <c r="J9">
        <v>0.05</v>
      </c>
      <c r="K9">
        <v>0</v>
      </c>
      <c r="L9">
        <v>9000</v>
      </c>
      <c r="M9">
        <v>0.05</v>
      </c>
      <c r="N9">
        <v>0</v>
      </c>
      <c r="P9">
        <f>(I9*(1+J9)+K9*1000)/CarriersTech_characteristics!$G$7/Conversions!$D$2</f>
        <v>2.4924961160316295E-3</v>
      </c>
      <c r="Q9" s="101">
        <f>F9*CarriersTech_characteristics!$G$7*Conversions!$D$2</f>
        <v>663491505.30793202</v>
      </c>
      <c r="R9">
        <f>(L9*(1+M9)+N9*1000)/CarriersTech_characteristics!$J$7/Conversions!$D$2</f>
        <v>2.4924961160316295E-3</v>
      </c>
      <c r="S9" s="101">
        <f>G9*CarriersTech_characteristics!$J$7*Conversions!$D$2</f>
        <v>0</v>
      </c>
    </row>
    <row r="10" spans="1:19" x14ac:dyDescent="0.25">
      <c r="B10" t="s">
        <v>35</v>
      </c>
      <c r="C10" t="s">
        <v>6</v>
      </c>
      <c r="E10">
        <v>2023</v>
      </c>
      <c r="F10" s="5">
        <v>33.648000000000003</v>
      </c>
      <c r="G10">
        <v>200</v>
      </c>
      <c r="H10">
        <v>0.36749121400000001</v>
      </c>
      <c r="I10">
        <v>23859.030780000001</v>
      </c>
      <c r="J10">
        <v>0.24</v>
      </c>
      <c r="K10">
        <v>0</v>
      </c>
      <c r="L10">
        <v>54880.30558</v>
      </c>
      <c r="M10">
        <v>0.34899999999999998</v>
      </c>
      <c r="N10">
        <v>0</v>
      </c>
      <c r="P10">
        <f>(I10*(1+J10)+K10*1000)/Conversions!$D$3/CarriersTech_characteristics!$G$3/Conversions!$D$2</f>
        <v>3.4095551877522841E-3</v>
      </c>
      <c r="Q10" s="101">
        <f>F10*CarriersTech_characteristics!$G$3*Conversions!$D$2*(1-H10)</f>
        <v>222765558.27523467</v>
      </c>
      <c r="R10">
        <f>(L10*(1+M10)+N10*1000)/Conversions!$D$3/CarriersTech_characteristics!$J$3/Conversions!$D$2</f>
        <v>8.5320170054995932E-3</v>
      </c>
      <c r="S10" s="101">
        <f>G10*CarriersTech_characteristics!$J$3*Conversions!$D$2</f>
        <v>2093400016.7472003</v>
      </c>
    </row>
    <row r="11" spans="1:19" x14ac:dyDescent="0.25">
      <c r="B11" t="s">
        <v>33</v>
      </c>
      <c r="C11" t="s">
        <v>6</v>
      </c>
      <c r="D11" t="s">
        <v>12</v>
      </c>
      <c r="E11">
        <v>2023</v>
      </c>
      <c r="F11" s="5">
        <v>30.747</v>
      </c>
      <c r="G11">
        <v>0</v>
      </c>
      <c r="H11">
        <v>0</v>
      </c>
      <c r="I11">
        <v>1156.3734260000001</v>
      </c>
      <c r="J11">
        <v>0.3508</v>
      </c>
      <c r="K11">
        <v>0</v>
      </c>
      <c r="L11">
        <v>13197.14097</v>
      </c>
      <c r="M11">
        <v>0.20499999999999999</v>
      </c>
      <c r="N11">
        <v>0</v>
      </c>
      <c r="P11" s="149">
        <f>(I11*(1+J11)+K11*1000)/CarriersTech_characteristics!$G$2/Conversions!$D$2</f>
        <v>3.267997813018816E-4</v>
      </c>
      <c r="Q11" s="101">
        <f>F11*CarriersTech_characteristics!$G$2*Conversions!$D$2</f>
        <v>146963723.02975145</v>
      </c>
      <c r="R11">
        <f>(L11*(1+M11)+N11*1000)/CarriersTech_characteristics!$J$2/Conversions!$D$2</f>
        <v>2.5321732972882331E-3</v>
      </c>
      <c r="S11" s="101">
        <f>G11*CarriersTech_characteristics!$J$2*Conversions!$D$2</f>
        <v>0</v>
      </c>
    </row>
    <row r="12" spans="1:19" x14ac:dyDescent="0.25">
      <c r="B12" t="s">
        <v>33</v>
      </c>
      <c r="C12" t="s">
        <v>6</v>
      </c>
      <c r="D12" t="s">
        <v>9</v>
      </c>
      <c r="E12">
        <v>2023</v>
      </c>
      <c r="F12" s="5">
        <v>0</v>
      </c>
      <c r="G12">
        <v>0</v>
      </c>
      <c r="H12">
        <v>0</v>
      </c>
      <c r="I12">
        <v>1156.3734260000001</v>
      </c>
      <c r="J12">
        <v>0.3508</v>
      </c>
      <c r="K12">
        <v>0</v>
      </c>
      <c r="L12">
        <v>13197.14097</v>
      </c>
      <c r="M12">
        <v>0.20499999999999999</v>
      </c>
      <c r="N12">
        <v>0</v>
      </c>
      <c r="P12" s="149">
        <f>(I12*(1+J12)+K12*1000)/CarriersTech_characteristics!$G$2/Conversions!$D$2</f>
        <v>3.267997813018816E-4</v>
      </c>
      <c r="Q12" s="101">
        <f>F12*CarriersTech_characteristics!$G$2*Conversions!$D$2</f>
        <v>0</v>
      </c>
      <c r="R12">
        <f>(L12*(1+M12)+N12*1000)/CarriersTech_characteristics!$J$2/Conversions!$D$2</f>
        <v>2.5321732972882331E-3</v>
      </c>
      <c r="S12" s="101">
        <f>G12*CarriersTech_characteristics!$J$2*Conversions!$D$2</f>
        <v>0</v>
      </c>
    </row>
    <row r="13" spans="1:19" x14ac:dyDescent="0.25">
      <c r="B13" t="s">
        <v>33</v>
      </c>
      <c r="C13" t="s">
        <v>6</v>
      </c>
      <c r="D13" t="s">
        <v>10</v>
      </c>
      <c r="E13">
        <v>2023</v>
      </c>
      <c r="F13" s="5">
        <v>395.28899999999999</v>
      </c>
      <c r="G13">
        <v>150</v>
      </c>
      <c r="H13">
        <v>0</v>
      </c>
      <c r="I13">
        <v>1156.3734260000001</v>
      </c>
      <c r="J13">
        <v>0.3508</v>
      </c>
      <c r="K13">
        <v>0</v>
      </c>
      <c r="L13">
        <v>13197.14097</v>
      </c>
      <c r="M13">
        <v>0.20499999999999999</v>
      </c>
      <c r="N13">
        <v>0</v>
      </c>
      <c r="P13" s="149">
        <f>(I13*(1+J13)+K13*1000)/CarriersTech_characteristics!$G$2/Conversions!$D$2</f>
        <v>3.267997813018816E-4</v>
      </c>
      <c r="Q13" s="101">
        <f>F13*CarriersTech_characteristics!$G$2*Conversions!$D$2</f>
        <v>1889392237.0542631</v>
      </c>
      <c r="R13">
        <f>(L13*(1+M13)+N13*1000)/CarriersTech_characteristics!$J$2/Conversions!$D$2</f>
        <v>2.5321732972882331E-3</v>
      </c>
      <c r="S13" s="101">
        <f>G13*CarriersTech_characteristics!$J$2*Conversions!$D$2</f>
        <v>942030007.53624022</v>
      </c>
    </row>
    <row r="14" spans="1:19" x14ac:dyDescent="0.25">
      <c r="B14" t="s">
        <v>33</v>
      </c>
      <c r="C14" t="s">
        <v>6</v>
      </c>
      <c r="D14" t="s">
        <v>11</v>
      </c>
      <c r="E14">
        <v>2023</v>
      </c>
      <c r="F14" s="5">
        <v>406.85700000000003</v>
      </c>
      <c r="G14">
        <v>150</v>
      </c>
      <c r="H14">
        <v>0</v>
      </c>
      <c r="I14">
        <v>1156.3734260000001</v>
      </c>
      <c r="J14">
        <v>0.3508</v>
      </c>
      <c r="K14">
        <v>0</v>
      </c>
      <c r="L14">
        <v>13197.14097</v>
      </c>
      <c r="M14">
        <v>0.20499999999999999</v>
      </c>
      <c r="N14">
        <v>0</v>
      </c>
      <c r="P14" s="149">
        <f>(I14*(1+J14)+K14*1000)/CarriersTech_characteristics!$G$2/Conversions!$D$2</f>
        <v>3.267997813018816E-4</v>
      </c>
      <c r="Q14" s="101">
        <f>F14*CarriersTech_characteristics!$G$2*Conversions!$D$2</f>
        <v>1944684667.1452694</v>
      </c>
      <c r="R14">
        <f>(L14*(1+M14)+N14*1000)/CarriersTech_characteristics!$J$2/Conversions!$D$2</f>
        <v>2.5321732972882331E-3</v>
      </c>
      <c r="S14" s="101">
        <f>G14*CarriersTech_characteristics!$J$2*Conversions!$D$2</f>
        <v>942030007.53624022</v>
      </c>
    </row>
    <row r="15" spans="1:19" x14ac:dyDescent="0.25">
      <c r="B15" t="s">
        <v>33</v>
      </c>
      <c r="C15" t="s">
        <v>6</v>
      </c>
      <c r="D15" t="s">
        <v>8</v>
      </c>
      <c r="E15">
        <v>2023</v>
      </c>
      <c r="F15" s="5">
        <v>91.156000000000006</v>
      </c>
      <c r="G15">
        <v>150</v>
      </c>
      <c r="H15">
        <v>0</v>
      </c>
      <c r="I15">
        <v>1156.3734260000001</v>
      </c>
      <c r="J15">
        <v>0.3508</v>
      </c>
      <c r="K15">
        <v>0</v>
      </c>
      <c r="L15">
        <v>13197.14097</v>
      </c>
      <c r="M15">
        <v>0.20499999999999999</v>
      </c>
      <c r="N15">
        <v>0</v>
      </c>
      <c r="P15" s="149">
        <f>(I15*(1+J15)+K15*1000)/CarriersTech_characteristics!$G$2/Conversions!$D$2</f>
        <v>3.267997813018816E-4</v>
      </c>
      <c r="Q15" s="101">
        <f>F15*CarriersTech_characteristics!$G$2*Conversions!$D$2</f>
        <v>435705113.8810299</v>
      </c>
      <c r="R15">
        <f>(L15*(1+M15)+N15*1000)/CarriersTech_characteristics!$J$2/Conversions!$D$2</f>
        <v>2.5321732972882331E-3</v>
      </c>
      <c r="S15" s="101">
        <f>G15*CarriersTech_characteristics!$J$2*Conversions!$D$2</f>
        <v>942030007.53624022</v>
      </c>
    </row>
    <row r="16" spans="1:19" s="150" customFormat="1" x14ac:dyDescent="0.25">
      <c r="B16" s="150" t="s">
        <v>33</v>
      </c>
      <c r="C16" s="150" t="s">
        <v>6</v>
      </c>
      <c r="D16" s="150" t="s">
        <v>82</v>
      </c>
      <c r="E16" s="150">
        <v>2023</v>
      </c>
      <c r="Q16" s="151">
        <f>SUM(Q11:Q15)</f>
        <v>4416745741.1103144</v>
      </c>
      <c r="S16" s="151">
        <f>SUM(S11:S15)</f>
        <v>2826090022.6087208</v>
      </c>
    </row>
  </sheetData>
  <sortState xmlns:xlrd2="http://schemas.microsoft.com/office/spreadsheetml/2017/richdata2" ref="B8:G15">
    <sortCondition ref="B8:B15"/>
  </sortState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25C07-56D0-4F91-84F0-7F5379189A75}">
  <dimension ref="A1:S16"/>
  <sheetViews>
    <sheetView workbookViewId="0">
      <selection activeCell="H30" sqref="H30"/>
    </sheetView>
  </sheetViews>
  <sheetFormatPr defaultRowHeight="15" x14ac:dyDescent="0.25"/>
  <cols>
    <col min="1" max="1" width="20.42578125" bestFit="1" customWidth="1"/>
    <col min="2" max="2" width="15.7109375" bestFit="1" customWidth="1"/>
    <col min="3" max="3" width="8.28515625" customWidth="1"/>
    <col min="4" max="4" width="7.7109375" customWidth="1"/>
    <col min="5" max="5" width="5" bestFit="1" customWidth="1"/>
    <col min="6" max="6" width="17.28515625" bestFit="1" customWidth="1"/>
    <col min="7" max="7" width="10.42578125" bestFit="1" customWidth="1"/>
    <col min="8" max="8" width="13.5703125" customWidth="1"/>
    <col min="9" max="9" width="13.85546875" bestFit="1" customWidth="1"/>
    <col min="10" max="10" width="15.28515625" bestFit="1" customWidth="1"/>
    <col min="11" max="11" width="15.5703125" bestFit="1" customWidth="1"/>
    <col min="12" max="12" width="12" bestFit="1" customWidth="1"/>
    <col min="13" max="13" width="12.42578125" bestFit="1" customWidth="1"/>
    <col min="14" max="14" width="14.85546875" bestFit="1" customWidth="1"/>
    <col min="16" max="16" width="14.7109375" bestFit="1" customWidth="1"/>
    <col min="17" max="17" width="20.5703125" bestFit="1" customWidth="1"/>
    <col min="18" max="18" width="14.7109375" customWidth="1"/>
    <col min="19" max="19" width="16.7109375" bestFit="1" customWidth="1"/>
  </cols>
  <sheetData>
    <row r="1" spans="1:19" x14ac:dyDescent="0.25">
      <c r="A1" t="s">
        <v>204</v>
      </c>
      <c r="B1" t="s">
        <v>371</v>
      </c>
      <c r="C1" t="s">
        <v>371</v>
      </c>
      <c r="D1" t="s">
        <v>371</v>
      </c>
      <c r="E1" t="s">
        <v>371</v>
      </c>
      <c r="F1" t="s">
        <v>371</v>
      </c>
      <c r="G1" t="s">
        <v>371</v>
      </c>
      <c r="H1" t="s">
        <v>372</v>
      </c>
      <c r="I1" t="s">
        <v>372</v>
      </c>
      <c r="J1" t="s">
        <v>372</v>
      </c>
      <c r="K1" t="s">
        <v>372</v>
      </c>
      <c r="L1" t="s">
        <v>372</v>
      </c>
      <c r="M1" t="s">
        <v>372</v>
      </c>
      <c r="N1" t="s">
        <v>372</v>
      </c>
    </row>
    <row r="2" spans="1:19" x14ac:dyDescent="0.25">
      <c r="A2" t="s">
        <v>282</v>
      </c>
      <c r="B2" s="106" t="s">
        <v>52</v>
      </c>
      <c r="C2" s="106" t="s">
        <v>1</v>
      </c>
      <c r="D2" s="106" t="s">
        <v>2</v>
      </c>
      <c r="E2" s="106" t="s">
        <v>3</v>
      </c>
      <c r="F2" s="106" t="s">
        <v>191</v>
      </c>
      <c r="G2" s="106" t="s">
        <v>190</v>
      </c>
      <c r="H2" s="106" t="s">
        <v>197</v>
      </c>
      <c r="I2" s="106" t="s">
        <v>200</v>
      </c>
      <c r="J2" s="106" t="s">
        <v>196</v>
      </c>
      <c r="K2" s="106" t="s">
        <v>195</v>
      </c>
      <c r="L2" s="106" t="s">
        <v>194</v>
      </c>
      <c r="M2" s="106" t="s">
        <v>193</v>
      </c>
      <c r="N2" s="106" t="s">
        <v>192</v>
      </c>
    </row>
    <row r="3" spans="1:19" x14ac:dyDescent="0.25">
      <c r="A3" t="s">
        <v>83</v>
      </c>
      <c r="F3" t="s">
        <v>84</v>
      </c>
      <c r="G3" t="s">
        <v>85</v>
      </c>
      <c r="H3" t="s">
        <v>86</v>
      </c>
      <c r="I3" t="s">
        <v>373</v>
      </c>
      <c r="J3" t="s">
        <v>88</v>
      </c>
      <c r="K3" t="s">
        <v>89</v>
      </c>
      <c r="L3" t="s">
        <v>90</v>
      </c>
      <c r="M3" t="s">
        <v>91</v>
      </c>
      <c r="N3" t="s">
        <v>205</v>
      </c>
      <c r="P3" t="s">
        <v>93</v>
      </c>
      <c r="Q3" t="s">
        <v>94</v>
      </c>
      <c r="R3" t="s">
        <v>95</v>
      </c>
      <c r="S3" t="s">
        <v>96</v>
      </c>
    </row>
    <row r="4" spans="1:19" x14ac:dyDescent="0.25">
      <c r="A4" t="s">
        <v>213</v>
      </c>
      <c r="P4" t="s">
        <v>387</v>
      </c>
      <c r="Q4" t="s">
        <v>388</v>
      </c>
      <c r="R4" t="s">
        <v>389</v>
      </c>
      <c r="S4" t="s">
        <v>390</v>
      </c>
    </row>
    <row r="5" spans="1:19" x14ac:dyDescent="0.25">
      <c r="A5" t="s">
        <v>283</v>
      </c>
      <c r="P5" t="s">
        <v>381</v>
      </c>
      <c r="Q5" t="s">
        <v>383</v>
      </c>
      <c r="R5" t="s">
        <v>382</v>
      </c>
      <c r="S5" t="s">
        <v>384</v>
      </c>
    </row>
    <row r="6" spans="1:19" s="4" customFormat="1" ht="15.75" thickBot="1" x14ac:dyDescent="0.3">
      <c r="A6" s="4" t="s">
        <v>284</v>
      </c>
      <c r="D6" s="4" t="s">
        <v>285</v>
      </c>
      <c r="P6" s="4" t="s">
        <v>374</v>
      </c>
      <c r="Q6" s="4" t="s">
        <v>380</v>
      </c>
      <c r="R6" s="4" t="s">
        <v>374</v>
      </c>
      <c r="S6" s="4" t="s">
        <v>380</v>
      </c>
    </row>
    <row r="7" spans="1:19" s="6" customFormat="1" ht="16.5" thickTop="1" thickBot="1" x14ac:dyDescent="0.3">
      <c r="A7" s="147" t="s">
        <v>98</v>
      </c>
      <c r="F7" s="6" t="s">
        <v>377</v>
      </c>
      <c r="G7" s="6" t="s">
        <v>198</v>
      </c>
      <c r="H7" s="6" t="s">
        <v>99</v>
      </c>
      <c r="I7" s="6" t="s">
        <v>378</v>
      </c>
      <c r="J7" s="6" t="s">
        <v>99</v>
      </c>
      <c r="K7" s="6" t="s">
        <v>379</v>
      </c>
      <c r="L7" s="6" t="s">
        <v>378</v>
      </c>
      <c r="M7" s="6" t="s">
        <v>99</v>
      </c>
      <c r="N7" s="6" t="s">
        <v>378</v>
      </c>
      <c r="P7" s="6" t="s">
        <v>376</v>
      </c>
      <c r="Q7" s="6" t="s">
        <v>101</v>
      </c>
      <c r="R7" s="6" t="s">
        <v>375</v>
      </c>
    </row>
    <row r="8" spans="1:19" ht="15.75" thickTop="1" x14ac:dyDescent="0.25">
      <c r="B8" t="s">
        <v>59</v>
      </c>
      <c r="C8" t="s">
        <v>6</v>
      </c>
      <c r="E8">
        <v>2024</v>
      </c>
      <c r="F8" s="5">
        <v>270</v>
      </c>
      <c r="G8">
        <v>0</v>
      </c>
      <c r="H8">
        <v>0</v>
      </c>
      <c r="I8">
        <v>5683.2535889999999</v>
      </c>
      <c r="J8">
        <v>0</v>
      </c>
      <c r="K8">
        <v>0</v>
      </c>
      <c r="L8">
        <v>5683.2535889999999</v>
      </c>
      <c r="M8">
        <v>0</v>
      </c>
      <c r="N8">
        <v>0</v>
      </c>
      <c r="P8">
        <f>(I8*(1+J8)+K8*1000)/CarriersTech_characteristics!$G$5/Conversions!$D$2</f>
        <v>1.3148915653420498E-3</v>
      </c>
      <c r="Q8" s="101">
        <f>F8*CarriersTech_characteristics!$G$5*Conversions!$D$2</f>
        <v>1167000009.336</v>
      </c>
      <c r="R8">
        <f>(L8*(1+M8)+N8*1000)/CarriersTech_characteristics!$J$5/Conversions!$D$2</f>
        <v>1.3148915653420498E-3</v>
      </c>
      <c r="S8" s="101">
        <f>G8*CarriersTech_characteristics!$J$5*Conversions!$D$2</f>
        <v>0</v>
      </c>
    </row>
    <row r="9" spans="1:19" x14ac:dyDescent="0.25">
      <c r="B9" t="s">
        <v>38</v>
      </c>
      <c r="C9" t="s">
        <v>6</v>
      </c>
      <c r="E9">
        <v>2024</v>
      </c>
      <c r="F9" s="5">
        <v>175</v>
      </c>
      <c r="G9">
        <v>0</v>
      </c>
      <c r="H9">
        <v>0</v>
      </c>
      <c r="I9">
        <v>9000</v>
      </c>
      <c r="J9">
        <v>0.05</v>
      </c>
      <c r="K9">
        <v>0</v>
      </c>
      <c r="L9">
        <v>9000</v>
      </c>
      <c r="M9">
        <v>0.05</v>
      </c>
      <c r="N9">
        <v>0</v>
      </c>
      <c r="P9">
        <f>(I9*(1+J9)+K9*1000)/CarriersTech_characteristics!$G$7/Conversions!$D$2</f>
        <v>2.4924961160316295E-3</v>
      </c>
      <c r="Q9" s="101">
        <f>F9*CarriersTech_characteristics!$G$7*Conversions!$D$2</f>
        <v>663491505.30793202</v>
      </c>
      <c r="R9">
        <f>(L9*(1+M9)+N9*1000)/CarriersTech_characteristics!$J$7/Conversions!$D$2</f>
        <v>2.4924961160316295E-3</v>
      </c>
      <c r="S9" s="101">
        <f>G9*CarriersTech_characteristics!$J$7*Conversions!$D$2</f>
        <v>0</v>
      </c>
    </row>
    <row r="10" spans="1:19" x14ac:dyDescent="0.25">
      <c r="B10" t="s">
        <v>35</v>
      </c>
      <c r="C10" t="s">
        <v>6</v>
      </c>
      <c r="E10">
        <v>2024</v>
      </c>
      <c r="F10" s="5">
        <v>34.320959999999999</v>
      </c>
      <c r="G10">
        <v>200</v>
      </c>
      <c r="H10">
        <v>0.36749121400000001</v>
      </c>
      <c r="I10">
        <v>24102</v>
      </c>
      <c r="J10">
        <v>0.24</v>
      </c>
      <c r="K10">
        <v>0</v>
      </c>
      <c r="L10">
        <v>35195.966509999998</v>
      </c>
      <c r="M10">
        <v>0.34899999999999998</v>
      </c>
      <c r="N10">
        <v>0</v>
      </c>
      <c r="P10">
        <f>(I10*(1+J10)+K10*1000)/Conversions!$D$3/CarriersTech_characteristics!$G$3/Conversions!$D$2</f>
        <v>3.4442765044794309E-3</v>
      </c>
      <c r="Q10" s="101">
        <f>F10*CarriersTech_characteristics!$G$3*Conversions!$D$2*(1-H10)</f>
        <v>227220869.4407393</v>
      </c>
      <c r="R10">
        <f>(L10*(1+M10)+N10*1000)/Conversions!$D$3/CarriersTech_characteristics!$J$3/Conversions!$D$2</f>
        <v>5.4717731910324773E-3</v>
      </c>
      <c r="S10" s="101">
        <f>G10*CarriersTech_characteristics!$J$3*Conversions!$D$2</f>
        <v>2093400016.7472003</v>
      </c>
    </row>
    <row r="11" spans="1:19" x14ac:dyDescent="0.25">
      <c r="B11" t="s">
        <v>33</v>
      </c>
      <c r="C11" t="s">
        <v>6</v>
      </c>
      <c r="D11" t="s">
        <v>12</v>
      </c>
      <c r="E11">
        <v>2024</v>
      </c>
      <c r="F11" s="5">
        <v>31.923199910000001</v>
      </c>
      <c r="G11">
        <v>0</v>
      </c>
      <c r="H11">
        <v>0</v>
      </c>
      <c r="I11">
        <v>1156.3734260000001</v>
      </c>
      <c r="J11">
        <v>0.3508</v>
      </c>
      <c r="K11">
        <v>0</v>
      </c>
      <c r="L11">
        <v>10095.812840000001</v>
      </c>
      <c r="M11">
        <v>0.20499999999999999</v>
      </c>
      <c r="N11">
        <v>0</v>
      </c>
      <c r="P11" s="149">
        <f>(I11*(1+J11)+K11*1000)/CarriersTech_characteristics!$G$2/Conversions!$D$2</f>
        <v>3.267997813018816E-4</v>
      </c>
      <c r="Q11" s="101">
        <f>F11*CarriersTech_characteristics!$G$2*Conversions!$D$2</f>
        <v>152585693.23175034</v>
      </c>
      <c r="R11">
        <f>(L11*(1+M11)+N11*1000)/CarriersTech_characteristics!$J$2/Conversions!$D$2</f>
        <v>1.937112572032159E-3</v>
      </c>
      <c r="S11" s="101">
        <f>G11*CarriersTech_characteristics!$J$2*Conversions!$D$2</f>
        <v>0</v>
      </c>
    </row>
    <row r="12" spans="1:19" x14ac:dyDescent="0.25">
      <c r="B12" t="s">
        <v>33</v>
      </c>
      <c r="C12" t="s">
        <v>6</v>
      </c>
      <c r="D12" t="s">
        <v>9</v>
      </c>
      <c r="E12">
        <v>2024</v>
      </c>
      <c r="F12" s="5">
        <v>0</v>
      </c>
      <c r="G12">
        <v>0</v>
      </c>
      <c r="H12">
        <v>0</v>
      </c>
      <c r="I12">
        <v>1156.3734260000001</v>
      </c>
      <c r="J12">
        <v>0.3508</v>
      </c>
      <c r="K12">
        <v>0</v>
      </c>
      <c r="L12">
        <v>10095.812840000001</v>
      </c>
      <c r="M12">
        <v>0.20499999999999999</v>
      </c>
      <c r="N12">
        <v>0</v>
      </c>
      <c r="P12" s="149">
        <f>(I12*(1+J12)+K12*1000)/CarriersTech_characteristics!$G$2/Conversions!$D$2</f>
        <v>3.267997813018816E-4</v>
      </c>
      <c r="Q12" s="101">
        <f>F12*CarriersTech_characteristics!$G$2*Conversions!$D$2</f>
        <v>0</v>
      </c>
      <c r="R12">
        <f>(L12*(1+M12)+N12*1000)/CarriersTech_characteristics!$J$2/Conversions!$D$2</f>
        <v>1.937112572032159E-3</v>
      </c>
      <c r="S12" s="101">
        <f>G12*CarriersTech_characteristics!$J$2*Conversions!$D$2</f>
        <v>0</v>
      </c>
    </row>
    <row r="13" spans="1:19" x14ac:dyDescent="0.25">
      <c r="B13" t="s">
        <v>33</v>
      </c>
      <c r="C13" t="s">
        <v>6</v>
      </c>
      <c r="D13" t="s">
        <v>10</v>
      </c>
      <c r="E13">
        <v>2024</v>
      </c>
      <c r="F13" s="5">
        <v>417.8480922</v>
      </c>
      <c r="G13">
        <v>150</v>
      </c>
      <c r="H13">
        <v>0</v>
      </c>
      <c r="I13">
        <v>1156.3734260000001</v>
      </c>
      <c r="J13">
        <v>0.3508</v>
      </c>
      <c r="K13">
        <v>0</v>
      </c>
      <c r="L13">
        <v>10095.812840000001</v>
      </c>
      <c r="M13">
        <v>0.20499999999999999</v>
      </c>
      <c r="N13">
        <v>0</v>
      </c>
      <c r="P13" s="149">
        <f>(I13*(1+J13)+K13*1000)/CarriersTech_characteristics!$G$2/Conversions!$D$2</f>
        <v>3.267997813018816E-4</v>
      </c>
      <c r="Q13" s="101">
        <f>F13*CarriersTech_characteristics!$G$2*Conversions!$D$2</f>
        <v>1997219608.111063</v>
      </c>
      <c r="R13">
        <f>(L13*(1+M13)+N13*1000)/CarriersTech_characteristics!$J$2/Conversions!$D$2</f>
        <v>1.937112572032159E-3</v>
      </c>
      <c r="S13" s="101">
        <f>G13*CarriersTech_characteristics!$J$2*Conversions!$D$2</f>
        <v>942030007.53624022</v>
      </c>
    </row>
    <row r="14" spans="1:19" x14ac:dyDescent="0.25">
      <c r="B14" t="s">
        <v>33</v>
      </c>
      <c r="C14" t="s">
        <v>6</v>
      </c>
      <c r="D14" t="s">
        <v>11</v>
      </c>
      <c r="E14">
        <v>2024</v>
      </c>
      <c r="F14" s="5">
        <v>429.33807350000001</v>
      </c>
      <c r="G14">
        <v>150</v>
      </c>
      <c r="H14">
        <v>0</v>
      </c>
      <c r="I14">
        <v>1156.3734260000001</v>
      </c>
      <c r="J14">
        <v>0.3508</v>
      </c>
      <c r="K14">
        <v>0</v>
      </c>
      <c r="L14">
        <v>10095.812840000001</v>
      </c>
      <c r="M14">
        <v>0.20499999999999999</v>
      </c>
      <c r="N14">
        <v>0</v>
      </c>
      <c r="P14" s="149">
        <f>(I14*(1+J14)+K14*1000)/CarriersTech_characteristics!$G$2/Conversions!$D$2</f>
        <v>3.267997813018816E-4</v>
      </c>
      <c r="Q14" s="101">
        <f>F14*CarriersTech_characteristics!$G$2*Conversions!$D$2</f>
        <v>2052139126.4182222</v>
      </c>
      <c r="R14">
        <f>(L14*(1+M14)+N14*1000)/CarriersTech_characteristics!$J$2/Conversions!$D$2</f>
        <v>1.937112572032159E-3</v>
      </c>
      <c r="S14" s="101">
        <f>G14*CarriersTech_characteristics!$J$2*Conversions!$D$2</f>
        <v>942030007.53624022</v>
      </c>
    </row>
    <row r="15" spans="1:19" x14ac:dyDescent="0.25">
      <c r="B15" t="s">
        <v>33</v>
      </c>
      <c r="C15" t="s">
        <v>6</v>
      </c>
      <c r="D15" t="s">
        <v>8</v>
      </c>
      <c r="E15">
        <v>2024</v>
      </c>
      <c r="F15" s="5">
        <v>91.773024770000006</v>
      </c>
      <c r="G15">
        <v>150</v>
      </c>
      <c r="H15">
        <v>0</v>
      </c>
      <c r="I15">
        <v>1156.3734260000001</v>
      </c>
      <c r="J15">
        <v>0.3508</v>
      </c>
      <c r="K15">
        <v>0</v>
      </c>
      <c r="L15">
        <v>10095.812840000001</v>
      </c>
      <c r="M15">
        <v>0.20499999999999999</v>
      </c>
      <c r="N15">
        <v>0</v>
      </c>
      <c r="P15" s="149">
        <f>(I15*(1+J15)+K15*1000)/CarriersTech_characteristics!$G$2/Conversions!$D$2</f>
        <v>3.267997813018816E-4</v>
      </c>
      <c r="Q15" s="101">
        <f>F15*CarriersTech_characteristics!$G$2*Conversions!$D$2</f>
        <v>438654353.07187051</v>
      </c>
      <c r="R15">
        <f>(L15*(1+M15)+N15*1000)/CarriersTech_characteristics!$J$2/Conversions!$D$2</f>
        <v>1.937112572032159E-3</v>
      </c>
      <c r="S15" s="101">
        <f>G15*CarriersTech_characteristics!$J$2*Conversions!$D$2</f>
        <v>942030007.53624022</v>
      </c>
    </row>
    <row r="16" spans="1:19" s="150" customFormat="1" x14ac:dyDescent="0.25">
      <c r="B16" s="150" t="s">
        <v>33</v>
      </c>
      <c r="C16" s="150" t="s">
        <v>6</v>
      </c>
      <c r="D16" s="150" t="s">
        <v>82</v>
      </c>
      <c r="E16" s="150">
        <v>2024</v>
      </c>
      <c r="P16" s="152">
        <f>AVERAGE(P11:P15)</f>
        <v>3.267997813018816E-4</v>
      </c>
      <c r="Q16" s="151">
        <f>SUM(Q11:Q15)</f>
        <v>4640598780.8329067</v>
      </c>
      <c r="R16" s="152">
        <f>AVERAGE(R11:R15)</f>
        <v>1.937112572032159E-3</v>
      </c>
      <c r="S16" s="151">
        <f>SUM(S11:S15)</f>
        <v>2826090022.6087208</v>
      </c>
    </row>
  </sheetData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4F7A7-B72E-4819-93FC-C5F163887A5F}">
  <dimension ref="A1:BJ202"/>
  <sheetViews>
    <sheetView workbookViewId="0">
      <pane xSplit="1" ySplit="2" topLeftCell="B178" activePane="bottomRight" state="frozen"/>
      <selection pane="topRight" activeCell="B1" sqref="B1"/>
      <selection pane="bottomLeft" activeCell="A3" sqref="A3"/>
      <selection pane="bottomRight" activeCell="A203" sqref="A203"/>
    </sheetView>
  </sheetViews>
  <sheetFormatPr defaultRowHeight="15" x14ac:dyDescent="0.25"/>
  <cols>
    <col min="1" max="1" width="21.140625" bestFit="1" customWidth="1"/>
    <col min="10" max="11" width="6" bestFit="1" customWidth="1"/>
    <col min="12" max="21" width="5" bestFit="1" customWidth="1"/>
    <col min="22" max="22" width="14.140625" bestFit="1" customWidth="1"/>
    <col min="23" max="42" width="12" bestFit="1" customWidth="1"/>
    <col min="43" max="43" width="18" bestFit="1" customWidth="1"/>
  </cols>
  <sheetData>
    <row r="1" spans="1:62" x14ac:dyDescent="0.25">
      <c r="A1" t="s">
        <v>236</v>
      </c>
      <c r="C1" t="s">
        <v>211</v>
      </c>
      <c r="W1" t="s">
        <v>211</v>
      </c>
      <c r="AQ1" t="s">
        <v>364</v>
      </c>
    </row>
    <row r="2" spans="1:62" x14ac:dyDescent="0.25">
      <c r="A2" s="106" t="s">
        <v>225</v>
      </c>
      <c r="B2" t="s">
        <v>226</v>
      </c>
      <c r="C2" s="106" t="s">
        <v>235</v>
      </c>
      <c r="D2" t="s">
        <v>226</v>
      </c>
      <c r="W2" s="106" t="s">
        <v>74</v>
      </c>
      <c r="X2" t="s">
        <v>226</v>
      </c>
      <c r="AQ2" s="106" t="s">
        <v>363</v>
      </c>
      <c r="AR2" t="s">
        <v>226</v>
      </c>
    </row>
    <row r="3" spans="1:62" x14ac:dyDescent="0.25">
      <c r="A3" t="s">
        <v>73</v>
      </c>
      <c r="B3" s="7">
        <v>2023</v>
      </c>
      <c r="C3" t="s">
        <v>73</v>
      </c>
      <c r="D3">
        <v>2024</v>
      </c>
      <c r="E3">
        <v>2025</v>
      </c>
      <c r="F3">
        <v>2026</v>
      </c>
      <c r="G3">
        <v>2027</v>
      </c>
      <c r="H3">
        <v>2028</v>
      </c>
      <c r="I3">
        <v>2029</v>
      </c>
      <c r="J3">
        <v>2030</v>
      </c>
      <c r="K3">
        <v>2031</v>
      </c>
      <c r="L3">
        <v>2032</v>
      </c>
      <c r="M3">
        <v>2033</v>
      </c>
      <c r="N3">
        <v>2034</v>
      </c>
      <c r="O3">
        <v>2035</v>
      </c>
      <c r="P3">
        <v>2036</v>
      </c>
      <c r="Q3">
        <v>2037</v>
      </c>
      <c r="R3">
        <v>2038</v>
      </c>
      <c r="S3">
        <v>2039</v>
      </c>
      <c r="T3">
        <v>2040</v>
      </c>
      <c r="U3">
        <v>2041</v>
      </c>
      <c r="V3" t="s">
        <v>228</v>
      </c>
      <c r="W3" t="s">
        <v>73</v>
      </c>
      <c r="X3">
        <v>2024</v>
      </c>
      <c r="Y3">
        <v>2025</v>
      </c>
      <c r="Z3">
        <v>2026</v>
      </c>
      <c r="AA3">
        <v>2027</v>
      </c>
      <c r="AB3">
        <v>2028</v>
      </c>
      <c r="AC3">
        <v>2029</v>
      </c>
      <c r="AD3">
        <v>2030</v>
      </c>
      <c r="AE3">
        <v>2031</v>
      </c>
      <c r="AF3">
        <v>2032</v>
      </c>
      <c r="AG3">
        <v>2033</v>
      </c>
      <c r="AH3">
        <v>2034</v>
      </c>
      <c r="AI3">
        <v>2035</v>
      </c>
      <c r="AJ3">
        <v>2036</v>
      </c>
      <c r="AK3">
        <v>2037</v>
      </c>
      <c r="AL3">
        <v>2038</v>
      </c>
      <c r="AM3">
        <v>2039</v>
      </c>
      <c r="AN3">
        <v>2040</v>
      </c>
      <c r="AO3">
        <v>2041</v>
      </c>
      <c r="AP3" t="s">
        <v>228</v>
      </c>
      <c r="AQ3" t="s">
        <v>73</v>
      </c>
      <c r="AR3">
        <v>2024</v>
      </c>
      <c r="AS3">
        <v>2025</v>
      </c>
      <c r="AT3">
        <v>2026</v>
      </c>
      <c r="AU3">
        <v>2027</v>
      </c>
      <c r="AV3">
        <v>2028</v>
      </c>
      <c r="AW3">
        <v>2029</v>
      </c>
      <c r="AX3">
        <v>2030</v>
      </c>
      <c r="AY3">
        <v>2031</v>
      </c>
      <c r="AZ3">
        <v>2032</v>
      </c>
      <c r="BA3">
        <v>2033</v>
      </c>
      <c r="BB3">
        <v>2034</v>
      </c>
      <c r="BC3">
        <v>2035</v>
      </c>
      <c r="BD3">
        <v>2036</v>
      </c>
      <c r="BE3">
        <v>2037</v>
      </c>
      <c r="BF3">
        <v>2038</v>
      </c>
      <c r="BG3">
        <v>2039</v>
      </c>
      <c r="BH3">
        <v>2040</v>
      </c>
      <c r="BI3">
        <v>2041</v>
      </c>
      <c r="BJ3" t="s">
        <v>228</v>
      </c>
    </row>
    <row r="4" spans="1:62" s="2" customFormat="1" x14ac:dyDescent="0.25">
      <c r="A4" s="2" t="s">
        <v>12</v>
      </c>
      <c r="C4" s="2" t="s">
        <v>12</v>
      </c>
      <c r="D4" s="2">
        <v>5.7302850662000004</v>
      </c>
      <c r="E4" s="2">
        <v>12.310682276</v>
      </c>
      <c r="F4" s="2">
        <v>18.219753778999998</v>
      </c>
      <c r="G4" s="2">
        <v>17.552791495999998</v>
      </c>
      <c r="H4" s="2">
        <v>1.6012732029999999</v>
      </c>
      <c r="I4" s="2">
        <v>2.9927801229999997</v>
      </c>
      <c r="J4" s="2">
        <v>2.1219235839999997</v>
      </c>
      <c r="K4" s="2">
        <v>1.8943604420000002</v>
      </c>
      <c r="L4" s="2">
        <v>1.5629999999999999</v>
      </c>
      <c r="M4" s="2">
        <v>0.43</v>
      </c>
      <c r="N4" s="2">
        <v>0.3</v>
      </c>
      <c r="O4" s="2">
        <v>0.8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65.51684996920001</v>
      </c>
      <c r="W4" s="2" t="s">
        <v>12</v>
      </c>
      <c r="X4" s="2">
        <v>5.7302850662000004</v>
      </c>
      <c r="Y4" s="2">
        <v>12.390225472999999</v>
      </c>
      <c r="Z4" s="2">
        <v>18.411872803999998</v>
      </c>
      <c r="AA4" s="2">
        <v>18.582810320999997</v>
      </c>
      <c r="AB4" s="2">
        <v>30.456713967999999</v>
      </c>
      <c r="AC4" s="2">
        <v>33.839686972000003</v>
      </c>
      <c r="AD4" s="2">
        <v>37.599498105000009</v>
      </c>
      <c r="AE4" s="2">
        <v>42.668399588</v>
      </c>
      <c r="AF4" s="2">
        <v>45.503399587999994</v>
      </c>
      <c r="AG4" s="2">
        <v>44.688430449999998</v>
      </c>
      <c r="AH4" s="2">
        <v>44.179430449999998</v>
      </c>
      <c r="AI4" s="2">
        <v>44.396430449999997</v>
      </c>
      <c r="AJ4" s="2">
        <v>44.220088438999994</v>
      </c>
      <c r="AK4" s="2">
        <v>46.964088439000008</v>
      </c>
      <c r="AL4" s="2">
        <v>47.627088438999991</v>
      </c>
      <c r="AM4" s="2">
        <v>47.627088438999991</v>
      </c>
      <c r="AN4" s="2">
        <v>47.627088438999991</v>
      </c>
      <c r="AO4" s="2">
        <v>47.627088438999991</v>
      </c>
      <c r="AP4" s="2">
        <v>660.13971386919991</v>
      </c>
      <c r="AQ4" s="2" t="s">
        <v>12</v>
      </c>
      <c r="AR4" s="2">
        <v>0.22</v>
      </c>
      <c r="AS4" s="2">
        <v>0</v>
      </c>
      <c r="AT4" s="2">
        <v>0</v>
      </c>
      <c r="AU4" s="2">
        <v>0.21</v>
      </c>
      <c r="AV4" s="2">
        <v>2.27</v>
      </c>
      <c r="AW4" s="2">
        <v>0.21</v>
      </c>
      <c r="AX4" s="2">
        <v>2.3149999999999999</v>
      </c>
      <c r="AY4" s="2">
        <v>0</v>
      </c>
      <c r="AZ4" s="2">
        <v>0.86</v>
      </c>
      <c r="BA4" s="2">
        <v>1.55</v>
      </c>
      <c r="BB4" s="2">
        <v>1.1741699999999999</v>
      </c>
      <c r="BC4" s="2">
        <v>1.5941700000000001</v>
      </c>
      <c r="BD4" s="2">
        <v>1.1741699999999999</v>
      </c>
      <c r="BE4" s="2">
        <v>0.72767999910000003</v>
      </c>
      <c r="BF4" s="2">
        <v>0.72767999910000003</v>
      </c>
      <c r="BG4" s="2">
        <v>0.72767999910000003</v>
      </c>
      <c r="BH4" s="2">
        <v>0.95942000009999995</v>
      </c>
      <c r="BI4" s="2">
        <v>1.3564249995</v>
      </c>
      <c r="BJ4" s="2">
        <v>16.0763949969</v>
      </c>
    </row>
    <row r="5" spans="1:62" x14ac:dyDescent="0.25">
      <c r="A5" t="s">
        <v>13</v>
      </c>
      <c r="B5">
        <v>67.226538984000001</v>
      </c>
      <c r="C5" t="s">
        <v>13</v>
      </c>
      <c r="D5">
        <v>0</v>
      </c>
      <c r="E5">
        <v>1.32</v>
      </c>
      <c r="F5">
        <v>0</v>
      </c>
      <c r="G5">
        <v>2.64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0.8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4.76</v>
      </c>
      <c r="W5" t="s">
        <v>13</v>
      </c>
      <c r="X5">
        <v>0</v>
      </c>
      <c r="Y5">
        <v>1.32</v>
      </c>
      <c r="Z5">
        <v>0</v>
      </c>
      <c r="AA5">
        <v>2.64</v>
      </c>
      <c r="AB5">
        <v>0</v>
      </c>
      <c r="AC5">
        <v>2.5429999999999997</v>
      </c>
      <c r="AD5">
        <v>2.3600000000000003</v>
      </c>
      <c r="AE5">
        <v>2.3410000000000002</v>
      </c>
      <c r="AF5">
        <v>2.5150000000000001</v>
      </c>
      <c r="AG5">
        <v>2.5150000000000001</v>
      </c>
      <c r="AH5">
        <v>1.8739999999999999</v>
      </c>
      <c r="AI5">
        <v>2.1989999999999998</v>
      </c>
      <c r="AJ5">
        <v>2.1480000000000001</v>
      </c>
      <c r="AK5">
        <v>2.41</v>
      </c>
      <c r="AL5">
        <v>2.5429999999999997</v>
      </c>
      <c r="AM5">
        <v>2.5429999999999997</v>
      </c>
      <c r="AN5">
        <v>2.5429999999999997</v>
      </c>
      <c r="AO5">
        <v>2.5429999999999997</v>
      </c>
      <c r="AP5">
        <v>35.036999999999999</v>
      </c>
      <c r="AQ5" t="s">
        <v>13</v>
      </c>
      <c r="AR5">
        <v>0.22</v>
      </c>
      <c r="AS5">
        <v>0</v>
      </c>
      <c r="AT5">
        <v>0</v>
      </c>
      <c r="AU5">
        <v>0</v>
      </c>
      <c r="AV5">
        <v>2.06</v>
      </c>
      <c r="AW5">
        <v>0</v>
      </c>
      <c r="AX5">
        <v>2.105</v>
      </c>
      <c r="AY5">
        <v>0</v>
      </c>
      <c r="AZ5">
        <v>0.86</v>
      </c>
      <c r="BA5">
        <v>1.55</v>
      </c>
      <c r="BB5">
        <v>0.71</v>
      </c>
      <c r="BC5">
        <v>1.1300000000000001</v>
      </c>
      <c r="BD5">
        <v>0.71</v>
      </c>
      <c r="BE5">
        <v>0</v>
      </c>
      <c r="BF5">
        <v>0</v>
      </c>
      <c r="BG5">
        <v>0</v>
      </c>
      <c r="BH5">
        <v>0</v>
      </c>
      <c r="BI5">
        <v>0</v>
      </c>
      <c r="BJ5">
        <v>9.3449999999999989</v>
      </c>
    </row>
    <row r="6" spans="1:62" x14ac:dyDescent="0.25">
      <c r="A6" t="s">
        <v>14</v>
      </c>
      <c r="B6">
        <v>7.3305467170000007</v>
      </c>
      <c r="C6" t="s">
        <v>14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 t="s">
        <v>14</v>
      </c>
      <c r="X6">
        <v>0</v>
      </c>
      <c r="Y6">
        <v>0</v>
      </c>
      <c r="Z6">
        <v>0</v>
      </c>
      <c r="AA6">
        <v>0</v>
      </c>
      <c r="AB6">
        <v>0.23400000000000001</v>
      </c>
      <c r="AC6">
        <v>0.23400000000000001</v>
      </c>
      <c r="AD6">
        <v>0.23400000000000001</v>
      </c>
      <c r="AE6">
        <v>0.23400000000000001</v>
      </c>
      <c r="AF6">
        <v>0.23400000000000001</v>
      </c>
      <c r="AG6">
        <v>0.23400000000000001</v>
      </c>
      <c r="AH6">
        <v>0.23400000000000001</v>
      </c>
      <c r="AI6">
        <v>0.23400000000000001</v>
      </c>
      <c r="AJ6">
        <v>0.23400000000000001</v>
      </c>
      <c r="AK6">
        <v>0.23400000000000001</v>
      </c>
      <c r="AL6">
        <v>0.23400000000000001</v>
      </c>
      <c r="AM6">
        <v>0.23400000000000001</v>
      </c>
      <c r="AN6">
        <v>0.23400000000000001</v>
      </c>
      <c r="AO6">
        <v>0.23400000000000001</v>
      </c>
      <c r="AP6">
        <v>3.2760000000000002</v>
      </c>
      <c r="AQ6" t="s">
        <v>14</v>
      </c>
      <c r="AR6">
        <v>0</v>
      </c>
      <c r="AS6">
        <v>0</v>
      </c>
      <c r="AT6">
        <v>0</v>
      </c>
      <c r="AU6">
        <v>0.21</v>
      </c>
      <c r="AV6">
        <v>0.21</v>
      </c>
      <c r="AW6">
        <v>0.21</v>
      </c>
      <c r="AX6">
        <v>0.21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0.84</v>
      </c>
    </row>
    <row r="7" spans="1:62" x14ac:dyDescent="0.25">
      <c r="A7" t="s">
        <v>16</v>
      </c>
      <c r="B7">
        <v>0</v>
      </c>
      <c r="C7" t="s">
        <v>16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 t="s">
        <v>16</v>
      </c>
      <c r="X7">
        <v>0</v>
      </c>
      <c r="Y7">
        <v>0</v>
      </c>
      <c r="Z7">
        <v>0</v>
      </c>
      <c r="AA7">
        <v>0.7</v>
      </c>
      <c r="AB7">
        <v>0.7</v>
      </c>
      <c r="AC7">
        <v>0.7</v>
      </c>
      <c r="AD7">
        <v>0.7</v>
      </c>
      <c r="AE7">
        <v>0.7</v>
      </c>
      <c r="AF7">
        <v>0.7</v>
      </c>
      <c r="AG7">
        <v>0.7</v>
      </c>
      <c r="AH7">
        <v>0.7</v>
      </c>
      <c r="AI7">
        <v>0.7</v>
      </c>
      <c r="AJ7">
        <v>0.7</v>
      </c>
      <c r="AK7">
        <v>0.7</v>
      </c>
      <c r="AL7">
        <v>0.7</v>
      </c>
      <c r="AM7">
        <v>0.7</v>
      </c>
      <c r="AN7">
        <v>0.7</v>
      </c>
      <c r="AO7">
        <v>0.7</v>
      </c>
      <c r="AP7">
        <v>10.499999999999998</v>
      </c>
    </row>
    <row r="8" spans="1:62" x14ac:dyDescent="0.25">
      <c r="A8" t="s">
        <v>17</v>
      </c>
      <c r="B8">
        <v>1.6035183979999998</v>
      </c>
      <c r="C8" t="s">
        <v>17</v>
      </c>
      <c r="D8">
        <v>0</v>
      </c>
      <c r="E8">
        <v>0.7</v>
      </c>
      <c r="F8">
        <v>0.7</v>
      </c>
      <c r="G8">
        <v>0</v>
      </c>
      <c r="H8">
        <v>0</v>
      </c>
      <c r="I8">
        <v>0</v>
      </c>
      <c r="J8">
        <v>1.4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2.8</v>
      </c>
      <c r="W8" t="s">
        <v>17</v>
      </c>
      <c r="X8">
        <v>0</v>
      </c>
      <c r="Y8">
        <v>0.7</v>
      </c>
      <c r="Z8">
        <v>0.7</v>
      </c>
      <c r="AA8">
        <v>0</v>
      </c>
      <c r="AB8">
        <v>0</v>
      </c>
      <c r="AC8">
        <v>0</v>
      </c>
      <c r="AD8">
        <v>1.4</v>
      </c>
      <c r="AE8">
        <v>0</v>
      </c>
      <c r="AF8">
        <v>0</v>
      </c>
      <c r="AG8">
        <v>0</v>
      </c>
      <c r="AH8">
        <v>0.19600000000000004</v>
      </c>
      <c r="AI8">
        <v>0.19600000000000004</v>
      </c>
      <c r="AJ8">
        <v>0.19600000000000004</v>
      </c>
      <c r="AK8">
        <v>0.19600000000000004</v>
      </c>
      <c r="AL8">
        <v>0.19600000000000004</v>
      </c>
      <c r="AM8">
        <v>0.19600000000000004</v>
      </c>
      <c r="AN8">
        <v>0.19600000000000004</v>
      </c>
      <c r="AO8">
        <v>0.19600000000000004</v>
      </c>
      <c r="AP8">
        <v>4.3680000000000003</v>
      </c>
    </row>
    <row r="9" spans="1:62" x14ac:dyDescent="0.25">
      <c r="A9" t="s">
        <v>22</v>
      </c>
      <c r="B9">
        <v>0</v>
      </c>
      <c r="C9" t="s">
        <v>22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 t="s">
        <v>22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4.8000000000000001E-2</v>
      </c>
      <c r="AH9">
        <v>4.8000000000000001E-2</v>
      </c>
      <c r="AI9">
        <v>4.8000000000000001E-2</v>
      </c>
      <c r="AJ9">
        <v>4.8000000000000001E-2</v>
      </c>
      <c r="AK9">
        <v>4.8000000000000001E-2</v>
      </c>
      <c r="AL9">
        <v>4.8000000000000001E-2</v>
      </c>
      <c r="AM9">
        <v>4.8000000000000001E-2</v>
      </c>
      <c r="AN9">
        <v>4.8000000000000001E-2</v>
      </c>
      <c r="AO9">
        <v>4.8000000000000001E-2</v>
      </c>
      <c r="AP9">
        <v>0.43199999999999994</v>
      </c>
    </row>
    <row r="10" spans="1:62" x14ac:dyDescent="0.25">
      <c r="A10" t="s">
        <v>15</v>
      </c>
      <c r="B10">
        <v>20.527317305</v>
      </c>
      <c r="C10" t="s">
        <v>15</v>
      </c>
      <c r="D10">
        <v>0</v>
      </c>
      <c r="E10">
        <v>0.56000000000000005</v>
      </c>
      <c r="F10">
        <v>1.55</v>
      </c>
      <c r="G10">
        <v>0</v>
      </c>
      <c r="H10">
        <v>1.004</v>
      </c>
      <c r="I10">
        <v>0.72</v>
      </c>
      <c r="J10">
        <v>0.45</v>
      </c>
      <c r="K10">
        <v>1.6240000000000001</v>
      </c>
      <c r="L10">
        <v>1.39</v>
      </c>
      <c r="M10">
        <v>0.43</v>
      </c>
      <c r="N10">
        <v>0.3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8.0280000000000005</v>
      </c>
      <c r="W10" t="s">
        <v>15</v>
      </c>
      <c r="X10">
        <v>0</v>
      </c>
      <c r="Y10">
        <v>0.56000000000000005</v>
      </c>
      <c r="Z10">
        <v>1.55</v>
      </c>
      <c r="AA10">
        <v>0</v>
      </c>
      <c r="AB10">
        <v>1.004</v>
      </c>
      <c r="AC10">
        <v>0.72</v>
      </c>
      <c r="AD10">
        <v>0.45</v>
      </c>
      <c r="AE10">
        <v>1.6240000000000001</v>
      </c>
      <c r="AF10">
        <v>1.4549999999999996</v>
      </c>
      <c r="AG10">
        <v>0.70199999999999996</v>
      </c>
      <c r="AH10">
        <v>0.63800000000000001</v>
      </c>
      <c r="AI10">
        <v>0.53</v>
      </c>
      <c r="AJ10">
        <v>0.53</v>
      </c>
      <c r="AK10">
        <v>0</v>
      </c>
      <c r="AL10">
        <v>0.53</v>
      </c>
      <c r="AM10">
        <v>0.53</v>
      </c>
      <c r="AN10">
        <v>0.53</v>
      </c>
      <c r="AO10">
        <v>0.53</v>
      </c>
      <c r="AP10">
        <v>11.882999999999997</v>
      </c>
    </row>
    <row r="11" spans="1:62" x14ac:dyDescent="0.25">
      <c r="A11" t="s">
        <v>18</v>
      </c>
      <c r="B11">
        <v>1.6987499999999998</v>
      </c>
      <c r="C11" t="s">
        <v>18</v>
      </c>
      <c r="D11">
        <v>2.8000000000000004E-2</v>
      </c>
      <c r="E11">
        <v>2.8000000000000004E-2</v>
      </c>
      <c r="F11">
        <v>2.8000000000000004E-2</v>
      </c>
      <c r="G11">
        <v>2.8000000000000004E-2</v>
      </c>
      <c r="H11">
        <v>1.8000000000000002E-2</v>
      </c>
      <c r="I11">
        <v>1.8000000000000002E-2</v>
      </c>
      <c r="J11">
        <v>1.8000000000000002E-2</v>
      </c>
      <c r="K11">
        <v>1.8000000000000002E-2</v>
      </c>
      <c r="L11">
        <v>1.8000000000000002E-2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0.20200000000000007</v>
      </c>
      <c r="W11" t="s">
        <v>18</v>
      </c>
      <c r="X11">
        <v>2.8000000000000004E-2</v>
      </c>
      <c r="Y11">
        <v>2.8000000000000004E-2</v>
      </c>
      <c r="Z11">
        <v>2.8000000000000004E-2</v>
      </c>
      <c r="AA11">
        <v>2.8000000000000004E-2</v>
      </c>
      <c r="AB11">
        <v>1.8000000000000002E-2</v>
      </c>
      <c r="AC11">
        <v>1.8000000000000002E-2</v>
      </c>
      <c r="AD11">
        <v>0.38000000000000006</v>
      </c>
      <c r="AE11">
        <v>0.38000000000000006</v>
      </c>
      <c r="AF11">
        <v>0.38000000000000006</v>
      </c>
      <c r="AG11">
        <v>0.38000000000000006</v>
      </c>
      <c r="AH11">
        <v>0.38000000000000006</v>
      </c>
      <c r="AI11">
        <v>0.38000000000000006</v>
      </c>
      <c r="AJ11">
        <v>0.38000000000000006</v>
      </c>
      <c r="AK11">
        <v>0.38000000000000006</v>
      </c>
      <c r="AL11">
        <v>0.38000000000000006</v>
      </c>
      <c r="AM11">
        <v>0.38000000000000006</v>
      </c>
      <c r="AN11">
        <v>0.38000000000000006</v>
      </c>
      <c r="AO11">
        <v>0.38000000000000006</v>
      </c>
      <c r="AP11">
        <v>4.7080000000000002</v>
      </c>
    </row>
    <row r="12" spans="1:62" x14ac:dyDescent="0.25">
      <c r="A12" t="s">
        <v>7</v>
      </c>
      <c r="B12">
        <v>3.3571500000000003</v>
      </c>
      <c r="C12" t="s">
        <v>7</v>
      </c>
      <c r="D12">
        <v>0.14300000000000002</v>
      </c>
      <c r="E12">
        <v>0.14300000000000002</v>
      </c>
      <c r="F12">
        <v>0.14300000000000002</v>
      </c>
      <c r="G12">
        <v>0.14300000000000002</v>
      </c>
      <c r="H12">
        <v>0.155</v>
      </c>
      <c r="I12">
        <v>0.155</v>
      </c>
      <c r="J12">
        <v>0.155</v>
      </c>
      <c r="K12">
        <v>0.155</v>
      </c>
      <c r="L12">
        <v>0.155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1.3470000000000002</v>
      </c>
      <c r="W12" t="s">
        <v>7</v>
      </c>
      <c r="X12">
        <v>0.14300000000000002</v>
      </c>
      <c r="Y12">
        <v>0.14300000000000002</v>
      </c>
      <c r="Z12">
        <v>0.14300000000000002</v>
      </c>
      <c r="AA12">
        <v>0.14300000000000002</v>
      </c>
      <c r="AB12">
        <v>0.155</v>
      </c>
      <c r="AC12">
        <v>0.155</v>
      </c>
      <c r="AD12">
        <v>0.155</v>
      </c>
      <c r="AE12">
        <v>0.19900000000000001</v>
      </c>
      <c r="AF12">
        <v>0.28799999999999998</v>
      </c>
      <c r="AG12">
        <v>0.318</v>
      </c>
      <c r="AH12">
        <v>0.318</v>
      </c>
      <c r="AI12">
        <v>0.318</v>
      </c>
      <c r="AJ12">
        <v>0.318</v>
      </c>
      <c r="AK12">
        <v>0.318</v>
      </c>
      <c r="AL12">
        <v>0.318</v>
      </c>
      <c r="AM12">
        <v>0.318</v>
      </c>
      <c r="AN12">
        <v>0.318</v>
      </c>
      <c r="AO12">
        <v>0.318</v>
      </c>
      <c r="AP12">
        <v>4.3860000000000001</v>
      </c>
      <c r="AQ12" t="s">
        <v>7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 x14ac:dyDescent="0.25">
      <c r="A13" t="s">
        <v>19</v>
      </c>
      <c r="B13">
        <v>19.996724187999998</v>
      </c>
      <c r="C13" t="s">
        <v>19</v>
      </c>
      <c r="D13">
        <v>4.7910000000000004</v>
      </c>
      <c r="E13">
        <v>4.8499999999999996</v>
      </c>
      <c r="F13">
        <v>12.938000000000001</v>
      </c>
      <c r="G13">
        <v>11.7</v>
      </c>
      <c r="H13">
        <v>0.32900000000000001</v>
      </c>
      <c r="I13">
        <v>1.881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36.488999999999997</v>
      </c>
      <c r="W13" t="s">
        <v>19</v>
      </c>
      <c r="X13">
        <v>4.7910000000000004</v>
      </c>
      <c r="Y13">
        <v>4.8499999999999996</v>
      </c>
      <c r="Z13">
        <v>12.938000000000001</v>
      </c>
      <c r="AA13">
        <v>11.7</v>
      </c>
      <c r="AB13">
        <v>17.977</v>
      </c>
      <c r="AC13">
        <v>17.977</v>
      </c>
      <c r="AD13">
        <v>17.977</v>
      </c>
      <c r="AE13">
        <v>17.977</v>
      </c>
      <c r="AF13">
        <v>19.774999999999999</v>
      </c>
      <c r="AG13">
        <v>19.774999999999999</v>
      </c>
      <c r="AH13">
        <v>19.774999999999999</v>
      </c>
      <c r="AI13">
        <v>19.774999999999999</v>
      </c>
      <c r="AJ13">
        <v>19.774999999999999</v>
      </c>
      <c r="AK13">
        <v>21.753</v>
      </c>
      <c r="AL13">
        <v>21.753</v>
      </c>
      <c r="AM13">
        <v>21.753</v>
      </c>
      <c r="AN13">
        <v>21.753</v>
      </c>
      <c r="AO13">
        <v>21.753</v>
      </c>
      <c r="AP13">
        <v>313.827</v>
      </c>
      <c r="AQ13" t="s">
        <v>19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0.24338878610000003</v>
      </c>
      <c r="BF13">
        <v>0.24338878610000003</v>
      </c>
      <c r="BG13">
        <v>0.24338878610000003</v>
      </c>
      <c r="BH13">
        <v>0.37124460310000001</v>
      </c>
      <c r="BI13">
        <v>0.557894852</v>
      </c>
      <c r="BJ13">
        <v>1.6593058134000001</v>
      </c>
    </row>
    <row r="14" spans="1:62" x14ac:dyDescent="0.25">
      <c r="A14" t="s">
        <v>20</v>
      </c>
      <c r="B14">
        <v>2.6663458109999993</v>
      </c>
      <c r="C14" t="s">
        <v>20</v>
      </c>
      <c r="D14">
        <v>0.76600000000000001</v>
      </c>
      <c r="E14">
        <v>4.6790000000000003</v>
      </c>
      <c r="F14">
        <v>2.242</v>
      </c>
      <c r="G14">
        <v>2.2330000000000001</v>
      </c>
      <c r="H14">
        <v>2.1000000000000001E-2</v>
      </c>
      <c r="I14">
        <v>0.11899999999999999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10.06</v>
      </c>
      <c r="W14" t="s">
        <v>20</v>
      </c>
      <c r="X14">
        <v>0.76600000000000001</v>
      </c>
      <c r="Y14">
        <v>4.6790000000000003</v>
      </c>
      <c r="Z14">
        <v>2.242</v>
      </c>
      <c r="AA14">
        <v>2.2330000000000001</v>
      </c>
      <c r="AB14">
        <v>4.4939999999999989</v>
      </c>
      <c r="AC14">
        <v>4.4939999999999989</v>
      </c>
      <c r="AD14">
        <v>4.4939999999999989</v>
      </c>
      <c r="AE14">
        <v>4.4939999999999989</v>
      </c>
      <c r="AF14">
        <v>4.944</v>
      </c>
      <c r="AG14">
        <v>4.944</v>
      </c>
      <c r="AH14">
        <v>4.944</v>
      </c>
      <c r="AI14">
        <v>4.944</v>
      </c>
      <c r="AJ14">
        <v>4.944</v>
      </c>
      <c r="AK14">
        <v>5.4370000000000003</v>
      </c>
      <c r="AL14">
        <v>5.4370000000000003</v>
      </c>
      <c r="AM14">
        <v>5.4370000000000003</v>
      </c>
      <c r="AN14">
        <v>5.4370000000000003</v>
      </c>
      <c r="AO14">
        <v>5.4370000000000003</v>
      </c>
      <c r="AP14">
        <v>79.801000000000002</v>
      </c>
      <c r="AQ14" t="s">
        <v>20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2.0121213000000002E-2</v>
      </c>
      <c r="BF14">
        <v>2.0121213000000002E-2</v>
      </c>
      <c r="BG14">
        <v>2.0121213000000002E-2</v>
      </c>
      <c r="BH14">
        <v>6.4675396999999996E-2</v>
      </c>
      <c r="BI14">
        <v>0.11303014750000001</v>
      </c>
      <c r="BJ14">
        <v>0.2380691835</v>
      </c>
    </row>
    <row r="15" spans="1:62" x14ac:dyDescent="0.25">
      <c r="A15" t="s">
        <v>21</v>
      </c>
      <c r="B15">
        <v>5.3014200000000002</v>
      </c>
      <c r="C15" t="s">
        <v>21</v>
      </c>
      <c r="D15">
        <v>2E-3</v>
      </c>
      <c r="E15">
        <v>2.9000000000000001E-2</v>
      </c>
      <c r="F15">
        <v>0.61599999999999999</v>
      </c>
      <c r="G15">
        <v>0.70499999999999996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1.3519999999999999</v>
      </c>
      <c r="W15" t="s">
        <v>21</v>
      </c>
      <c r="X15">
        <v>2E-3</v>
      </c>
      <c r="Y15">
        <v>2.9000000000000001E-2</v>
      </c>
      <c r="Z15">
        <v>0.61599999999999999</v>
      </c>
      <c r="AA15">
        <v>0.70499999999999996</v>
      </c>
      <c r="AB15">
        <v>4.9210000000000003</v>
      </c>
      <c r="AC15">
        <v>4.9210000000000003</v>
      </c>
      <c r="AD15">
        <v>4.9210000000000003</v>
      </c>
      <c r="AE15">
        <v>4.9210000000000003</v>
      </c>
      <c r="AF15">
        <v>5.4139999999999997</v>
      </c>
      <c r="AG15">
        <v>5.4139999999999997</v>
      </c>
      <c r="AH15">
        <v>5.4139999999999997</v>
      </c>
      <c r="AI15">
        <v>5.4139999999999997</v>
      </c>
      <c r="AJ15">
        <v>5.4139999999999997</v>
      </c>
      <c r="AK15">
        <v>5.9550000000000001</v>
      </c>
      <c r="AL15">
        <v>5.9550000000000001</v>
      </c>
      <c r="AM15">
        <v>5.9550000000000001</v>
      </c>
      <c r="AN15">
        <v>5.9550000000000001</v>
      </c>
      <c r="AO15">
        <v>5.9550000000000001</v>
      </c>
      <c r="AP15">
        <v>77.881</v>
      </c>
      <c r="AQ15" t="s">
        <v>21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0.46417000000000003</v>
      </c>
      <c r="BC15">
        <v>0.46417000000000003</v>
      </c>
      <c r="BD15">
        <v>0.46417000000000003</v>
      </c>
      <c r="BE15">
        <v>0.46417000000000003</v>
      </c>
      <c r="BF15">
        <v>0.46417000000000003</v>
      </c>
      <c r="BG15">
        <v>0.46417000000000003</v>
      </c>
      <c r="BH15">
        <v>0.52349999999999997</v>
      </c>
      <c r="BI15">
        <v>0.6855</v>
      </c>
      <c r="BJ15">
        <v>3.9940199999999999</v>
      </c>
    </row>
    <row r="16" spans="1:62" x14ac:dyDescent="0.25">
      <c r="A16" t="s">
        <v>23</v>
      </c>
      <c r="B16">
        <v>0</v>
      </c>
      <c r="C16" t="s">
        <v>23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 t="s">
        <v>23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62" x14ac:dyDescent="0.25">
      <c r="A17" t="s">
        <v>24</v>
      </c>
      <c r="B17">
        <v>6.8634639999999997E-2</v>
      </c>
      <c r="C17" t="s">
        <v>24</v>
      </c>
      <c r="D17">
        <v>2.8506620000000001E-4</v>
      </c>
      <c r="E17">
        <v>1.6822759999999999E-3</v>
      </c>
      <c r="F17">
        <v>2.753779E-3</v>
      </c>
      <c r="G17">
        <v>0.10379149600000001</v>
      </c>
      <c r="H17">
        <v>7.4273202999999996E-2</v>
      </c>
      <c r="I17">
        <v>9.9780122999999998E-2</v>
      </c>
      <c r="J17">
        <v>9.8923584000000009E-2</v>
      </c>
      <c r="K17">
        <v>9.7360441999999991E-2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0.4788499692</v>
      </c>
      <c r="W17" t="s">
        <v>24</v>
      </c>
      <c r="X17">
        <v>2.8506620000000001E-4</v>
      </c>
      <c r="Y17">
        <v>8.1225472999999992E-2</v>
      </c>
      <c r="Z17">
        <v>0.19487280400000001</v>
      </c>
      <c r="AA17">
        <v>0.433810321</v>
      </c>
      <c r="AB17">
        <v>0.95371396799999997</v>
      </c>
      <c r="AC17">
        <v>2.077686972</v>
      </c>
      <c r="AD17">
        <v>4.5284981050000006</v>
      </c>
      <c r="AE17">
        <v>9.7983995879999988</v>
      </c>
      <c r="AF17">
        <v>9.7983995879999988</v>
      </c>
      <c r="AG17">
        <v>9.6584304500000009</v>
      </c>
      <c r="AH17">
        <v>9.6584304500000009</v>
      </c>
      <c r="AI17">
        <v>9.6584304500000009</v>
      </c>
      <c r="AJ17">
        <v>9.5330884390000001</v>
      </c>
      <c r="AK17">
        <v>9.5330884390000001</v>
      </c>
      <c r="AL17">
        <v>9.5330884390000001</v>
      </c>
      <c r="AM17">
        <v>9.5330884390000001</v>
      </c>
      <c r="AN17">
        <v>9.5330884390000001</v>
      </c>
      <c r="AO17">
        <v>9.5330884390000001</v>
      </c>
      <c r="AP17">
        <v>114.04071386919998</v>
      </c>
    </row>
    <row r="18" spans="1:62" s="2" customFormat="1" x14ac:dyDescent="0.25">
      <c r="A18" s="2" t="s">
        <v>9</v>
      </c>
      <c r="C18" s="2" t="s">
        <v>9</v>
      </c>
      <c r="D18" s="2">
        <v>2.6021153999999998E-2</v>
      </c>
      <c r="E18" s="2">
        <v>0.62318205800000004</v>
      </c>
      <c r="F18" s="2">
        <v>1.5422625649999999</v>
      </c>
      <c r="G18" s="2">
        <v>5.1700516999999994E-2</v>
      </c>
      <c r="H18" s="2">
        <v>0.13494169</v>
      </c>
      <c r="I18" s="2">
        <v>1.7185507000000003E-2</v>
      </c>
      <c r="J18" s="2">
        <v>1.6974034999999998E-2</v>
      </c>
      <c r="K18" s="2">
        <v>1.6588109E-2</v>
      </c>
      <c r="L18" s="2">
        <v>8.0000000000000002E-3</v>
      </c>
      <c r="M18" s="2">
        <v>0</v>
      </c>
      <c r="N18" s="2">
        <v>0</v>
      </c>
      <c r="O18" s="2">
        <v>0</v>
      </c>
      <c r="P18" s="2">
        <v>0</v>
      </c>
      <c r="Q18" s="2">
        <v>2.88</v>
      </c>
      <c r="R18" s="2">
        <v>0</v>
      </c>
      <c r="S18" s="2">
        <v>0</v>
      </c>
      <c r="T18" s="2">
        <v>0</v>
      </c>
      <c r="U18" s="2">
        <v>0</v>
      </c>
      <c r="V18" s="2">
        <v>5.3168556350000005</v>
      </c>
      <c r="W18" s="2" t="s">
        <v>9</v>
      </c>
      <c r="X18" s="2">
        <v>2.6021153999999998E-2</v>
      </c>
      <c r="Y18" s="2">
        <v>0.63179034499999998</v>
      </c>
      <c r="Z18" s="2">
        <v>1.5605805689999999</v>
      </c>
      <c r="AA18" s="2">
        <v>0.27354459600000003</v>
      </c>
      <c r="AB18" s="2">
        <v>4.3191356090000008</v>
      </c>
      <c r="AC18" s="2">
        <v>4.3392666439999994</v>
      </c>
      <c r="AD18" s="2">
        <v>4.6918110550000005</v>
      </c>
      <c r="AE18" s="2">
        <v>5.1453111920000003</v>
      </c>
      <c r="AF18" s="2">
        <v>5.6373111919999994</v>
      </c>
      <c r="AG18" s="2">
        <v>6.0247539809999999</v>
      </c>
      <c r="AH18" s="2">
        <v>6.0527539809999995</v>
      </c>
      <c r="AI18" s="2">
        <v>6.1107539809999993</v>
      </c>
      <c r="AJ18" s="2">
        <v>6.0888080840000001</v>
      </c>
      <c r="AK18" s="2">
        <v>8.7658080839999997</v>
      </c>
      <c r="AL18" s="2">
        <v>6.516808084</v>
      </c>
      <c r="AM18" s="2">
        <v>6.516808084</v>
      </c>
      <c r="AN18" s="2">
        <v>6.516808084</v>
      </c>
      <c r="AO18" s="2">
        <v>6.516808084</v>
      </c>
      <c r="AP18" s="2">
        <v>85.734882803000005</v>
      </c>
      <c r="AQ18" s="2" t="s">
        <v>9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9.9999999999999991E-6</v>
      </c>
      <c r="BF18" s="2">
        <v>9.9999999999999991E-6</v>
      </c>
      <c r="BG18" s="2">
        <v>9.9999999999999991E-6</v>
      </c>
      <c r="BH18" s="2">
        <v>5.0000000000000001E-3</v>
      </c>
      <c r="BI18" s="2">
        <v>3.4000000000000002E-4</v>
      </c>
      <c r="BJ18" s="2">
        <v>5.3699999999999998E-3</v>
      </c>
    </row>
    <row r="19" spans="1:62" x14ac:dyDescent="0.25">
      <c r="A19" t="s">
        <v>13</v>
      </c>
      <c r="B19">
        <v>1.010929706</v>
      </c>
      <c r="C19" t="s">
        <v>13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 t="s">
        <v>13</v>
      </c>
      <c r="X19">
        <v>0</v>
      </c>
      <c r="Y19">
        <v>0</v>
      </c>
      <c r="Z19">
        <v>0</v>
      </c>
      <c r="AA19">
        <v>0</v>
      </c>
      <c r="AB19">
        <v>0</v>
      </c>
      <c r="AC19">
        <v>3.7999999999999999E-2</v>
      </c>
      <c r="AD19">
        <v>3.6000000000000004E-2</v>
      </c>
      <c r="AE19">
        <v>3.6000000000000004E-2</v>
      </c>
      <c r="AF19">
        <v>3.6999999999999998E-2</v>
      </c>
      <c r="AG19">
        <v>3.6999999999999998E-2</v>
      </c>
      <c r="AH19">
        <v>2.8000000000000001E-2</v>
      </c>
      <c r="AI19">
        <v>2.4E-2</v>
      </c>
      <c r="AJ19">
        <v>3.3000000000000002E-2</v>
      </c>
      <c r="AK19">
        <v>3.6000000000000004E-2</v>
      </c>
      <c r="AL19">
        <v>3.7999999999999999E-2</v>
      </c>
      <c r="AM19">
        <v>3.7999999999999999E-2</v>
      </c>
      <c r="AN19">
        <v>3.7999999999999999E-2</v>
      </c>
      <c r="AO19">
        <v>3.7999999999999999E-2</v>
      </c>
      <c r="AP19">
        <v>0.45699999999999996</v>
      </c>
      <c r="AQ19" t="s">
        <v>13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 x14ac:dyDescent="0.25">
      <c r="A20" t="s">
        <v>14</v>
      </c>
      <c r="B20">
        <v>2.002456891</v>
      </c>
      <c r="C20" t="s">
        <v>14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 t="s">
        <v>14</v>
      </c>
      <c r="X20">
        <v>0</v>
      </c>
      <c r="Y20">
        <v>0</v>
      </c>
      <c r="Z20">
        <v>0</v>
      </c>
      <c r="AA20">
        <v>0</v>
      </c>
      <c r="AB20">
        <v>6.4000000000000001E-2</v>
      </c>
      <c r="AC20">
        <v>6.4000000000000001E-2</v>
      </c>
      <c r="AD20">
        <v>6.4000000000000001E-2</v>
      </c>
      <c r="AE20">
        <v>6.4000000000000001E-2</v>
      </c>
      <c r="AF20">
        <v>6.4000000000000001E-2</v>
      </c>
      <c r="AG20">
        <v>6.4000000000000001E-2</v>
      </c>
      <c r="AH20">
        <v>6.4000000000000001E-2</v>
      </c>
      <c r="AI20">
        <v>6.4000000000000001E-2</v>
      </c>
      <c r="AJ20">
        <v>6.4000000000000001E-2</v>
      </c>
      <c r="AK20">
        <v>6.4000000000000001E-2</v>
      </c>
      <c r="AL20">
        <v>6.4000000000000001E-2</v>
      </c>
      <c r="AM20">
        <v>6.4000000000000001E-2</v>
      </c>
      <c r="AN20">
        <v>6.4000000000000001E-2</v>
      </c>
      <c r="AO20">
        <v>6.4000000000000001E-2</v>
      </c>
      <c r="AP20">
        <v>0.89600000000000035</v>
      </c>
      <c r="AQ20" t="s">
        <v>14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 x14ac:dyDescent="0.25">
      <c r="A21" t="s">
        <v>16</v>
      </c>
      <c r="B21">
        <v>0</v>
      </c>
      <c r="C21" t="s">
        <v>16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 t="s">
        <v>16</v>
      </c>
      <c r="X21">
        <v>0</v>
      </c>
      <c r="Y21">
        <v>0</v>
      </c>
      <c r="Z21">
        <v>0</v>
      </c>
      <c r="AA21">
        <v>0.191</v>
      </c>
      <c r="AB21">
        <v>0.191</v>
      </c>
      <c r="AC21">
        <v>0.191</v>
      </c>
      <c r="AD21">
        <v>0.191</v>
      </c>
      <c r="AE21">
        <v>0.191</v>
      </c>
      <c r="AF21">
        <v>0.191</v>
      </c>
      <c r="AG21">
        <v>0.191</v>
      </c>
      <c r="AH21">
        <v>0.191</v>
      </c>
      <c r="AI21">
        <v>0.191</v>
      </c>
      <c r="AJ21">
        <v>0.191</v>
      </c>
      <c r="AK21">
        <v>0.191</v>
      </c>
      <c r="AL21">
        <v>0.191</v>
      </c>
      <c r="AM21">
        <v>0.191</v>
      </c>
      <c r="AN21">
        <v>0.191</v>
      </c>
      <c r="AO21">
        <v>0.191</v>
      </c>
      <c r="AP21">
        <v>2.8649999999999998</v>
      </c>
    </row>
    <row r="22" spans="1:62" x14ac:dyDescent="0.25">
      <c r="A22" t="s">
        <v>17</v>
      </c>
      <c r="B22">
        <v>0</v>
      </c>
      <c r="C22" t="s">
        <v>17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 t="s">
        <v>17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62" x14ac:dyDescent="0.25">
      <c r="A23" t="s">
        <v>22</v>
      </c>
      <c r="B23">
        <v>0</v>
      </c>
      <c r="C23" t="s">
        <v>22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 t="s">
        <v>22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62" x14ac:dyDescent="0.25">
      <c r="A24" t="s">
        <v>15</v>
      </c>
      <c r="B24">
        <v>1.842825293</v>
      </c>
      <c r="C24" t="s">
        <v>15</v>
      </c>
      <c r="D24">
        <v>0</v>
      </c>
      <c r="E24">
        <v>0.5</v>
      </c>
      <c r="F24">
        <v>1.5</v>
      </c>
      <c r="G24">
        <v>0</v>
      </c>
      <c r="H24">
        <v>0.12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2.88</v>
      </c>
      <c r="R24">
        <v>0</v>
      </c>
      <c r="S24">
        <v>0</v>
      </c>
      <c r="T24">
        <v>0</v>
      </c>
      <c r="U24">
        <v>0</v>
      </c>
      <c r="V24">
        <v>5</v>
      </c>
      <c r="W24" t="s">
        <v>15</v>
      </c>
      <c r="X24">
        <v>0</v>
      </c>
      <c r="Y24">
        <v>0.5</v>
      </c>
      <c r="Z24">
        <v>1.5</v>
      </c>
      <c r="AA24">
        <v>0</v>
      </c>
      <c r="AB24">
        <v>0.12</v>
      </c>
      <c r="AC24">
        <v>0</v>
      </c>
      <c r="AD24">
        <v>0</v>
      </c>
      <c r="AE24">
        <v>0</v>
      </c>
      <c r="AF24">
        <v>0.107</v>
      </c>
      <c r="AG24">
        <v>0.53</v>
      </c>
      <c r="AH24">
        <v>0.56700000000000006</v>
      </c>
      <c r="AI24">
        <v>0.629</v>
      </c>
      <c r="AJ24">
        <v>0.629</v>
      </c>
      <c r="AK24">
        <v>2.88</v>
      </c>
      <c r="AL24">
        <v>0.629</v>
      </c>
      <c r="AM24">
        <v>0.629</v>
      </c>
      <c r="AN24">
        <v>0.629</v>
      </c>
      <c r="AO24">
        <v>0.629</v>
      </c>
      <c r="AP24">
        <v>9.9779999999999998</v>
      </c>
    </row>
    <row r="25" spans="1:62" x14ac:dyDescent="0.25">
      <c r="A25" t="s">
        <v>18</v>
      </c>
      <c r="B25">
        <v>0.29935</v>
      </c>
      <c r="C25" t="s">
        <v>18</v>
      </c>
      <c r="D25">
        <v>9.9999999999999985E-3</v>
      </c>
      <c r="E25">
        <v>9.9999999999999985E-3</v>
      </c>
      <c r="F25">
        <v>9.9999999999999985E-3</v>
      </c>
      <c r="G25">
        <v>9.9999999999999985E-3</v>
      </c>
      <c r="H25">
        <v>7.0000000000000001E-3</v>
      </c>
      <c r="I25">
        <v>7.0000000000000001E-3</v>
      </c>
      <c r="J25">
        <v>7.0000000000000001E-3</v>
      </c>
      <c r="K25">
        <v>7.0000000000000001E-3</v>
      </c>
      <c r="L25">
        <v>7.0000000000000001E-3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7.4999999999999997E-2</v>
      </c>
      <c r="W25" t="s">
        <v>18</v>
      </c>
      <c r="X25">
        <v>9.9999999999999985E-3</v>
      </c>
      <c r="Y25">
        <v>9.9999999999999985E-3</v>
      </c>
      <c r="Z25">
        <v>9.9999999999999985E-3</v>
      </c>
      <c r="AA25">
        <v>9.9999999999999985E-3</v>
      </c>
      <c r="AB25">
        <v>7.0000000000000001E-3</v>
      </c>
      <c r="AC25">
        <v>7.0000000000000001E-3</v>
      </c>
      <c r="AD25">
        <v>0.14200000000000002</v>
      </c>
      <c r="AE25">
        <v>0.14200000000000002</v>
      </c>
      <c r="AF25">
        <v>0.14200000000000002</v>
      </c>
      <c r="AG25">
        <v>0.14200000000000002</v>
      </c>
      <c r="AH25">
        <v>0.14200000000000002</v>
      </c>
      <c r="AI25">
        <v>0.14200000000000002</v>
      </c>
      <c r="AJ25">
        <v>0.14200000000000002</v>
      </c>
      <c r="AK25">
        <v>0.14200000000000002</v>
      </c>
      <c r="AL25">
        <v>0.14200000000000002</v>
      </c>
      <c r="AM25">
        <v>0.14200000000000002</v>
      </c>
      <c r="AN25">
        <v>0.14200000000000002</v>
      </c>
      <c r="AO25">
        <v>0.14200000000000002</v>
      </c>
      <c r="AP25">
        <v>1.7579999999999996</v>
      </c>
    </row>
    <row r="26" spans="1:62" x14ac:dyDescent="0.25">
      <c r="A26" t="s">
        <v>7</v>
      </c>
      <c r="B26">
        <v>1.5800000000000002E-2</v>
      </c>
      <c r="C26" t="s">
        <v>7</v>
      </c>
      <c r="D26">
        <v>1E-3</v>
      </c>
      <c r="E26">
        <v>1E-3</v>
      </c>
      <c r="F26">
        <v>1E-3</v>
      </c>
      <c r="G26">
        <v>1E-3</v>
      </c>
      <c r="H26">
        <v>1E-3</v>
      </c>
      <c r="I26">
        <v>1E-3</v>
      </c>
      <c r="J26">
        <v>1E-3</v>
      </c>
      <c r="K26">
        <v>1E-3</v>
      </c>
      <c r="L26">
        <v>1E-3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9.0000000000000011E-3</v>
      </c>
      <c r="W26" t="s">
        <v>7</v>
      </c>
      <c r="X26">
        <v>1E-3</v>
      </c>
      <c r="Y26">
        <v>1E-3</v>
      </c>
      <c r="Z26">
        <v>1E-3</v>
      </c>
      <c r="AA26">
        <v>1E-3</v>
      </c>
      <c r="AB26">
        <v>1E-3</v>
      </c>
      <c r="AC26">
        <v>1E-3</v>
      </c>
      <c r="AD26">
        <v>1E-3</v>
      </c>
      <c r="AE26">
        <v>1E-3</v>
      </c>
      <c r="AF26">
        <v>1E-3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9.0000000000000011E-3</v>
      </c>
      <c r="AQ26" t="s">
        <v>7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 x14ac:dyDescent="0.25">
      <c r="A27" t="s">
        <v>19</v>
      </c>
      <c r="B27">
        <v>0.17148962199999998</v>
      </c>
      <c r="C27" t="s">
        <v>19</v>
      </c>
      <c r="D27">
        <v>7.0000000000000001E-3</v>
      </c>
      <c r="E27">
        <v>7.0000000000000001E-3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1.4E-2</v>
      </c>
      <c r="W27" t="s">
        <v>19</v>
      </c>
      <c r="X27">
        <v>7.0000000000000001E-3</v>
      </c>
      <c r="Y27">
        <v>7.0000000000000001E-3</v>
      </c>
      <c r="Z27">
        <v>0</v>
      </c>
      <c r="AA27">
        <v>0</v>
      </c>
      <c r="AB27">
        <v>3.0670000000000002</v>
      </c>
      <c r="AC27">
        <v>3.0670000000000002</v>
      </c>
      <c r="AD27">
        <v>3.0670000000000002</v>
      </c>
      <c r="AE27">
        <v>3.0670000000000002</v>
      </c>
      <c r="AF27">
        <v>3.3730000000000002</v>
      </c>
      <c r="AG27">
        <v>3.3730000000000002</v>
      </c>
      <c r="AH27">
        <v>3.3730000000000002</v>
      </c>
      <c r="AI27">
        <v>3.3730000000000002</v>
      </c>
      <c r="AJ27">
        <v>3.3730000000000002</v>
      </c>
      <c r="AK27">
        <v>3.71</v>
      </c>
      <c r="AL27">
        <v>3.71</v>
      </c>
      <c r="AM27">
        <v>3.71</v>
      </c>
      <c r="AN27">
        <v>3.71</v>
      </c>
      <c r="AO27">
        <v>3.71</v>
      </c>
      <c r="AP27">
        <v>47.69700000000001</v>
      </c>
      <c r="AQ27" t="s">
        <v>19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5.9099099999999998E-6</v>
      </c>
      <c r="BF27">
        <v>5.9099099999999998E-6</v>
      </c>
      <c r="BG27">
        <v>5.9099099999999998E-6</v>
      </c>
      <c r="BH27">
        <v>2.9549530000000002E-3</v>
      </c>
      <c r="BI27">
        <v>2.0093699999999999E-4</v>
      </c>
      <c r="BJ27">
        <v>3.17361973E-3</v>
      </c>
    </row>
    <row r="28" spans="1:62" x14ac:dyDescent="0.25">
      <c r="A28" t="s">
        <v>20</v>
      </c>
      <c r="B28">
        <v>6.7610377999999999E-2</v>
      </c>
      <c r="C28" t="s">
        <v>20</v>
      </c>
      <c r="D28">
        <v>8.0000000000000002E-3</v>
      </c>
      <c r="E28">
        <v>0.10500000000000001</v>
      </c>
      <c r="F28">
        <v>3.1E-2</v>
      </c>
      <c r="G28">
        <v>3.1E-2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0.17500000000000002</v>
      </c>
      <c r="W28" t="s">
        <v>20</v>
      </c>
      <c r="X28">
        <v>8.0000000000000002E-3</v>
      </c>
      <c r="Y28">
        <v>0.10500000000000001</v>
      </c>
      <c r="Z28">
        <v>3.1E-2</v>
      </c>
      <c r="AA28">
        <v>3.1E-2</v>
      </c>
      <c r="AB28">
        <v>0.7669999999999999</v>
      </c>
      <c r="AC28">
        <v>0.7669999999999999</v>
      </c>
      <c r="AD28">
        <v>0.7669999999999999</v>
      </c>
      <c r="AE28">
        <v>0.7669999999999999</v>
      </c>
      <c r="AF28">
        <v>0.84299999999999997</v>
      </c>
      <c r="AG28">
        <v>0.84299999999999997</v>
      </c>
      <c r="AH28">
        <v>0.84299999999999997</v>
      </c>
      <c r="AI28">
        <v>0.84299999999999997</v>
      </c>
      <c r="AJ28">
        <v>0.84299999999999997</v>
      </c>
      <c r="AK28">
        <v>0.92799999999999994</v>
      </c>
      <c r="AL28">
        <v>0.92799999999999994</v>
      </c>
      <c r="AM28">
        <v>0.92799999999999994</v>
      </c>
      <c r="AN28">
        <v>0.92799999999999994</v>
      </c>
      <c r="AO28">
        <v>0.92799999999999994</v>
      </c>
      <c r="AP28">
        <v>12.098000000000003</v>
      </c>
      <c r="AQ28" t="s">
        <v>20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4.0900900000000002E-6</v>
      </c>
      <c r="BF28">
        <v>4.0900900000000002E-6</v>
      </c>
      <c r="BG28">
        <v>4.0900900000000002E-6</v>
      </c>
      <c r="BH28">
        <v>2.0450469999999999E-3</v>
      </c>
      <c r="BI28">
        <v>1.3906300000000001E-4</v>
      </c>
      <c r="BJ28">
        <v>2.1963802700000002E-3</v>
      </c>
    </row>
    <row r="29" spans="1:62" x14ac:dyDescent="0.25">
      <c r="A29" t="s">
        <v>21</v>
      </c>
      <c r="B29">
        <v>0</v>
      </c>
      <c r="C29" t="s">
        <v>21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 t="s">
        <v>21</v>
      </c>
      <c r="X29">
        <v>0</v>
      </c>
      <c r="Y29">
        <v>0</v>
      </c>
      <c r="Z29">
        <v>0</v>
      </c>
      <c r="AA29">
        <v>0</v>
      </c>
      <c r="AB29">
        <v>1.3000000000000001E-2</v>
      </c>
      <c r="AC29">
        <v>1.3000000000000001E-2</v>
      </c>
      <c r="AD29">
        <v>1.3000000000000001E-2</v>
      </c>
      <c r="AE29">
        <v>1.3000000000000001E-2</v>
      </c>
      <c r="AF29">
        <v>1.4999999999999999E-2</v>
      </c>
      <c r="AG29">
        <v>1.4999999999999999E-2</v>
      </c>
      <c r="AH29">
        <v>1.4999999999999999E-2</v>
      </c>
      <c r="AI29">
        <v>1.4999999999999999E-2</v>
      </c>
      <c r="AJ29">
        <v>1.4999999999999999E-2</v>
      </c>
      <c r="AK29">
        <v>1.6E-2</v>
      </c>
      <c r="AL29">
        <v>1.6E-2</v>
      </c>
      <c r="AM29">
        <v>1.6E-2</v>
      </c>
      <c r="AN29">
        <v>1.6E-2</v>
      </c>
      <c r="AO29">
        <v>1.6E-2</v>
      </c>
      <c r="AP29">
        <v>0.20700000000000007</v>
      </c>
      <c r="AQ29" t="s">
        <v>21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 x14ac:dyDescent="0.25">
      <c r="A30" t="s">
        <v>23</v>
      </c>
      <c r="B30">
        <v>0</v>
      </c>
      <c r="C30" t="s">
        <v>23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 t="s">
        <v>23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62" x14ac:dyDescent="0.25">
      <c r="A31" t="s">
        <v>24</v>
      </c>
      <c r="B31">
        <v>5.0062559999999997E-3</v>
      </c>
      <c r="C31" t="s">
        <v>24</v>
      </c>
      <c r="D31">
        <v>2.1154000000000001E-5</v>
      </c>
      <c r="E31">
        <v>1.82058E-4</v>
      </c>
      <c r="F31">
        <v>2.6256499999999998E-4</v>
      </c>
      <c r="G31">
        <v>9.7005170000000005E-3</v>
      </c>
      <c r="H31">
        <v>6.9416900000000004E-3</v>
      </c>
      <c r="I31">
        <v>9.1855070000000007E-3</v>
      </c>
      <c r="J31">
        <v>8.974035E-3</v>
      </c>
      <c r="K31">
        <v>8.588109E-3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4.3855635000000004E-2</v>
      </c>
      <c r="W31" t="s">
        <v>24</v>
      </c>
      <c r="X31">
        <v>2.1154000000000001E-5</v>
      </c>
      <c r="Y31">
        <v>8.7903449999999998E-3</v>
      </c>
      <c r="Z31">
        <v>1.8580569000000002E-2</v>
      </c>
      <c r="AA31">
        <v>4.0544596000000002E-2</v>
      </c>
      <c r="AB31">
        <v>8.9135609000000005E-2</v>
      </c>
      <c r="AC31">
        <v>0.19126664400000001</v>
      </c>
      <c r="AD31">
        <v>0.41081105499999998</v>
      </c>
      <c r="AE31">
        <v>0.86431119199999995</v>
      </c>
      <c r="AF31">
        <v>0.86431119199999995</v>
      </c>
      <c r="AG31">
        <v>0.82975398099999997</v>
      </c>
      <c r="AH31">
        <v>0.82975398099999997</v>
      </c>
      <c r="AI31">
        <v>0.82975398099999997</v>
      </c>
      <c r="AJ31">
        <v>0.79880808400000003</v>
      </c>
      <c r="AK31">
        <v>0.79880808400000003</v>
      </c>
      <c r="AL31">
        <v>0.79880808400000003</v>
      </c>
      <c r="AM31">
        <v>0.79880808400000003</v>
      </c>
      <c r="AN31">
        <v>0.79880808400000003</v>
      </c>
      <c r="AO31">
        <v>0.79880808400000003</v>
      </c>
      <c r="AP31">
        <v>9.7698828030000016</v>
      </c>
    </row>
    <row r="32" spans="1:62" s="2" customFormat="1" x14ac:dyDescent="0.25">
      <c r="A32" s="2" t="s">
        <v>10</v>
      </c>
      <c r="C32" s="2" t="s">
        <v>10</v>
      </c>
      <c r="D32" s="2">
        <v>0.20710590360000003</v>
      </c>
      <c r="E32" s="2">
        <v>0.47761164629999997</v>
      </c>
      <c r="F32" s="2">
        <v>3.9759268840000002</v>
      </c>
      <c r="G32" s="2">
        <v>1.275333257</v>
      </c>
      <c r="H32" s="2">
        <v>0.85456888200000003</v>
      </c>
      <c r="I32" s="2">
        <v>6.2789382000000005E-2</v>
      </c>
      <c r="J32" s="2">
        <v>1.487060906</v>
      </c>
      <c r="K32" s="2">
        <v>1.3858947949999998</v>
      </c>
      <c r="L32" s="2">
        <v>3.0000000000000002E-2</v>
      </c>
      <c r="M32" s="2">
        <v>0</v>
      </c>
      <c r="N32" s="2">
        <v>0</v>
      </c>
      <c r="O32" s="2">
        <v>4</v>
      </c>
      <c r="P32" s="2">
        <v>1.6</v>
      </c>
      <c r="Q32" s="2">
        <v>0.8</v>
      </c>
      <c r="R32" s="2">
        <v>0</v>
      </c>
      <c r="S32" s="2">
        <v>0</v>
      </c>
      <c r="T32" s="2">
        <v>0</v>
      </c>
      <c r="U32" s="2">
        <v>0</v>
      </c>
      <c r="V32" s="2">
        <v>16.156291655899999</v>
      </c>
      <c r="W32" s="2" t="s">
        <v>10</v>
      </c>
      <c r="X32" s="2">
        <v>0.20710590360000003</v>
      </c>
      <c r="Y32" s="2">
        <v>0.50653217500000003</v>
      </c>
      <c r="Z32" s="2">
        <v>4.040591547</v>
      </c>
      <c r="AA32" s="2">
        <v>1.4575004040000001</v>
      </c>
      <c r="AB32" s="2">
        <v>5.9794796769999996</v>
      </c>
      <c r="AC32" s="2">
        <v>7.1247619679999996</v>
      </c>
      <c r="AD32" s="2">
        <v>9.3385645059999991</v>
      </c>
      <c r="AE32" s="2">
        <v>10.732468772000001</v>
      </c>
      <c r="AF32" s="2">
        <v>10.613468772000001</v>
      </c>
      <c r="AG32" s="2">
        <v>10.616051298999999</v>
      </c>
      <c r="AH32" s="2">
        <v>10.224051298999999</v>
      </c>
      <c r="AI32" s="2">
        <v>13.541051298999999</v>
      </c>
      <c r="AJ32" s="2">
        <v>11.675545712</v>
      </c>
      <c r="AK32" s="2">
        <v>11.417545712000001</v>
      </c>
      <c r="AL32" s="2">
        <v>11.077545712000001</v>
      </c>
      <c r="AM32" s="2">
        <v>11.077545712000001</v>
      </c>
      <c r="AN32" s="2">
        <v>11.077545712000001</v>
      </c>
      <c r="AO32" s="2">
        <v>11.077545712000001</v>
      </c>
      <c r="AP32" s="2">
        <v>151.78490189359997</v>
      </c>
      <c r="AQ32" s="2" t="s">
        <v>10</v>
      </c>
      <c r="AR32" s="2">
        <v>0</v>
      </c>
      <c r="AS32" s="2">
        <v>0</v>
      </c>
      <c r="AT32" s="2">
        <v>0</v>
      </c>
      <c r="AU32" s="2">
        <v>0</v>
      </c>
      <c r="AV32" s="2">
        <v>0.44</v>
      </c>
      <c r="AW32" s="2">
        <v>0</v>
      </c>
      <c r="AX32" s="2">
        <v>0.42499999999999999</v>
      </c>
      <c r="AY32" s="2">
        <v>0.59299999999999997</v>
      </c>
      <c r="AZ32" s="2">
        <v>0.64300000000000002</v>
      </c>
      <c r="BA32" s="2">
        <v>0.91</v>
      </c>
      <c r="BB32" s="2">
        <v>0.91999999999999993</v>
      </c>
      <c r="BC32" s="2">
        <v>0.63</v>
      </c>
      <c r="BD32" s="2">
        <v>0.63</v>
      </c>
      <c r="BE32" s="2">
        <v>0.43785000099999999</v>
      </c>
      <c r="BF32" s="2">
        <v>1.7850001000000001E-2</v>
      </c>
      <c r="BG32" s="2">
        <v>1.7850001000000001E-2</v>
      </c>
      <c r="BH32" s="2">
        <v>0.21142000079999998</v>
      </c>
      <c r="BI32" s="2">
        <v>0.46101000049999996</v>
      </c>
      <c r="BJ32" s="2">
        <v>6.3369800043</v>
      </c>
    </row>
    <row r="33" spans="1:62" x14ac:dyDescent="0.25">
      <c r="A33" t="s">
        <v>13</v>
      </c>
      <c r="B33">
        <v>41.729904175000001</v>
      </c>
      <c r="C33" t="s">
        <v>13</v>
      </c>
      <c r="D33">
        <v>0</v>
      </c>
      <c r="E33">
        <v>0</v>
      </c>
      <c r="F33">
        <v>3.4400000000000004</v>
      </c>
      <c r="G33">
        <v>0.66</v>
      </c>
      <c r="H33">
        <v>0.8</v>
      </c>
      <c r="I33">
        <v>0</v>
      </c>
      <c r="J33">
        <v>0.8</v>
      </c>
      <c r="K33">
        <v>1.32</v>
      </c>
      <c r="L33">
        <v>0</v>
      </c>
      <c r="M33">
        <v>0</v>
      </c>
      <c r="N33">
        <v>0</v>
      </c>
      <c r="O33">
        <v>4</v>
      </c>
      <c r="P33">
        <v>1.6</v>
      </c>
      <c r="Q33">
        <v>0.8</v>
      </c>
      <c r="R33">
        <v>0</v>
      </c>
      <c r="S33">
        <v>0</v>
      </c>
      <c r="T33">
        <v>0</v>
      </c>
      <c r="U33">
        <v>0</v>
      </c>
      <c r="V33">
        <v>13.42</v>
      </c>
      <c r="W33" t="s">
        <v>13</v>
      </c>
      <c r="X33">
        <v>0</v>
      </c>
      <c r="Y33">
        <v>0</v>
      </c>
      <c r="Z33">
        <v>3.4400000000000004</v>
      </c>
      <c r="AA33">
        <v>0.66</v>
      </c>
      <c r="AB33">
        <v>0.8</v>
      </c>
      <c r="AC33">
        <v>1.5780000000000001</v>
      </c>
      <c r="AD33">
        <v>2.081</v>
      </c>
      <c r="AE33">
        <v>2.1760000000000002</v>
      </c>
      <c r="AF33">
        <v>1.5610000000000002</v>
      </c>
      <c r="AG33">
        <v>1.5610000000000002</v>
      </c>
      <c r="AH33">
        <v>1.1629999999999998</v>
      </c>
      <c r="AI33">
        <v>4.4690000000000003</v>
      </c>
      <c r="AJ33">
        <v>2.6970000000000005</v>
      </c>
      <c r="AK33">
        <v>2.0310000000000001</v>
      </c>
      <c r="AL33">
        <v>1.5780000000000001</v>
      </c>
      <c r="AM33">
        <v>1.5780000000000001</v>
      </c>
      <c r="AN33">
        <v>1.5780000000000001</v>
      </c>
      <c r="AO33">
        <v>1.5780000000000001</v>
      </c>
      <c r="AP33">
        <v>30.528999999999996</v>
      </c>
      <c r="AQ33" t="s">
        <v>13</v>
      </c>
      <c r="AR33">
        <v>0</v>
      </c>
      <c r="AS33">
        <v>0</v>
      </c>
      <c r="AT33">
        <v>0</v>
      </c>
      <c r="AU33">
        <v>0</v>
      </c>
      <c r="AV33">
        <v>0.44</v>
      </c>
      <c r="AW33">
        <v>0</v>
      </c>
      <c r="AX33">
        <v>0.42499999999999999</v>
      </c>
      <c r="AY33">
        <v>0.59299999999999997</v>
      </c>
      <c r="AZ33">
        <v>0.64300000000000002</v>
      </c>
      <c r="BA33">
        <v>0.91</v>
      </c>
      <c r="BB33">
        <v>0.91999999999999993</v>
      </c>
      <c r="BC33">
        <v>0.63</v>
      </c>
      <c r="BD33">
        <v>0.63</v>
      </c>
      <c r="BE33">
        <v>0.42</v>
      </c>
      <c r="BF33">
        <v>0</v>
      </c>
      <c r="BG33">
        <v>0</v>
      </c>
      <c r="BH33">
        <v>0.21</v>
      </c>
      <c r="BI33">
        <v>0.42</v>
      </c>
      <c r="BJ33">
        <v>6.2409999999999997</v>
      </c>
    </row>
    <row r="34" spans="1:62" x14ac:dyDescent="0.25">
      <c r="A34" t="s">
        <v>14</v>
      </c>
      <c r="B34">
        <v>0.77080433300000006</v>
      </c>
      <c r="C34" t="s">
        <v>14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 t="s">
        <v>14</v>
      </c>
      <c r="X34">
        <v>0</v>
      </c>
      <c r="Y34">
        <v>0</v>
      </c>
      <c r="Z34">
        <v>0</v>
      </c>
      <c r="AA34">
        <v>0</v>
      </c>
      <c r="AB34">
        <v>2.5000000000000001E-2</v>
      </c>
      <c r="AC34">
        <v>2.5000000000000001E-2</v>
      </c>
      <c r="AD34">
        <v>2.5000000000000001E-2</v>
      </c>
      <c r="AE34">
        <v>2.5000000000000001E-2</v>
      </c>
      <c r="AF34">
        <v>2.5000000000000001E-2</v>
      </c>
      <c r="AG34">
        <v>2.5000000000000001E-2</v>
      </c>
      <c r="AH34">
        <v>2.5000000000000001E-2</v>
      </c>
      <c r="AI34">
        <v>2.5000000000000001E-2</v>
      </c>
      <c r="AJ34">
        <v>2.5000000000000001E-2</v>
      </c>
      <c r="AK34">
        <v>2.5000000000000001E-2</v>
      </c>
      <c r="AL34">
        <v>2.5000000000000001E-2</v>
      </c>
      <c r="AM34">
        <v>2.5000000000000001E-2</v>
      </c>
      <c r="AN34">
        <v>2.5000000000000001E-2</v>
      </c>
      <c r="AO34">
        <v>2.5000000000000001E-2</v>
      </c>
      <c r="AP34">
        <v>0.35000000000000003</v>
      </c>
      <c r="AQ34" t="s">
        <v>14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 x14ac:dyDescent="0.25">
      <c r="A35" t="s">
        <v>16</v>
      </c>
      <c r="B35">
        <v>0</v>
      </c>
      <c r="C35" t="s">
        <v>16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 t="s">
        <v>16</v>
      </c>
      <c r="X35">
        <v>0</v>
      </c>
      <c r="Y35">
        <v>0</v>
      </c>
      <c r="Z35">
        <v>0</v>
      </c>
      <c r="AA35">
        <v>7.2999999999999995E-2</v>
      </c>
      <c r="AB35">
        <v>7.2999999999999995E-2</v>
      </c>
      <c r="AC35">
        <v>7.2999999999999995E-2</v>
      </c>
      <c r="AD35">
        <v>7.2999999999999995E-2</v>
      </c>
      <c r="AE35">
        <v>7.2999999999999995E-2</v>
      </c>
      <c r="AF35">
        <v>7.2999999999999995E-2</v>
      </c>
      <c r="AG35">
        <v>7.2999999999999995E-2</v>
      </c>
      <c r="AH35">
        <v>7.2999999999999995E-2</v>
      </c>
      <c r="AI35">
        <v>7.2999999999999995E-2</v>
      </c>
      <c r="AJ35">
        <v>7.2999999999999995E-2</v>
      </c>
      <c r="AK35">
        <v>7.2999999999999995E-2</v>
      </c>
      <c r="AL35">
        <v>7.2999999999999995E-2</v>
      </c>
      <c r="AM35">
        <v>7.2999999999999995E-2</v>
      </c>
      <c r="AN35">
        <v>7.2999999999999995E-2</v>
      </c>
      <c r="AO35">
        <v>7.2999999999999995E-2</v>
      </c>
      <c r="AP35">
        <v>1.0949999999999998</v>
      </c>
    </row>
    <row r="36" spans="1:62" x14ac:dyDescent="0.25">
      <c r="A36" t="s">
        <v>17</v>
      </c>
      <c r="B36">
        <v>0</v>
      </c>
      <c r="C36" t="s">
        <v>17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 t="s">
        <v>17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62" x14ac:dyDescent="0.25">
      <c r="A37" t="s">
        <v>22</v>
      </c>
      <c r="B37">
        <v>0</v>
      </c>
      <c r="C37" t="s">
        <v>22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 t="s">
        <v>22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62" x14ac:dyDescent="0.25">
      <c r="A38" t="s">
        <v>15</v>
      </c>
      <c r="B38">
        <v>4.1988602859999995</v>
      </c>
      <c r="C38" t="s">
        <v>15</v>
      </c>
      <c r="D38">
        <v>0</v>
      </c>
      <c r="E38">
        <v>0</v>
      </c>
      <c r="F38">
        <v>0</v>
      </c>
      <c r="G38">
        <v>0.12</v>
      </c>
      <c r="H38">
        <v>0</v>
      </c>
      <c r="I38">
        <v>0</v>
      </c>
      <c r="J38">
        <v>0.62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0.74</v>
      </c>
      <c r="W38" t="s">
        <v>15</v>
      </c>
      <c r="X38">
        <v>0</v>
      </c>
      <c r="Y38">
        <v>0</v>
      </c>
      <c r="Z38">
        <v>0</v>
      </c>
      <c r="AA38">
        <v>0.12</v>
      </c>
      <c r="AB38">
        <v>0</v>
      </c>
      <c r="AC38">
        <v>0</v>
      </c>
      <c r="AD38">
        <v>0.62</v>
      </c>
      <c r="AE38">
        <v>0</v>
      </c>
      <c r="AF38">
        <v>0.02</v>
      </c>
      <c r="AG38">
        <v>9.6000000000000002E-2</v>
      </c>
      <c r="AH38">
        <v>0.10200000000000001</v>
      </c>
      <c r="AI38">
        <v>0.11300000000000002</v>
      </c>
      <c r="AJ38">
        <v>0.11300000000000002</v>
      </c>
      <c r="AK38">
        <v>0</v>
      </c>
      <c r="AL38">
        <v>0.11300000000000002</v>
      </c>
      <c r="AM38">
        <v>0.11300000000000002</v>
      </c>
      <c r="AN38">
        <v>0.11300000000000002</v>
      </c>
      <c r="AO38">
        <v>0.11300000000000002</v>
      </c>
      <c r="AP38">
        <v>1.6359999999999999</v>
      </c>
    </row>
    <row r="39" spans="1:62" x14ac:dyDescent="0.25">
      <c r="A39" t="s">
        <v>18</v>
      </c>
      <c r="B39">
        <v>0.34399000000000002</v>
      </c>
      <c r="C39" t="s">
        <v>18</v>
      </c>
      <c r="D39">
        <v>6.0000000000000001E-3</v>
      </c>
      <c r="E39">
        <v>6.0000000000000001E-3</v>
      </c>
      <c r="F39">
        <v>6.0000000000000001E-3</v>
      </c>
      <c r="G39">
        <v>6.0000000000000001E-3</v>
      </c>
      <c r="H39">
        <v>5.0000000000000001E-3</v>
      </c>
      <c r="I39">
        <v>5.0000000000000001E-3</v>
      </c>
      <c r="J39">
        <v>5.0000000000000001E-3</v>
      </c>
      <c r="K39">
        <v>5.0000000000000001E-3</v>
      </c>
      <c r="L39">
        <v>5.0000000000000001E-3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4.8999999999999995E-2</v>
      </c>
      <c r="W39" t="s">
        <v>18</v>
      </c>
      <c r="X39">
        <v>6.0000000000000001E-3</v>
      </c>
      <c r="Y39">
        <v>6.0000000000000001E-3</v>
      </c>
      <c r="Z39">
        <v>6.0000000000000001E-3</v>
      </c>
      <c r="AA39">
        <v>6.0000000000000001E-3</v>
      </c>
      <c r="AB39">
        <v>5.0000000000000001E-3</v>
      </c>
      <c r="AC39">
        <v>5.0000000000000001E-3</v>
      </c>
      <c r="AD39">
        <v>8.2000000000000003E-2</v>
      </c>
      <c r="AE39">
        <v>8.2000000000000003E-2</v>
      </c>
      <c r="AF39">
        <v>8.2000000000000003E-2</v>
      </c>
      <c r="AG39">
        <v>8.2000000000000003E-2</v>
      </c>
      <c r="AH39">
        <v>8.2000000000000003E-2</v>
      </c>
      <c r="AI39">
        <v>8.2000000000000003E-2</v>
      </c>
      <c r="AJ39">
        <v>8.2000000000000003E-2</v>
      </c>
      <c r="AK39">
        <v>8.2000000000000003E-2</v>
      </c>
      <c r="AL39">
        <v>8.2000000000000003E-2</v>
      </c>
      <c r="AM39">
        <v>8.2000000000000003E-2</v>
      </c>
      <c r="AN39">
        <v>8.2000000000000003E-2</v>
      </c>
      <c r="AO39">
        <v>8.2000000000000003E-2</v>
      </c>
      <c r="AP39">
        <v>1.0179999999999998</v>
      </c>
    </row>
    <row r="40" spans="1:62" x14ac:dyDescent="0.25">
      <c r="A40" t="s">
        <v>7</v>
      </c>
      <c r="B40">
        <v>0.56064000000000003</v>
      </c>
      <c r="C40" t="s">
        <v>7</v>
      </c>
      <c r="D40">
        <v>2.3E-2</v>
      </c>
      <c r="E40">
        <v>2.3E-2</v>
      </c>
      <c r="F40">
        <v>2.3E-2</v>
      </c>
      <c r="G40">
        <v>2.3E-2</v>
      </c>
      <c r="H40">
        <v>2.5000000000000001E-2</v>
      </c>
      <c r="I40">
        <v>2.5000000000000001E-2</v>
      </c>
      <c r="J40">
        <v>2.5000000000000001E-2</v>
      </c>
      <c r="K40">
        <v>2.5000000000000001E-2</v>
      </c>
      <c r="L40">
        <v>2.5000000000000001E-2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0.21699999999999997</v>
      </c>
      <c r="W40" t="s">
        <v>7</v>
      </c>
      <c r="X40">
        <v>2.3E-2</v>
      </c>
      <c r="Y40">
        <v>2.3E-2</v>
      </c>
      <c r="Z40">
        <v>2.3E-2</v>
      </c>
      <c r="AA40">
        <v>2.3E-2</v>
      </c>
      <c r="AB40">
        <v>2.5000000000000001E-2</v>
      </c>
      <c r="AC40">
        <v>2.5000000000000001E-2</v>
      </c>
      <c r="AD40">
        <v>2.5000000000000001E-2</v>
      </c>
      <c r="AE40">
        <v>2.8000000000000001E-2</v>
      </c>
      <c r="AF40">
        <v>3.1E-2</v>
      </c>
      <c r="AG40">
        <v>6.2E-2</v>
      </c>
      <c r="AH40">
        <v>6.2E-2</v>
      </c>
      <c r="AI40">
        <v>6.2E-2</v>
      </c>
      <c r="AJ40">
        <v>6.2E-2</v>
      </c>
      <c r="AK40">
        <v>6.2E-2</v>
      </c>
      <c r="AL40">
        <v>6.2E-2</v>
      </c>
      <c r="AM40">
        <v>6.2E-2</v>
      </c>
      <c r="AN40">
        <v>6.2E-2</v>
      </c>
      <c r="AO40">
        <v>6.2E-2</v>
      </c>
      <c r="AP40">
        <v>0.78400000000000025</v>
      </c>
      <c r="AQ40" t="s">
        <v>7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 x14ac:dyDescent="0.25">
      <c r="A41" t="s">
        <v>19</v>
      </c>
      <c r="B41">
        <v>0.84772590299999995</v>
      </c>
      <c r="C41" t="s">
        <v>19</v>
      </c>
      <c r="D41" s="1">
        <v>0.04</v>
      </c>
      <c r="E41">
        <v>0.04</v>
      </c>
      <c r="F41">
        <v>0.23100000000000001</v>
      </c>
      <c r="G41">
        <v>0.28499999999999998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0.59599999999999997</v>
      </c>
      <c r="W41" t="s">
        <v>19</v>
      </c>
      <c r="X41" s="1">
        <v>0.04</v>
      </c>
      <c r="Y41">
        <v>0.04</v>
      </c>
      <c r="Z41">
        <v>0.23100000000000001</v>
      </c>
      <c r="AA41">
        <v>0.28499999999999998</v>
      </c>
      <c r="AB41">
        <v>3.548</v>
      </c>
      <c r="AC41">
        <v>3.548</v>
      </c>
      <c r="AD41">
        <v>3.548</v>
      </c>
      <c r="AE41">
        <v>3.548</v>
      </c>
      <c r="AF41">
        <v>3.9029999999999996</v>
      </c>
      <c r="AG41">
        <v>3.9029999999999996</v>
      </c>
      <c r="AH41">
        <v>3.9029999999999996</v>
      </c>
      <c r="AI41">
        <v>3.9029999999999996</v>
      </c>
      <c r="AJ41">
        <v>3.9029999999999996</v>
      </c>
      <c r="AK41">
        <v>4.2940000000000005</v>
      </c>
      <c r="AL41">
        <v>4.2940000000000005</v>
      </c>
      <c r="AM41">
        <v>4.2940000000000005</v>
      </c>
      <c r="AN41">
        <v>4.2940000000000005</v>
      </c>
      <c r="AO41">
        <v>4.2940000000000005</v>
      </c>
      <c r="AP41">
        <v>55.772999999999982</v>
      </c>
      <c r="AQ41" t="s">
        <v>19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1.3022359000000001E-2</v>
      </c>
      <c r="BF41">
        <v>1.3022359000000001E-2</v>
      </c>
      <c r="BG41">
        <v>1.3022359000000001E-2</v>
      </c>
      <c r="BH41">
        <v>1.304953E-3</v>
      </c>
      <c r="BI41">
        <v>3.8006156499999999E-2</v>
      </c>
      <c r="BJ41">
        <v>7.8378186500000002E-2</v>
      </c>
    </row>
    <row r="42" spans="1:62" x14ac:dyDescent="0.25">
      <c r="A42" t="s">
        <v>20</v>
      </c>
      <c r="B42">
        <v>0.20008409700000002</v>
      </c>
      <c r="C42" t="s">
        <v>20</v>
      </c>
      <c r="D42">
        <v>0.13800000000000001</v>
      </c>
      <c r="E42">
        <v>0.40799999999999997</v>
      </c>
      <c r="F42">
        <v>0.27500000000000002</v>
      </c>
      <c r="G42">
        <v>0.14700000000000002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0.96800000000000008</v>
      </c>
      <c r="W42" t="s">
        <v>20</v>
      </c>
      <c r="X42">
        <v>0.13800000000000001</v>
      </c>
      <c r="Y42">
        <v>0.40799999999999997</v>
      </c>
      <c r="Z42">
        <v>0.27500000000000002</v>
      </c>
      <c r="AA42">
        <v>0.14700000000000002</v>
      </c>
      <c r="AB42">
        <v>0.8879999999999999</v>
      </c>
      <c r="AC42">
        <v>0.8879999999999999</v>
      </c>
      <c r="AD42">
        <v>0.8879999999999999</v>
      </c>
      <c r="AE42">
        <v>0.8879999999999999</v>
      </c>
      <c r="AF42">
        <v>0.97599999999999998</v>
      </c>
      <c r="AG42">
        <v>0.97599999999999998</v>
      </c>
      <c r="AH42">
        <v>0.97599999999999998</v>
      </c>
      <c r="AI42">
        <v>0.97599999999999998</v>
      </c>
      <c r="AJ42">
        <v>0.97599999999999998</v>
      </c>
      <c r="AK42">
        <v>1.073</v>
      </c>
      <c r="AL42">
        <v>1.073</v>
      </c>
      <c r="AM42">
        <v>1.073</v>
      </c>
      <c r="AN42">
        <v>1.073</v>
      </c>
      <c r="AO42">
        <v>1.073</v>
      </c>
      <c r="AP42">
        <v>14.765000000000001</v>
      </c>
      <c r="AQ42" t="s">
        <v>20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4.827642E-3</v>
      </c>
      <c r="BF42">
        <v>4.827642E-3</v>
      </c>
      <c r="BG42">
        <v>4.827642E-3</v>
      </c>
      <c r="BH42">
        <v>1.150478E-4</v>
      </c>
      <c r="BI42">
        <v>3.0038439999999999E-3</v>
      </c>
      <c r="BJ42">
        <v>1.7601817799999999E-2</v>
      </c>
    </row>
    <row r="43" spans="1:62" x14ac:dyDescent="0.25">
      <c r="A43" t="s">
        <v>21</v>
      </c>
      <c r="B43">
        <v>4.5999999999999999E-2</v>
      </c>
      <c r="C43" t="s">
        <v>21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 t="s">
        <v>21</v>
      </c>
      <c r="X43">
        <v>0</v>
      </c>
      <c r="Y43">
        <v>0</v>
      </c>
      <c r="Z43">
        <v>0</v>
      </c>
      <c r="AA43">
        <v>0</v>
      </c>
      <c r="AB43">
        <v>0.30000000000000004</v>
      </c>
      <c r="AC43">
        <v>0.30000000000000004</v>
      </c>
      <c r="AD43">
        <v>0.30000000000000004</v>
      </c>
      <c r="AE43">
        <v>0.30000000000000004</v>
      </c>
      <c r="AF43">
        <v>0.33</v>
      </c>
      <c r="AG43">
        <v>0.33</v>
      </c>
      <c r="AH43">
        <v>0.33</v>
      </c>
      <c r="AI43">
        <v>0.33</v>
      </c>
      <c r="AJ43">
        <v>0.33</v>
      </c>
      <c r="AK43">
        <v>0.36300000000000004</v>
      </c>
      <c r="AL43">
        <v>0.36300000000000004</v>
      </c>
      <c r="AM43">
        <v>0.36300000000000004</v>
      </c>
      <c r="AN43">
        <v>0.36300000000000004</v>
      </c>
      <c r="AO43">
        <v>0.36300000000000004</v>
      </c>
      <c r="AP43">
        <v>4.6650000000000009</v>
      </c>
      <c r="AQ43" t="s">
        <v>21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 x14ac:dyDescent="0.25">
      <c r="A44" t="s">
        <v>23</v>
      </c>
      <c r="B44">
        <v>0</v>
      </c>
      <c r="C44" t="s">
        <v>23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 t="s">
        <v>23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62" x14ac:dyDescent="0.25">
      <c r="A45" t="s">
        <v>24</v>
      </c>
      <c r="B45">
        <v>2.5503757999999998E-2</v>
      </c>
      <c r="C45" t="s">
        <v>24</v>
      </c>
      <c r="D45">
        <v>1.0590360000000001E-4</v>
      </c>
      <c r="E45">
        <v>6.1164630000000008E-4</v>
      </c>
      <c r="F45">
        <v>9.26884E-4</v>
      </c>
      <c r="G45">
        <v>3.4333256999999999E-2</v>
      </c>
      <c r="H45">
        <v>2.4568881999999997E-2</v>
      </c>
      <c r="I45">
        <v>3.2789381999999999E-2</v>
      </c>
      <c r="J45">
        <v>3.7060906000000005E-2</v>
      </c>
      <c r="K45">
        <v>3.5894795E-2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0.1662916559</v>
      </c>
      <c r="W45" t="s">
        <v>24</v>
      </c>
      <c r="X45">
        <v>1.0590360000000001E-4</v>
      </c>
      <c r="Y45">
        <v>2.9532174999999997E-2</v>
      </c>
      <c r="Z45">
        <v>6.5591547E-2</v>
      </c>
      <c r="AA45">
        <v>0.143500404</v>
      </c>
      <c r="AB45">
        <v>0.31547967699999996</v>
      </c>
      <c r="AC45">
        <v>0.68276196800000011</v>
      </c>
      <c r="AD45">
        <v>1.6965645060000001</v>
      </c>
      <c r="AE45">
        <v>3.6124687719999997</v>
      </c>
      <c r="AF45">
        <v>3.6124687719999997</v>
      </c>
      <c r="AG45">
        <v>3.5080512989999999</v>
      </c>
      <c r="AH45">
        <v>3.5080512989999999</v>
      </c>
      <c r="AI45">
        <v>3.5080512989999999</v>
      </c>
      <c r="AJ45">
        <v>3.4145457120000002</v>
      </c>
      <c r="AK45">
        <v>3.4145457120000002</v>
      </c>
      <c r="AL45">
        <v>3.4145457120000002</v>
      </c>
      <c r="AM45">
        <v>3.4145457120000002</v>
      </c>
      <c r="AN45">
        <v>3.4145457120000002</v>
      </c>
      <c r="AO45">
        <v>3.4145457120000002</v>
      </c>
      <c r="AP45">
        <v>41.169901893599992</v>
      </c>
    </row>
    <row r="46" spans="1:62" s="2" customFormat="1" x14ac:dyDescent="0.25">
      <c r="A46" s="2" t="s">
        <v>11</v>
      </c>
      <c r="C46" s="2" t="s">
        <v>11</v>
      </c>
      <c r="D46" s="2">
        <v>10.75044800125</v>
      </c>
      <c r="E46" s="2">
        <v>21.355624389100001</v>
      </c>
      <c r="F46" s="2">
        <v>31.943781699100004</v>
      </c>
      <c r="G46" s="2">
        <v>25.912054218000002</v>
      </c>
      <c r="H46" s="2">
        <v>1.9002228099999998</v>
      </c>
      <c r="I46" s="2">
        <v>0.99035872400000002</v>
      </c>
      <c r="J46" s="2">
        <v>1.0881831470000001</v>
      </c>
      <c r="K46" s="2">
        <v>1.093174262</v>
      </c>
      <c r="L46" s="2">
        <v>0.95300000000000007</v>
      </c>
      <c r="M46" s="2">
        <v>1.3</v>
      </c>
      <c r="N46" s="2">
        <v>4</v>
      </c>
      <c r="O46" s="2">
        <v>0</v>
      </c>
      <c r="P46" s="2">
        <v>1.6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102.88684725045</v>
      </c>
      <c r="W46" s="2" t="s">
        <v>11</v>
      </c>
      <c r="X46" s="2">
        <v>10.75044800125</v>
      </c>
      <c r="Y46" s="2">
        <v>21.479713658000001</v>
      </c>
      <c r="Z46" s="2">
        <v>32.207614226000004</v>
      </c>
      <c r="AA46" s="2">
        <v>27.654375181000002</v>
      </c>
      <c r="AB46" s="2">
        <v>22.858923013999998</v>
      </c>
      <c r="AC46" s="2">
        <v>27.354173190000001</v>
      </c>
      <c r="AD46" s="2">
        <v>30.735378955999998</v>
      </c>
      <c r="AE46" s="2">
        <v>38.635202180999997</v>
      </c>
      <c r="AF46" s="2">
        <v>41.252202181000001</v>
      </c>
      <c r="AG46" s="2">
        <v>42.416123880999997</v>
      </c>
      <c r="AH46" s="2">
        <v>44.369123881</v>
      </c>
      <c r="AI46" s="2">
        <v>41.055123881</v>
      </c>
      <c r="AJ46" s="2">
        <v>42.598341151</v>
      </c>
      <c r="AK46" s="2">
        <v>44.579341151000001</v>
      </c>
      <c r="AL46" s="2">
        <v>44.844341151000002</v>
      </c>
      <c r="AM46" s="2">
        <v>44.844341151000002</v>
      </c>
      <c r="AN46" s="2">
        <v>44.844341151000002</v>
      </c>
      <c r="AO46" s="2">
        <v>44.844341151000002</v>
      </c>
      <c r="AP46" s="2">
        <v>647.32344913725001</v>
      </c>
      <c r="AQ46" s="2" t="s">
        <v>11</v>
      </c>
      <c r="AR46" s="2">
        <v>0</v>
      </c>
      <c r="AS46" s="2">
        <v>0</v>
      </c>
      <c r="AT46" s="2">
        <v>0</v>
      </c>
      <c r="AU46" s="2">
        <v>0</v>
      </c>
      <c r="AV46" s="2">
        <v>0.91999999999999993</v>
      </c>
      <c r="AW46" s="2">
        <v>0</v>
      </c>
      <c r="AX46" s="2">
        <v>3.6399999999999997</v>
      </c>
      <c r="AY46" s="2">
        <v>1.2509999999999999</v>
      </c>
      <c r="AZ46" s="2">
        <v>1.8049999999999999</v>
      </c>
      <c r="BA46" s="2">
        <v>0.42</v>
      </c>
      <c r="BB46" s="2">
        <v>1.524061667</v>
      </c>
      <c r="BC46" s="2">
        <v>2.5650616670000002</v>
      </c>
      <c r="BD46" s="2">
        <v>2.1540616670000001</v>
      </c>
      <c r="BE46" s="2">
        <v>1.8207016660000002</v>
      </c>
      <c r="BF46" s="2">
        <v>1.8957016659999999</v>
      </c>
      <c r="BG46" s="2">
        <v>1.8207016660000002</v>
      </c>
      <c r="BH46" s="2">
        <v>1.4045300004999999</v>
      </c>
      <c r="BI46" s="2">
        <v>2.3135490000000001</v>
      </c>
      <c r="BJ46" s="2">
        <v>23.5343689995</v>
      </c>
    </row>
    <row r="47" spans="1:62" x14ac:dyDescent="0.25">
      <c r="A47" t="s">
        <v>13</v>
      </c>
      <c r="B47">
        <v>90.475826298999991</v>
      </c>
      <c r="C47" t="s">
        <v>13</v>
      </c>
      <c r="D47">
        <v>0</v>
      </c>
      <c r="E47">
        <v>0.66</v>
      </c>
      <c r="F47">
        <v>0</v>
      </c>
      <c r="G47">
        <v>0</v>
      </c>
      <c r="H47">
        <v>0</v>
      </c>
      <c r="I47">
        <v>0</v>
      </c>
      <c r="J47">
        <v>0.8</v>
      </c>
      <c r="K47">
        <v>0.8</v>
      </c>
      <c r="L47">
        <v>0.8</v>
      </c>
      <c r="M47">
        <v>0.8</v>
      </c>
      <c r="N47">
        <v>4</v>
      </c>
      <c r="O47">
        <v>0</v>
      </c>
      <c r="P47">
        <v>1.6</v>
      </c>
      <c r="Q47">
        <v>0</v>
      </c>
      <c r="R47">
        <v>0</v>
      </c>
      <c r="S47">
        <v>0</v>
      </c>
      <c r="T47">
        <v>0</v>
      </c>
      <c r="U47">
        <v>0</v>
      </c>
      <c r="V47">
        <v>9.4599999999999991</v>
      </c>
      <c r="W47" t="s">
        <v>13</v>
      </c>
      <c r="X47">
        <v>0</v>
      </c>
      <c r="Y47">
        <v>0.66</v>
      </c>
      <c r="Z47">
        <v>0</v>
      </c>
      <c r="AA47">
        <v>0</v>
      </c>
      <c r="AB47">
        <v>0</v>
      </c>
      <c r="AC47">
        <v>3.4220000000000002</v>
      </c>
      <c r="AD47">
        <v>3.3440000000000007</v>
      </c>
      <c r="AE47">
        <v>3.3250000000000006</v>
      </c>
      <c r="AF47">
        <v>3.5049999999999994</v>
      </c>
      <c r="AG47">
        <v>3.5049999999999994</v>
      </c>
      <c r="AH47">
        <v>5.5140000000000002</v>
      </c>
      <c r="AI47">
        <v>2.1919999999999997</v>
      </c>
      <c r="AJ47">
        <v>3.3350000000000004</v>
      </c>
      <c r="AK47">
        <v>3.2450000000000001</v>
      </c>
      <c r="AL47">
        <v>3.4220000000000002</v>
      </c>
      <c r="AM47">
        <v>3.4220000000000002</v>
      </c>
      <c r="AN47">
        <v>3.4220000000000002</v>
      </c>
      <c r="AO47">
        <v>3.4220000000000002</v>
      </c>
      <c r="AP47">
        <v>45.734999999999985</v>
      </c>
      <c r="AQ47" t="s">
        <v>13</v>
      </c>
      <c r="AR47">
        <v>0</v>
      </c>
      <c r="AS47">
        <v>0</v>
      </c>
      <c r="AT47">
        <v>0</v>
      </c>
      <c r="AU47">
        <v>0</v>
      </c>
      <c r="AV47">
        <v>0.91999999999999993</v>
      </c>
      <c r="AW47">
        <v>0</v>
      </c>
      <c r="AX47">
        <v>3.6399999999999997</v>
      </c>
      <c r="AY47">
        <v>1.2509999999999999</v>
      </c>
      <c r="AZ47">
        <v>1.8049999999999999</v>
      </c>
      <c r="BA47">
        <v>0.42</v>
      </c>
      <c r="BB47">
        <v>0.21</v>
      </c>
      <c r="BC47">
        <v>1.2509999999999999</v>
      </c>
      <c r="BD47">
        <v>0.84</v>
      </c>
      <c r="BE47">
        <v>0</v>
      </c>
      <c r="BF47">
        <v>7.4999999999999997E-2</v>
      </c>
      <c r="BG47">
        <v>0</v>
      </c>
      <c r="BH47">
        <v>0</v>
      </c>
      <c r="BI47">
        <v>0</v>
      </c>
      <c r="BJ47">
        <v>10.411999999999999</v>
      </c>
    </row>
    <row r="48" spans="1:62" x14ac:dyDescent="0.25">
      <c r="A48" t="s">
        <v>14</v>
      </c>
      <c r="B48">
        <v>13.563174911999999</v>
      </c>
      <c r="C48" t="s">
        <v>14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 t="s">
        <v>14</v>
      </c>
      <c r="X48">
        <v>0</v>
      </c>
      <c r="Y48">
        <v>0</v>
      </c>
      <c r="Z48">
        <v>0</v>
      </c>
      <c r="AA48">
        <v>0</v>
      </c>
      <c r="AB48">
        <v>0.43200000000000005</v>
      </c>
      <c r="AC48">
        <v>0.43200000000000005</v>
      </c>
      <c r="AD48">
        <v>0.43200000000000005</v>
      </c>
      <c r="AE48">
        <v>0.43200000000000005</v>
      </c>
      <c r="AF48">
        <v>0.43200000000000005</v>
      </c>
      <c r="AG48">
        <v>0.43200000000000005</v>
      </c>
      <c r="AH48">
        <v>0.43200000000000005</v>
      </c>
      <c r="AI48">
        <v>0.43200000000000005</v>
      </c>
      <c r="AJ48">
        <v>0.43200000000000005</v>
      </c>
      <c r="AK48">
        <v>0.43200000000000005</v>
      </c>
      <c r="AL48">
        <v>0.43200000000000005</v>
      </c>
      <c r="AM48">
        <v>0.43200000000000005</v>
      </c>
      <c r="AN48">
        <v>0.43200000000000005</v>
      </c>
      <c r="AO48">
        <v>0.43200000000000005</v>
      </c>
      <c r="AP48">
        <v>6.0480000000000018</v>
      </c>
      <c r="AQ48" t="s">
        <v>14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 x14ac:dyDescent="0.25">
      <c r="A49" t="s">
        <v>16</v>
      </c>
      <c r="B49">
        <v>0</v>
      </c>
      <c r="C49" t="s">
        <v>16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 t="s">
        <v>16</v>
      </c>
      <c r="X49">
        <v>0</v>
      </c>
      <c r="Y49">
        <v>0</v>
      </c>
      <c r="Z49">
        <v>0</v>
      </c>
      <c r="AA49">
        <v>1.2969999999999999</v>
      </c>
      <c r="AB49">
        <v>1.2969999999999999</v>
      </c>
      <c r="AC49">
        <v>1.2969999999999999</v>
      </c>
      <c r="AD49">
        <v>1.2969999999999999</v>
      </c>
      <c r="AE49">
        <v>1.2969999999999999</v>
      </c>
      <c r="AF49">
        <v>1.2969999999999999</v>
      </c>
      <c r="AG49">
        <v>1.2969999999999999</v>
      </c>
      <c r="AH49">
        <v>1.2969999999999999</v>
      </c>
      <c r="AI49">
        <v>1.2969999999999999</v>
      </c>
      <c r="AJ49">
        <v>1.2969999999999999</v>
      </c>
      <c r="AK49">
        <v>1.2969999999999999</v>
      </c>
      <c r="AL49">
        <v>1.2969999999999999</v>
      </c>
      <c r="AM49">
        <v>1.2969999999999999</v>
      </c>
      <c r="AN49">
        <v>1.2969999999999999</v>
      </c>
      <c r="AO49">
        <v>1.2969999999999999</v>
      </c>
      <c r="AP49">
        <v>19.455000000000002</v>
      </c>
    </row>
    <row r="50" spans="1:62" x14ac:dyDescent="0.25">
      <c r="A50" t="s">
        <v>17</v>
      </c>
      <c r="B50">
        <v>3.2488239540000001</v>
      </c>
      <c r="C50" t="s">
        <v>17</v>
      </c>
      <c r="D50">
        <v>1.4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1.4</v>
      </c>
      <c r="W50" t="s">
        <v>17</v>
      </c>
      <c r="X50">
        <v>1.4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0.39700000000000002</v>
      </c>
      <c r="AI50">
        <v>0.39700000000000002</v>
      </c>
      <c r="AJ50">
        <v>0.39700000000000002</v>
      </c>
      <c r="AK50">
        <v>0.39700000000000002</v>
      </c>
      <c r="AL50">
        <v>0.39700000000000002</v>
      </c>
      <c r="AM50">
        <v>0.39700000000000002</v>
      </c>
      <c r="AN50">
        <v>0.39700000000000002</v>
      </c>
      <c r="AO50">
        <v>0.39700000000000002</v>
      </c>
      <c r="AP50">
        <v>4.5760000000000014</v>
      </c>
    </row>
    <row r="51" spans="1:62" x14ac:dyDescent="0.25">
      <c r="A51" t="s">
        <v>22</v>
      </c>
      <c r="B51">
        <v>0</v>
      </c>
      <c r="C51" t="s">
        <v>22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0.5</v>
      </c>
      <c r="W51" t="s">
        <v>22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0.51300000000000001</v>
      </c>
      <c r="AH51">
        <v>5.3999999999999999E-2</v>
      </c>
      <c r="AI51">
        <v>5.3999999999999999E-2</v>
      </c>
      <c r="AJ51">
        <v>5.3999999999999999E-2</v>
      </c>
      <c r="AK51">
        <v>5.3999999999999999E-2</v>
      </c>
      <c r="AL51">
        <v>5.3999999999999999E-2</v>
      </c>
      <c r="AM51">
        <v>5.3999999999999999E-2</v>
      </c>
      <c r="AN51">
        <v>5.3999999999999999E-2</v>
      </c>
      <c r="AO51">
        <v>5.3999999999999999E-2</v>
      </c>
      <c r="AP51">
        <v>0.9450000000000004</v>
      </c>
    </row>
    <row r="52" spans="1:62" x14ac:dyDescent="0.25">
      <c r="A52" t="s">
        <v>15</v>
      </c>
      <c r="B52">
        <v>7.7532156499999996</v>
      </c>
      <c r="C52" t="s">
        <v>15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 t="s">
        <v>15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1.5000000000000001E-2</v>
      </c>
      <c r="AG52">
        <v>7.3999999999999996E-2</v>
      </c>
      <c r="AH52">
        <v>0.08</v>
      </c>
      <c r="AI52">
        <v>8.7999999999999995E-2</v>
      </c>
      <c r="AJ52">
        <v>8.7999999999999995E-2</v>
      </c>
      <c r="AK52">
        <v>0</v>
      </c>
      <c r="AL52">
        <v>8.7999999999999995E-2</v>
      </c>
      <c r="AM52">
        <v>8.7999999999999995E-2</v>
      </c>
      <c r="AN52">
        <v>8.7999999999999995E-2</v>
      </c>
      <c r="AO52">
        <v>8.7999999999999995E-2</v>
      </c>
      <c r="AP52">
        <v>0.69699999999999984</v>
      </c>
    </row>
    <row r="53" spans="1:62" x14ac:dyDescent="0.25">
      <c r="A53" t="s">
        <v>18</v>
      </c>
      <c r="B53">
        <v>0.67247999999999997</v>
      </c>
      <c r="C53" t="s">
        <v>18</v>
      </c>
      <c r="D53">
        <v>1.0999999999999999E-2</v>
      </c>
      <c r="E53">
        <v>1.0999999999999999E-2</v>
      </c>
      <c r="F53">
        <v>1.0999999999999999E-2</v>
      </c>
      <c r="G53">
        <v>1.0999999999999999E-2</v>
      </c>
      <c r="H53">
        <v>7.0000000000000001E-3</v>
      </c>
      <c r="I53">
        <v>7.0000000000000001E-3</v>
      </c>
      <c r="J53">
        <v>7.0000000000000001E-3</v>
      </c>
      <c r="K53">
        <v>7.0000000000000001E-3</v>
      </c>
      <c r="L53">
        <v>7.0000000000000001E-3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7.9000000000000015E-2</v>
      </c>
      <c r="W53" t="s">
        <v>18</v>
      </c>
      <c r="X53">
        <v>1.0999999999999999E-2</v>
      </c>
      <c r="Y53">
        <v>1.0999999999999999E-2</v>
      </c>
      <c r="Z53">
        <v>1.0999999999999999E-2</v>
      </c>
      <c r="AA53">
        <v>1.0999999999999999E-2</v>
      </c>
      <c r="AB53">
        <v>7.0000000000000001E-3</v>
      </c>
      <c r="AC53">
        <v>7.0000000000000001E-3</v>
      </c>
      <c r="AD53">
        <v>0.13800000000000001</v>
      </c>
      <c r="AE53">
        <v>0.13800000000000001</v>
      </c>
      <c r="AF53">
        <v>0.13800000000000001</v>
      </c>
      <c r="AG53">
        <v>0.13800000000000001</v>
      </c>
      <c r="AH53">
        <v>0.13800000000000001</v>
      </c>
      <c r="AI53">
        <v>0.13800000000000001</v>
      </c>
      <c r="AJ53">
        <v>0.13800000000000001</v>
      </c>
      <c r="AK53">
        <v>0.13800000000000001</v>
      </c>
      <c r="AL53">
        <v>0.13800000000000001</v>
      </c>
      <c r="AM53">
        <v>0.13800000000000001</v>
      </c>
      <c r="AN53">
        <v>0.13800000000000001</v>
      </c>
      <c r="AO53">
        <v>0.13800000000000001</v>
      </c>
      <c r="AP53">
        <v>1.7139999999999995</v>
      </c>
    </row>
    <row r="54" spans="1:62" x14ac:dyDescent="0.25">
      <c r="A54" t="s">
        <v>7</v>
      </c>
      <c r="B54">
        <v>3.1617000000000002</v>
      </c>
      <c r="C54" t="s">
        <v>7</v>
      </c>
      <c r="D54">
        <v>0.13600000000000001</v>
      </c>
      <c r="E54">
        <v>0.13600000000000001</v>
      </c>
      <c r="F54">
        <v>0.13600000000000001</v>
      </c>
      <c r="G54">
        <v>0.13600000000000001</v>
      </c>
      <c r="H54">
        <v>0.14599999999999999</v>
      </c>
      <c r="I54">
        <v>0.14599999999999999</v>
      </c>
      <c r="J54">
        <v>0.14599999999999999</v>
      </c>
      <c r="K54">
        <v>0.14599999999999999</v>
      </c>
      <c r="L54">
        <v>0.14599999999999999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1.274</v>
      </c>
      <c r="W54" t="s">
        <v>7</v>
      </c>
      <c r="X54">
        <v>0.13600000000000001</v>
      </c>
      <c r="Y54">
        <v>0.13600000000000001</v>
      </c>
      <c r="Z54">
        <v>0.13600000000000001</v>
      </c>
      <c r="AA54">
        <v>0.13600000000000001</v>
      </c>
      <c r="AB54">
        <v>0.14599999999999999</v>
      </c>
      <c r="AC54">
        <v>0.14599999999999999</v>
      </c>
      <c r="AD54">
        <v>0.14599999999999999</v>
      </c>
      <c r="AE54">
        <v>0.14599999999999999</v>
      </c>
      <c r="AF54">
        <v>0.14599999999999999</v>
      </c>
      <c r="AG54">
        <v>0.29099999999999998</v>
      </c>
      <c r="AH54">
        <v>0.29099999999999998</v>
      </c>
      <c r="AI54">
        <v>0.29099999999999998</v>
      </c>
      <c r="AJ54">
        <v>0.29099999999999998</v>
      </c>
      <c r="AK54">
        <v>0.29099999999999998</v>
      </c>
      <c r="AL54">
        <v>0.29099999999999998</v>
      </c>
      <c r="AM54">
        <v>0.29099999999999998</v>
      </c>
      <c r="AN54">
        <v>0.29099999999999998</v>
      </c>
      <c r="AO54">
        <v>0.29099999999999998</v>
      </c>
      <c r="AP54">
        <v>3.8929999999999993</v>
      </c>
      <c r="AQ54" t="s">
        <v>7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 x14ac:dyDescent="0.25">
      <c r="A55" t="s">
        <v>19</v>
      </c>
      <c r="B55">
        <v>13.221936034999999</v>
      </c>
      <c r="C55" t="s">
        <v>19</v>
      </c>
      <c r="D55">
        <v>5.56</v>
      </c>
      <c r="E55">
        <v>6.29</v>
      </c>
      <c r="F55">
        <v>13.882000000000001</v>
      </c>
      <c r="G55">
        <v>13.743000000000002</v>
      </c>
      <c r="H55">
        <v>0.36199999999999999</v>
      </c>
      <c r="I55">
        <v>0.14499999999999999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39.982000000000006</v>
      </c>
      <c r="W55" t="s">
        <v>19</v>
      </c>
      <c r="X55">
        <v>5.56</v>
      </c>
      <c r="Y55">
        <v>6.29</v>
      </c>
      <c r="Z55">
        <v>13.882000000000001</v>
      </c>
      <c r="AA55">
        <v>13.743000000000002</v>
      </c>
      <c r="AB55">
        <v>9.6709999999999994</v>
      </c>
      <c r="AC55">
        <v>9.6709999999999994</v>
      </c>
      <c r="AD55">
        <v>9.6709999999999994</v>
      </c>
      <c r="AE55">
        <v>9.6709999999999994</v>
      </c>
      <c r="AF55">
        <v>10.638999999999999</v>
      </c>
      <c r="AG55">
        <v>10.638999999999999</v>
      </c>
      <c r="AH55">
        <v>10.638999999999999</v>
      </c>
      <c r="AI55">
        <v>10.638999999999999</v>
      </c>
      <c r="AJ55">
        <v>10.638999999999999</v>
      </c>
      <c r="AK55">
        <v>11.702999999999999</v>
      </c>
      <c r="AL55">
        <v>11.702999999999999</v>
      </c>
      <c r="AM55">
        <v>11.702999999999999</v>
      </c>
      <c r="AN55">
        <v>11.702999999999999</v>
      </c>
      <c r="AO55">
        <v>11.702999999999999</v>
      </c>
      <c r="AP55">
        <v>189.869</v>
      </c>
      <c r="AQ55" t="s">
        <v>19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0.38450579099999999</v>
      </c>
      <c r="BF55">
        <v>0.38450579099999999</v>
      </c>
      <c r="BG55">
        <v>0.38450579099999999</v>
      </c>
      <c r="BH55">
        <v>0.32723511599999999</v>
      </c>
      <c r="BI55">
        <v>0.38096527100000005</v>
      </c>
      <c r="BJ55">
        <v>1.8617177599999999</v>
      </c>
    </row>
    <row r="56" spans="1:62" x14ac:dyDescent="0.25">
      <c r="A56" t="s">
        <v>20</v>
      </c>
      <c r="B56">
        <v>4.5034039650000004</v>
      </c>
      <c r="C56" t="s">
        <v>20</v>
      </c>
      <c r="D56">
        <v>1.704</v>
      </c>
      <c r="E56">
        <v>12.197000000000001</v>
      </c>
      <c r="F56">
        <v>6.1099999999999994</v>
      </c>
      <c r="G56">
        <v>6.2389999999999999</v>
      </c>
      <c r="H56">
        <v>8.3000000000000004E-2</v>
      </c>
      <c r="I56">
        <v>5.5E-2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26.388000000000002</v>
      </c>
      <c r="W56" t="s">
        <v>20</v>
      </c>
      <c r="X56">
        <v>1.704</v>
      </c>
      <c r="Y56">
        <v>12.197000000000001</v>
      </c>
      <c r="Z56">
        <v>6.1099999999999994</v>
      </c>
      <c r="AA56">
        <v>6.2389999999999999</v>
      </c>
      <c r="AB56">
        <v>2.4179999999999997</v>
      </c>
      <c r="AC56">
        <v>2.4179999999999997</v>
      </c>
      <c r="AD56">
        <v>2.4179999999999997</v>
      </c>
      <c r="AE56">
        <v>2.4179999999999997</v>
      </c>
      <c r="AF56">
        <v>2.6609999999999996</v>
      </c>
      <c r="AG56">
        <v>2.6609999999999996</v>
      </c>
      <c r="AH56">
        <v>2.6609999999999996</v>
      </c>
      <c r="AI56">
        <v>2.6609999999999996</v>
      </c>
      <c r="AJ56">
        <v>2.6609999999999996</v>
      </c>
      <c r="AK56">
        <v>2.9239999999999999</v>
      </c>
      <c r="AL56">
        <v>2.9239999999999999</v>
      </c>
      <c r="AM56">
        <v>2.9239999999999999</v>
      </c>
      <c r="AN56">
        <v>2.9239999999999999</v>
      </c>
      <c r="AO56">
        <v>2.9239999999999999</v>
      </c>
      <c r="AP56">
        <v>63.847000000000008</v>
      </c>
      <c r="AQ56" t="s">
        <v>20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0.12213420799999999</v>
      </c>
      <c r="BF56">
        <v>0.12213420799999999</v>
      </c>
      <c r="BG56">
        <v>0.12213420799999999</v>
      </c>
      <c r="BH56">
        <v>7.9824884499999998E-2</v>
      </c>
      <c r="BI56">
        <v>7.0933729000000001E-2</v>
      </c>
      <c r="BJ56">
        <v>0.51716123750000009</v>
      </c>
    </row>
    <row r="57" spans="1:62" x14ac:dyDescent="0.25">
      <c r="A57" t="s">
        <v>21</v>
      </c>
      <c r="B57">
        <v>18.66104</v>
      </c>
      <c r="C57" t="s">
        <v>21</v>
      </c>
      <c r="D57">
        <v>1.9390000000000001</v>
      </c>
      <c r="E57">
        <v>2.0590000000000002</v>
      </c>
      <c r="F57">
        <v>11.801</v>
      </c>
      <c r="G57">
        <v>5.6429999999999998</v>
      </c>
      <c r="H57">
        <v>0.70199999999999996</v>
      </c>
      <c r="I57">
        <v>0.5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22.643999999999998</v>
      </c>
      <c r="W57" t="s">
        <v>21</v>
      </c>
      <c r="X57">
        <v>1.9390000000000001</v>
      </c>
      <c r="Y57">
        <v>2.0590000000000002</v>
      </c>
      <c r="Z57">
        <v>11.801</v>
      </c>
      <c r="AA57">
        <v>5.6429999999999998</v>
      </c>
      <c r="AB57">
        <v>7.1010000000000009</v>
      </c>
      <c r="AC57">
        <v>7.1010000000000009</v>
      </c>
      <c r="AD57">
        <v>7.1010000000000009</v>
      </c>
      <c r="AE57">
        <v>7.1010000000000009</v>
      </c>
      <c r="AF57">
        <v>7.8120000000000003</v>
      </c>
      <c r="AG57">
        <v>7.8120000000000003</v>
      </c>
      <c r="AH57">
        <v>7.8120000000000003</v>
      </c>
      <c r="AI57">
        <v>7.8120000000000003</v>
      </c>
      <c r="AJ57">
        <v>7.8120000000000003</v>
      </c>
      <c r="AK57">
        <v>8.5939999999999994</v>
      </c>
      <c r="AL57">
        <v>8.5939999999999994</v>
      </c>
      <c r="AM57">
        <v>8.5939999999999994</v>
      </c>
      <c r="AN57">
        <v>8.5939999999999994</v>
      </c>
      <c r="AO57">
        <v>8.5939999999999994</v>
      </c>
      <c r="AP57">
        <v>131.87599999999998</v>
      </c>
      <c r="AQ57" t="s">
        <v>21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1.314061667</v>
      </c>
      <c r="BC57">
        <v>1.314061667</v>
      </c>
      <c r="BD57">
        <v>1.314061667</v>
      </c>
      <c r="BE57">
        <v>1.314061667</v>
      </c>
      <c r="BF57">
        <v>1.314061667</v>
      </c>
      <c r="BG57">
        <v>1.314061667</v>
      </c>
      <c r="BH57">
        <v>0.99746999999999986</v>
      </c>
      <c r="BI57">
        <v>1.8616500000000002</v>
      </c>
      <c r="BJ57">
        <v>10.743490002000001</v>
      </c>
    </row>
    <row r="58" spans="1:62" x14ac:dyDescent="0.25">
      <c r="A58" t="s">
        <v>23</v>
      </c>
      <c r="B58">
        <v>0</v>
      </c>
      <c r="C58" t="s">
        <v>23</v>
      </c>
      <c r="D58">
        <v>0</v>
      </c>
      <c r="E58">
        <v>0</v>
      </c>
      <c r="F58">
        <v>0</v>
      </c>
      <c r="G58">
        <v>0</v>
      </c>
      <c r="H58">
        <v>0.5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0.5</v>
      </c>
      <c r="W58" t="s">
        <v>23</v>
      </c>
      <c r="X58">
        <v>0</v>
      </c>
      <c r="Y58">
        <v>0</v>
      </c>
      <c r="Z58">
        <v>0</v>
      </c>
      <c r="AA58">
        <v>0</v>
      </c>
      <c r="AB58">
        <v>0.5</v>
      </c>
      <c r="AC58">
        <v>0</v>
      </c>
      <c r="AD58">
        <v>0</v>
      </c>
      <c r="AE58">
        <v>0</v>
      </c>
      <c r="AF58">
        <v>0.5</v>
      </c>
      <c r="AG58">
        <v>0.5</v>
      </c>
      <c r="AH58">
        <v>0.5</v>
      </c>
      <c r="AI58">
        <v>0.5</v>
      </c>
      <c r="AJ58">
        <v>0.5</v>
      </c>
      <c r="AK58">
        <v>0.55000000000000004</v>
      </c>
      <c r="AL58">
        <v>0.55000000000000004</v>
      </c>
      <c r="AM58">
        <v>0.55000000000000004</v>
      </c>
      <c r="AN58">
        <v>0.55000000000000004</v>
      </c>
      <c r="AO58">
        <v>0.55000000000000004</v>
      </c>
      <c r="AP58">
        <v>5.7499999999999991</v>
      </c>
    </row>
    <row r="59" spans="1:62" x14ac:dyDescent="0.25">
      <c r="A59" t="s">
        <v>24</v>
      </c>
      <c r="B59">
        <v>0.107890668</v>
      </c>
      <c r="C59" t="s">
        <v>24</v>
      </c>
      <c r="D59">
        <v>4.4800124999999999E-4</v>
      </c>
      <c r="E59">
        <v>2.6243891E-3</v>
      </c>
      <c r="F59">
        <v>3.7816990999999999E-3</v>
      </c>
      <c r="G59">
        <v>0.14005421799999998</v>
      </c>
      <c r="H59">
        <v>0.10022281000000001</v>
      </c>
      <c r="I59">
        <v>0.13735872399999999</v>
      </c>
      <c r="J59">
        <v>0.135183147</v>
      </c>
      <c r="K59">
        <v>0.14017426199999999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0.65984725044999992</v>
      </c>
      <c r="W59" t="s">
        <v>24</v>
      </c>
      <c r="X59">
        <v>4.4800124999999999E-4</v>
      </c>
      <c r="Y59">
        <v>0.12671365800000001</v>
      </c>
      <c r="Z59">
        <v>0.26761422600000001</v>
      </c>
      <c r="AA59">
        <v>0.58537518100000008</v>
      </c>
      <c r="AB59">
        <v>1.2869230140000001</v>
      </c>
      <c r="AC59">
        <v>2.8601731899999998</v>
      </c>
      <c r="AD59">
        <v>6.1883789560000002</v>
      </c>
      <c r="AE59">
        <v>14.107202181000002</v>
      </c>
      <c r="AF59">
        <v>14.107202181000002</v>
      </c>
      <c r="AG59">
        <v>14.554123881000001</v>
      </c>
      <c r="AH59">
        <v>14.554123881000001</v>
      </c>
      <c r="AI59">
        <v>14.554123881000001</v>
      </c>
      <c r="AJ59">
        <v>14.954341151000001</v>
      </c>
      <c r="AK59">
        <v>14.954341151000001</v>
      </c>
      <c r="AL59">
        <v>14.954341151000001</v>
      </c>
      <c r="AM59">
        <v>14.954341151000001</v>
      </c>
      <c r="AN59">
        <v>14.954341151000001</v>
      </c>
      <c r="AO59">
        <v>14.954341151000001</v>
      </c>
      <c r="AP59">
        <v>172.91844913724998</v>
      </c>
    </row>
    <row r="60" spans="1:62" s="2" customFormat="1" x14ac:dyDescent="0.25">
      <c r="A60" s="2" t="s">
        <v>8</v>
      </c>
      <c r="C60" s="2" t="s">
        <v>8</v>
      </c>
      <c r="D60" s="2">
        <v>4.0991398760000006</v>
      </c>
      <c r="E60" s="2">
        <v>10.667899630999999</v>
      </c>
      <c r="F60" s="2">
        <v>17.765275070999998</v>
      </c>
      <c r="G60" s="2">
        <v>18.100120514</v>
      </c>
      <c r="H60" s="2">
        <v>3.7907194439999996</v>
      </c>
      <c r="I60" s="2">
        <v>0.35588626400000001</v>
      </c>
      <c r="J60" s="2">
        <v>0.77985832700000002</v>
      </c>
      <c r="K60" s="2">
        <v>0.8679823900000001</v>
      </c>
      <c r="L60" s="2">
        <v>0.185</v>
      </c>
      <c r="M60" s="2">
        <v>2.04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58.651881516999993</v>
      </c>
      <c r="W60" s="2" t="s">
        <v>8</v>
      </c>
      <c r="X60" s="2">
        <v>4.0991398760000006</v>
      </c>
      <c r="Y60" s="2">
        <v>10.71043695</v>
      </c>
      <c r="Z60" s="2">
        <v>17.854231192</v>
      </c>
      <c r="AA60" s="2">
        <v>18.988946438000003</v>
      </c>
      <c r="AB60" s="2">
        <v>18.479978563</v>
      </c>
      <c r="AC60" s="2">
        <v>19.381473809999999</v>
      </c>
      <c r="AD60" s="2">
        <v>21.101512841000002</v>
      </c>
      <c r="AE60" s="2">
        <v>23.491767483</v>
      </c>
      <c r="AF60" s="2">
        <v>25.100767482999998</v>
      </c>
      <c r="AG60" s="2">
        <v>27.171789603999997</v>
      </c>
      <c r="AH60" s="2">
        <v>24.959789604000001</v>
      </c>
      <c r="AI60" s="2">
        <v>24.742789604000002</v>
      </c>
      <c r="AJ60" s="2">
        <v>25.086365830000002</v>
      </c>
      <c r="AK60" s="2">
        <v>26.87536583</v>
      </c>
      <c r="AL60" s="2">
        <v>27.144365830000002</v>
      </c>
      <c r="AM60" s="2">
        <v>27.144365830000002</v>
      </c>
      <c r="AN60" s="2">
        <v>27.144365830000002</v>
      </c>
      <c r="AO60" s="2">
        <v>27.144365830000002</v>
      </c>
      <c r="AP60" s="2">
        <v>396.62181842799993</v>
      </c>
      <c r="AQ60" s="2" t="s">
        <v>8</v>
      </c>
      <c r="AR60" s="2">
        <v>0</v>
      </c>
      <c r="AS60" s="2">
        <v>0</v>
      </c>
      <c r="AT60" s="2">
        <v>0</v>
      </c>
      <c r="AU60" s="2">
        <v>0</v>
      </c>
      <c r="AV60" s="2">
        <v>2.31</v>
      </c>
      <c r="AW60" s="2">
        <v>0</v>
      </c>
      <c r="AX60" s="2">
        <v>0.89250000000000007</v>
      </c>
      <c r="AY60" s="2">
        <v>1.04</v>
      </c>
      <c r="AZ60" s="2">
        <v>1.04</v>
      </c>
      <c r="BA60" s="2">
        <v>0.63</v>
      </c>
      <c r="BB60" s="2">
        <v>1.938148333</v>
      </c>
      <c r="BC60" s="2">
        <v>3.5681483329999999</v>
      </c>
      <c r="BD60" s="2">
        <v>2.438148333</v>
      </c>
      <c r="BE60" s="2">
        <v>2.3152349990000003</v>
      </c>
      <c r="BF60" s="2">
        <v>2.3152349990000003</v>
      </c>
      <c r="BG60" s="2">
        <v>2.0252349990000003</v>
      </c>
      <c r="BH60" s="2">
        <v>1.2635099999999999</v>
      </c>
      <c r="BI60" s="2">
        <v>2.6730849999999999</v>
      </c>
      <c r="BJ60" s="2">
        <v>24.449244996000004</v>
      </c>
    </row>
    <row r="61" spans="1:62" x14ac:dyDescent="0.25">
      <c r="A61" t="s">
        <v>13</v>
      </c>
      <c r="B61">
        <v>63.929270834999997</v>
      </c>
      <c r="C61" t="s">
        <v>13</v>
      </c>
      <c r="D61">
        <v>0</v>
      </c>
      <c r="E61">
        <v>0</v>
      </c>
      <c r="F61">
        <v>0.8</v>
      </c>
      <c r="G61">
        <v>5.32</v>
      </c>
      <c r="H61">
        <v>1.32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7.44</v>
      </c>
      <c r="W61" t="s">
        <v>13</v>
      </c>
      <c r="X61">
        <v>0</v>
      </c>
      <c r="Y61">
        <v>0</v>
      </c>
      <c r="Z61">
        <v>0.8</v>
      </c>
      <c r="AA61">
        <v>5.32</v>
      </c>
      <c r="AB61">
        <v>1.32</v>
      </c>
      <c r="AC61">
        <v>2.4189999999999996</v>
      </c>
      <c r="AD61">
        <v>2.2440000000000002</v>
      </c>
      <c r="AE61">
        <v>2.2280000000000002</v>
      </c>
      <c r="AF61">
        <v>2.3899999999999997</v>
      </c>
      <c r="AG61">
        <v>2.3899999999999997</v>
      </c>
      <c r="AH61">
        <v>1.7809999999999999</v>
      </c>
      <c r="AI61">
        <v>1.5489999999999999</v>
      </c>
      <c r="AJ61">
        <v>2.0430000000000001</v>
      </c>
      <c r="AK61">
        <v>2.2919999999999998</v>
      </c>
      <c r="AL61">
        <v>2.4189999999999996</v>
      </c>
      <c r="AM61">
        <v>2.4189999999999996</v>
      </c>
      <c r="AN61">
        <v>2.4189999999999996</v>
      </c>
      <c r="AO61">
        <v>2.4189999999999996</v>
      </c>
      <c r="AP61">
        <v>36.451999999999991</v>
      </c>
      <c r="AQ61" t="s">
        <v>13</v>
      </c>
      <c r="AR61">
        <v>0</v>
      </c>
      <c r="AS61">
        <v>0</v>
      </c>
      <c r="AT61">
        <v>0</v>
      </c>
      <c r="AU61">
        <v>0</v>
      </c>
      <c r="AV61">
        <v>2.31</v>
      </c>
      <c r="AW61">
        <v>0</v>
      </c>
      <c r="AX61">
        <v>0.89250000000000007</v>
      </c>
      <c r="AY61">
        <v>1.04</v>
      </c>
      <c r="AZ61">
        <v>1.04</v>
      </c>
      <c r="BA61">
        <v>0.63</v>
      </c>
      <c r="BB61">
        <v>0.21</v>
      </c>
      <c r="BC61">
        <v>1.8399999999999999</v>
      </c>
      <c r="BD61">
        <v>0.71</v>
      </c>
      <c r="BE61">
        <v>0.5</v>
      </c>
      <c r="BF61">
        <v>0.5</v>
      </c>
      <c r="BG61">
        <v>0.21</v>
      </c>
      <c r="BH61">
        <v>0.21</v>
      </c>
      <c r="BI61">
        <v>0</v>
      </c>
      <c r="BJ61">
        <v>10.092500000000001</v>
      </c>
    </row>
    <row r="62" spans="1:62" x14ac:dyDescent="0.25">
      <c r="A62" t="s">
        <v>14</v>
      </c>
      <c r="B62">
        <v>7.7302171470000003</v>
      </c>
      <c r="C62" t="s">
        <v>14</v>
      </c>
      <c r="D62">
        <v>0.37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0.37</v>
      </c>
      <c r="W62" t="s">
        <v>14</v>
      </c>
      <c r="X62">
        <v>0.37</v>
      </c>
      <c r="Y62">
        <v>0</v>
      </c>
      <c r="Z62">
        <v>0</v>
      </c>
      <c r="AA62">
        <v>0</v>
      </c>
      <c r="AB62">
        <v>0.24600000000000002</v>
      </c>
      <c r="AC62">
        <v>0.24600000000000002</v>
      </c>
      <c r="AD62">
        <v>0.24600000000000002</v>
      </c>
      <c r="AE62">
        <v>0.24600000000000002</v>
      </c>
      <c r="AF62">
        <v>0.24600000000000002</v>
      </c>
      <c r="AG62">
        <v>0.24600000000000002</v>
      </c>
      <c r="AH62">
        <v>0.24600000000000002</v>
      </c>
      <c r="AI62">
        <v>0.24600000000000002</v>
      </c>
      <c r="AJ62">
        <v>0.24600000000000002</v>
      </c>
      <c r="AK62">
        <v>0.24600000000000002</v>
      </c>
      <c r="AL62">
        <v>0.24600000000000002</v>
      </c>
      <c r="AM62">
        <v>0.24600000000000002</v>
      </c>
      <c r="AN62">
        <v>0.24600000000000002</v>
      </c>
      <c r="AO62">
        <v>0.24600000000000002</v>
      </c>
      <c r="AP62">
        <v>3.8140000000000001</v>
      </c>
      <c r="AQ62" t="s">
        <v>14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 x14ac:dyDescent="0.25">
      <c r="A63" t="s">
        <v>16</v>
      </c>
      <c r="B63">
        <v>0</v>
      </c>
      <c r="C63" t="s">
        <v>16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 t="s">
        <v>16</v>
      </c>
      <c r="X63">
        <v>0</v>
      </c>
      <c r="Y63">
        <v>0</v>
      </c>
      <c r="Z63">
        <v>0</v>
      </c>
      <c r="AA63">
        <v>0.73899999999999999</v>
      </c>
      <c r="AB63">
        <v>0.73899999999999999</v>
      </c>
      <c r="AC63">
        <v>0.73899999999999999</v>
      </c>
      <c r="AD63">
        <v>0.73899999999999999</v>
      </c>
      <c r="AE63">
        <v>0.73899999999999999</v>
      </c>
      <c r="AF63">
        <v>0.73899999999999999</v>
      </c>
      <c r="AG63">
        <v>0.73899999999999999</v>
      </c>
      <c r="AH63">
        <v>0.73899999999999999</v>
      </c>
      <c r="AI63">
        <v>0.73899999999999999</v>
      </c>
      <c r="AJ63">
        <v>0.73899999999999999</v>
      </c>
      <c r="AK63">
        <v>0.73899999999999999</v>
      </c>
      <c r="AL63">
        <v>0.73899999999999999</v>
      </c>
      <c r="AM63">
        <v>0.73899999999999999</v>
      </c>
      <c r="AN63">
        <v>0.73899999999999999</v>
      </c>
      <c r="AO63">
        <v>0.73899999999999999</v>
      </c>
      <c r="AP63">
        <v>11.085000000000003</v>
      </c>
    </row>
    <row r="64" spans="1:62" x14ac:dyDescent="0.25">
      <c r="A64" t="s">
        <v>17</v>
      </c>
      <c r="B64">
        <v>3.3276676479999998</v>
      </c>
      <c r="C64" t="s">
        <v>17</v>
      </c>
      <c r="D64">
        <v>0</v>
      </c>
      <c r="E64">
        <v>0</v>
      </c>
      <c r="F64">
        <v>0</v>
      </c>
      <c r="G64">
        <v>2</v>
      </c>
      <c r="H64">
        <v>0</v>
      </c>
      <c r="I64">
        <v>0</v>
      </c>
      <c r="J64">
        <v>0</v>
      </c>
      <c r="K64">
        <v>0</v>
      </c>
      <c r="L64">
        <v>0</v>
      </c>
      <c r="M64">
        <v>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4</v>
      </c>
      <c r="W64" t="s">
        <v>17</v>
      </c>
      <c r="X64">
        <v>0</v>
      </c>
      <c r="Y64">
        <v>0</v>
      </c>
      <c r="Z64">
        <v>0</v>
      </c>
      <c r="AA64">
        <v>2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2</v>
      </c>
      <c r="AH64">
        <v>0.40600000000000003</v>
      </c>
      <c r="AI64">
        <v>0.40600000000000003</v>
      </c>
      <c r="AJ64">
        <v>0.40600000000000003</v>
      </c>
      <c r="AK64">
        <v>0.40600000000000003</v>
      </c>
      <c r="AL64">
        <v>0.40600000000000003</v>
      </c>
      <c r="AM64">
        <v>0.40600000000000003</v>
      </c>
      <c r="AN64">
        <v>0.40600000000000003</v>
      </c>
      <c r="AO64">
        <v>0.40600000000000003</v>
      </c>
      <c r="AP64">
        <v>7.2479999999999976</v>
      </c>
    </row>
    <row r="65" spans="1:62" x14ac:dyDescent="0.25">
      <c r="A65" t="s">
        <v>22</v>
      </c>
      <c r="B65">
        <v>0</v>
      </c>
      <c r="C65" t="s">
        <v>22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 t="s">
        <v>22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9.799999999999999E-2</v>
      </c>
      <c r="AH65">
        <v>9.799999999999999E-2</v>
      </c>
      <c r="AI65">
        <v>9.799999999999999E-2</v>
      </c>
      <c r="AJ65">
        <v>9.799999999999999E-2</v>
      </c>
      <c r="AK65">
        <v>9.799999999999999E-2</v>
      </c>
      <c r="AL65">
        <v>9.799999999999999E-2</v>
      </c>
      <c r="AM65">
        <v>9.799999999999999E-2</v>
      </c>
      <c r="AN65">
        <v>9.799999999999999E-2</v>
      </c>
      <c r="AO65">
        <v>9.799999999999999E-2</v>
      </c>
      <c r="AP65">
        <v>0.8819999999999999</v>
      </c>
    </row>
    <row r="66" spans="1:62" x14ac:dyDescent="0.25">
      <c r="A66" t="s">
        <v>15</v>
      </c>
      <c r="B66">
        <v>12.168961466000001</v>
      </c>
      <c r="C66" t="s">
        <v>15</v>
      </c>
      <c r="D66">
        <v>0</v>
      </c>
      <c r="E66">
        <v>0.1</v>
      </c>
      <c r="F66">
        <v>0</v>
      </c>
      <c r="G66">
        <v>0.98</v>
      </c>
      <c r="H66">
        <v>0.72</v>
      </c>
      <c r="I66">
        <v>0</v>
      </c>
      <c r="J66">
        <v>0.55000000000000004</v>
      </c>
      <c r="K66">
        <v>0.64</v>
      </c>
      <c r="L66">
        <v>0</v>
      </c>
      <c r="M66">
        <v>0.04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3.0300000000000002</v>
      </c>
      <c r="W66" t="s">
        <v>15</v>
      </c>
      <c r="X66">
        <v>0</v>
      </c>
      <c r="Y66">
        <v>0.1</v>
      </c>
      <c r="Z66">
        <v>0</v>
      </c>
      <c r="AA66">
        <v>0.98</v>
      </c>
      <c r="AB66">
        <v>0.72</v>
      </c>
      <c r="AC66">
        <v>0</v>
      </c>
      <c r="AD66">
        <v>0.55000000000000004</v>
      </c>
      <c r="AE66">
        <v>0.64</v>
      </c>
      <c r="AF66">
        <v>2.3E-2</v>
      </c>
      <c r="AG66">
        <v>0.13600000000000001</v>
      </c>
      <c r="AH66">
        <v>0.127</v>
      </c>
      <c r="AI66">
        <v>0.14200000000000002</v>
      </c>
      <c r="AJ66">
        <v>0.14200000000000002</v>
      </c>
      <c r="AK66">
        <v>0</v>
      </c>
      <c r="AL66">
        <v>0.14200000000000002</v>
      </c>
      <c r="AM66">
        <v>0.14200000000000002</v>
      </c>
      <c r="AN66">
        <v>0.14200000000000002</v>
      </c>
      <c r="AO66">
        <v>0.14200000000000002</v>
      </c>
      <c r="AP66">
        <v>4.1280000000000001</v>
      </c>
    </row>
    <row r="67" spans="1:62" x14ac:dyDescent="0.25">
      <c r="A67" t="s">
        <v>18</v>
      </c>
      <c r="B67">
        <v>1.9244800000000002</v>
      </c>
      <c r="C67" t="s">
        <v>18</v>
      </c>
      <c r="D67">
        <v>1.7000000000000001E-2</v>
      </c>
      <c r="E67">
        <v>1.7000000000000001E-2</v>
      </c>
      <c r="F67">
        <v>1.7000000000000001E-2</v>
      </c>
      <c r="G67">
        <v>1.7000000000000001E-2</v>
      </c>
      <c r="H67">
        <v>1.2999999999999998E-2</v>
      </c>
      <c r="I67">
        <v>1.2999999999999998E-2</v>
      </c>
      <c r="J67">
        <v>1.2999999999999998E-2</v>
      </c>
      <c r="K67">
        <v>1.2999999999999998E-2</v>
      </c>
      <c r="L67">
        <v>1.2999999999999998E-2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0.13300000000000001</v>
      </c>
      <c r="W67" t="s">
        <v>18</v>
      </c>
      <c r="X67">
        <v>1.7000000000000001E-2</v>
      </c>
      <c r="Y67">
        <v>1.7000000000000001E-2</v>
      </c>
      <c r="Z67">
        <v>1.7000000000000001E-2</v>
      </c>
      <c r="AA67">
        <v>1.7000000000000001E-2</v>
      </c>
      <c r="AB67">
        <v>1.2999999999999998E-2</v>
      </c>
      <c r="AC67">
        <v>1.2999999999999998E-2</v>
      </c>
      <c r="AD67">
        <v>0.26</v>
      </c>
      <c r="AE67">
        <v>0.26</v>
      </c>
      <c r="AF67">
        <v>0.26</v>
      </c>
      <c r="AG67">
        <v>0.26</v>
      </c>
      <c r="AH67">
        <v>0.26</v>
      </c>
      <c r="AI67">
        <v>0.26</v>
      </c>
      <c r="AJ67">
        <v>0.26</v>
      </c>
      <c r="AK67">
        <v>0.26</v>
      </c>
      <c r="AL67">
        <v>0.26</v>
      </c>
      <c r="AM67">
        <v>0.26</v>
      </c>
      <c r="AN67">
        <v>0.26</v>
      </c>
      <c r="AO67">
        <v>0.26</v>
      </c>
      <c r="AP67">
        <v>3.2139999999999995</v>
      </c>
    </row>
    <row r="68" spans="1:62" x14ac:dyDescent="0.25">
      <c r="A68" t="s">
        <v>7</v>
      </c>
      <c r="B68">
        <v>3.73475</v>
      </c>
      <c r="C68" t="s">
        <v>7</v>
      </c>
      <c r="D68">
        <v>0.16000000000000003</v>
      </c>
      <c r="E68">
        <v>0.16000000000000003</v>
      </c>
      <c r="F68">
        <v>0.16000000000000003</v>
      </c>
      <c r="G68">
        <v>0.16000000000000003</v>
      </c>
      <c r="H68">
        <v>0.17199999999999999</v>
      </c>
      <c r="I68">
        <v>0.17199999999999999</v>
      </c>
      <c r="J68">
        <v>0.17199999999999999</v>
      </c>
      <c r="K68">
        <v>0.17199999999999999</v>
      </c>
      <c r="L68">
        <v>0.17199999999999999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1.4999999999999998</v>
      </c>
      <c r="W68" t="s">
        <v>7</v>
      </c>
      <c r="X68">
        <v>0.16000000000000003</v>
      </c>
      <c r="Y68">
        <v>0.16000000000000003</v>
      </c>
      <c r="Z68">
        <v>0.16000000000000003</v>
      </c>
      <c r="AA68">
        <v>0.16000000000000003</v>
      </c>
      <c r="AB68">
        <v>0.17199999999999999</v>
      </c>
      <c r="AC68">
        <v>0.17199999999999999</v>
      </c>
      <c r="AD68">
        <v>0.17199999999999999</v>
      </c>
      <c r="AE68">
        <v>0.216</v>
      </c>
      <c r="AF68">
        <v>0.29799999999999999</v>
      </c>
      <c r="AG68">
        <v>0.32599999999999996</v>
      </c>
      <c r="AH68">
        <v>0.32599999999999996</v>
      </c>
      <c r="AI68">
        <v>0.32599999999999996</v>
      </c>
      <c r="AJ68">
        <v>0.32599999999999996</v>
      </c>
      <c r="AK68">
        <v>0.32599999999999996</v>
      </c>
      <c r="AL68">
        <v>0.32599999999999996</v>
      </c>
      <c r="AM68">
        <v>0.32599999999999996</v>
      </c>
      <c r="AN68">
        <v>0.32599999999999996</v>
      </c>
      <c r="AO68">
        <v>0.32599999999999996</v>
      </c>
      <c r="AP68">
        <v>4.6040000000000001</v>
      </c>
      <c r="AQ68" t="s">
        <v>7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 x14ac:dyDescent="0.25">
      <c r="A69" t="s">
        <v>19</v>
      </c>
      <c r="B69">
        <v>24.128916825999998</v>
      </c>
      <c r="C69" t="s">
        <v>19</v>
      </c>
      <c r="D69">
        <v>1.6220000000000001</v>
      </c>
      <c r="E69">
        <v>2.2040000000000002</v>
      </c>
      <c r="F69">
        <v>5.5780000000000003</v>
      </c>
      <c r="G69">
        <v>3.3929999999999998</v>
      </c>
      <c r="H69">
        <v>0.17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12.967000000000001</v>
      </c>
      <c r="W69" t="s">
        <v>19</v>
      </c>
      <c r="X69">
        <v>1.6220000000000001</v>
      </c>
      <c r="Y69">
        <v>2.2040000000000002</v>
      </c>
      <c r="Z69">
        <v>5.5780000000000003</v>
      </c>
      <c r="AA69">
        <v>3.3929999999999998</v>
      </c>
      <c r="AB69">
        <v>5.7390000000000008</v>
      </c>
      <c r="AC69">
        <v>5.7390000000000008</v>
      </c>
      <c r="AD69">
        <v>5.7390000000000008</v>
      </c>
      <c r="AE69">
        <v>5.7390000000000008</v>
      </c>
      <c r="AF69">
        <v>6.3120000000000003</v>
      </c>
      <c r="AG69">
        <v>6.3120000000000003</v>
      </c>
      <c r="AH69">
        <v>6.3120000000000003</v>
      </c>
      <c r="AI69">
        <v>6.3120000000000003</v>
      </c>
      <c r="AJ69">
        <v>6.3120000000000003</v>
      </c>
      <c r="AK69">
        <v>6.9430000000000005</v>
      </c>
      <c r="AL69">
        <v>6.9430000000000005</v>
      </c>
      <c r="AM69">
        <v>6.9430000000000005</v>
      </c>
      <c r="AN69">
        <v>6.9430000000000005</v>
      </c>
      <c r="AO69">
        <v>6.9430000000000005</v>
      </c>
      <c r="AP69">
        <v>102.02799999999998</v>
      </c>
      <c r="AQ69" t="s">
        <v>19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8.2604206619999995E-2</v>
      </c>
      <c r="BF69">
        <v>8.2604206619999995E-2</v>
      </c>
      <c r="BG69">
        <v>8.2604206619999995E-2</v>
      </c>
      <c r="BH69">
        <v>0.24846536699999999</v>
      </c>
      <c r="BI69">
        <v>1.6845571229999998</v>
      </c>
      <c r="BJ69">
        <v>2.1808351098599998</v>
      </c>
    </row>
    <row r="70" spans="1:62" x14ac:dyDescent="0.25">
      <c r="A70" t="s">
        <v>20</v>
      </c>
      <c r="B70">
        <v>2.030823174</v>
      </c>
      <c r="C70" t="s">
        <v>20</v>
      </c>
      <c r="D70">
        <v>0.61799999999999999</v>
      </c>
      <c r="E70">
        <v>4.7690000000000001</v>
      </c>
      <c r="F70">
        <v>1.4919999999999998</v>
      </c>
      <c r="G70">
        <v>1.3979999999999999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8.277000000000001</v>
      </c>
      <c r="W70" t="s">
        <v>20</v>
      </c>
      <c r="X70">
        <v>0.61799999999999999</v>
      </c>
      <c r="Y70">
        <v>4.7690000000000001</v>
      </c>
      <c r="Z70">
        <v>1.4919999999999998</v>
      </c>
      <c r="AA70">
        <v>1.3979999999999999</v>
      </c>
      <c r="AB70">
        <v>1.4350000000000001</v>
      </c>
      <c r="AC70">
        <v>1.4350000000000001</v>
      </c>
      <c r="AD70">
        <v>1.4350000000000001</v>
      </c>
      <c r="AE70">
        <v>1.4350000000000001</v>
      </c>
      <c r="AF70">
        <v>1.5780000000000001</v>
      </c>
      <c r="AG70">
        <v>1.5780000000000001</v>
      </c>
      <c r="AH70">
        <v>1.5780000000000001</v>
      </c>
      <c r="AI70">
        <v>1.5780000000000001</v>
      </c>
      <c r="AJ70">
        <v>1.5780000000000001</v>
      </c>
      <c r="AK70">
        <v>1.736</v>
      </c>
      <c r="AL70">
        <v>1.736</v>
      </c>
      <c r="AM70">
        <v>1.736</v>
      </c>
      <c r="AN70">
        <v>1.736</v>
      </c>
      <c r="AO70">
        <v>1.736</v>
      </c>
      <c r="AP70">
        <v>30.587000000000003</v>
      </c>
      <c r="AQ70" t="s">
        <v>20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4.4824593799999996E-3</v>
      </c>
      <c r="BF70">
        <v>4.4824593799999996E-3</v>
      </c>
      <c r="BG70">
        <v>4.4824593799999996E-3</v>
      </c>
      <c r="BH70">
        <v>1.4244633E-2</v>
      </c>
      <c r="BI70">
        <v>0.11262787699999999</v>
      </c>
      <c r="BJ70">
        <v>0.14031988813999999</v>
      </c>
    </row>
    <row r="71" spans="1:62" x14ac:dyDescent="0.25">
      <c r="A71" t="s">
        <v>21</v>
      </c>
      <c r="B71">
        <v>22.161370000000002</v>
      </c>
      <c r="C71" t="s">
        <v>21</v>
      </c>
      <c r="D71">
        <v>1.3119999999999998</v>
      </c>
      <c r="E71">
        <v>3.4169999999999998</v>
      </c>
      <c r="F71">
        <v>9.7169999999999987</v>
      </c>
      <c r="G71">
        <v>4.7850000000000001</v>
      </c>
      <c r="H71">
        <v>1.3620000000000001</v>
      </c>
      <c r="I71">
        <v>0.125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20.717999999999996</v>
      </c>
      <c r="W71" t="s">
        <v>21</v>
      </c>
      <c r="X71">
        <v>1.3119999999999998</v>
      </c>
      <c r="Y71">
        <v>3.4169999999999998</v>
      </c>
      <c r="Z71">
        <v>9.7169999999999987</v>
      </c>
      <c r="AA71">
        <v>4.7850000000000001</v>
      </c>
      <c r="AB71">
        <v>7.6629999999999994</v>
      </c>
      <c r="AC71">
        <v>7.6629999999999994</v>
      </c>
      <c r="AD71">
        <v>7.6629999999999994</v>
      </c>
      <c r="AE71">
        <v>7.6629999999999994</v>
      </c>
      <c r="AF71">
        <v>8.4290000000000003</v>
      </c>
      <c r="AG71">
        <v>8.4290000000000003</v>
      </c>
      <c r="AH71">
        <v>8.4290000000000003</v>
      </c>
      <c r="AI71">
        <v>8.4290000000000003</v>
      </c>
      <c r="AJ71">
        <v>8.4290000000000003</v>
      </c>
      <c r="AK71">
        <v>9.2719999999999985</v>
      </c>
      <c r="AL71">
        <v>9.2719999999999985</v>
      </c>
      <c r="AM71">
        <v>9.2719999999999985</v>
      </c>
      <c r="AN71">
        <v>9.2719999999999985</v>
      </c>
      <c r="AO71">
        <v>9.2719999999999985</v>
      </c>
      <c r="AP71">
        <v>138.38799999999995</v>
      </c>
      <c r="AQ71" t="s">
        <v>21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1.728148333</v>
      </c>
      <c r="BC71">
        <v>1.728148333</v>
      </c>
      <c r="BD71">
        <v>1.728148333</v>
      </c>
      <c r="BE71">
        <v>1.728148333</v>
      </c>
      <c r="BF71">
        <v>1.728148333</v>
      </c>
      <c r="BG71">
        <v>1.728148333</v>
      </c>
      <c r="BH71">
        <v>0.79079999999999995</v>
      </c>
      <c r="BI71">
        <v>0.87590000000000001</v>
      </c>
      <c r="BJ71">
        <v>12.035589998000001</v>
      </c>
    </row>
    <row r="72" spans="1:62" x14ac:dyDescent="0.25">
      <c r="A72" t="s">
        <v>23</v>
      </c>
      <c r="B72">
        <v>0</v>
      </c>
      <c r="C72" t="s">
        <v>23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 t="s">
        <v>23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0.5</v>
      </c>
      <c r="AG72">
        <v>0.5</v>
      </c>
      <c r="AH72">
        <v>0.5</v>
      </c>
      <c r="AI72">
        <v>0.5</v>
      </c>
      <c r="AJ72">
        <v>0.5</v>
      </c>
      <c r="AK72">
        <v>0.55000000000000004</v>
      </c>
      <c r="AL72">
        <v>0.55000000000000004</v>
      </c>
      <c r="AM72">
        <v>0.55000000000000004</v>
      </c>
      <c r="AN72">
        <v>0.55000000000000004</v>
      </c>
      <c r="AO72">
        <v>0.55000000000000004</v>
      </c>
      <c r="AP72">
        <v>5.2499999999999991</v>
      </c>
    </row>
    <row r="73" spans="1:62" x14ac:dyDescent="0.25">
      <c r="A73" t="s">
        <v>24</v>
      </c>
      <c r="B73">
        <v>3.3690704999999994E-2</v>
      </c>
      <c r="C73" t="s">
        <v>24</v>
      </c>
      <c r="D73">
        <v>1.3987600000000001E-4</v>
      </c>
      <c r="E73">
        <v>8.9963099999999991E-4</v>
      </c>
      <c r="F73">
        <v>1.275071E-3</v>
      </c>
      <c r="G73">
        <v>4.7120514000000002E-2</v>
      </c>
      <c r="H73">
        <v>3.3719444000000001E-2</v>
      </c>
      <c r="I73">
        <v>4.5886263999999996E-2</v>
      </c>
      <c r="J73">
        <v>4.4858326999999996E-2</v>
      </c>
      <c r="K73">
        <v>4.2982389999999995E-2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0.21688151700000002</v>
      </c>
      <c r="W73" t="s">
        <v>24</v>
      </c>
      <c r="X73">
        <v>1.3987600000000001E-4</v>
      </c>
      <c r="Y73">
        <v>4.3436950000000002E-2</v>
      </c>
      <c r="Z73">
        <v>9.0231191999999988E-2</v>
      </c>
      <c r="AA73">
        <v>0.196946438</v>
      </c>
      <c r="AB73">
        <v>0.43297856300000004</v>
      </c>
      <c r="AC73">
        <v>0.95547380999999998</v>
      </c>
      <c r="AD73">
        <v>2.0535128409999999</v>
      </c>
      <c r="AE73">
        <v>4.3257674829999999</v>
      </c>
      <c r="AF73">
        <v>4.3257674829999999</v>
      </c>
      <c r="AG73">
        <v>4.1577896039999995</v>
      </c>
      <c r="AH73">
        <v>4.1577896039999995</v>
      </c>
      <c r="AI73">
        <v>4.1577896039999995</v>
      </c>
      <c r="AJ73">
        <v>4.0073658300000004</v>
      </c>
      <c r="AK73">
        <v>4.0073658300000004</v>
      </c>
      <c r="AL73">
        <v>4.0073658300000004</v>
      </c>
      <c r="AM73">
        <v>4.0073658300000004</v>
      </c>
      <c r="AN73">
        <v>4.0073658300000004</v>
      </c>
      <c r="AO73">
        <v>4.0073658300000004</v>
      </c>
      <c r="AP73">
        <v>48.941818427999998</v>
      </c>
    </row>
    <row r="74" spans="1:62" s="2" customFormat="1" x14ac:dyDescent="0.25">
      <c r="A74" s="2" t="s">
        <v>227</v>
      </c>
      <c r="C74" s="2" t="s">
        <v>227</v>
      </c>
      <c r="D74" s="2">
        <v>0.15610527199999996</v>
      </c>
      <c r="E74" s="2">
        <v>16.078843011</v>
      </c>
      <c r="F74" s="2">
        <v>17.444764139</v>
      </c>
      <c r="G74" s="2">
        <v>1</v>
      </c>
      <c r="H74" s="2">
        <v>0</v>
      </c>
      <c r="I74" s="2">
        <v>7</v>
      </c>
      <c r="J74" s="2">
        <v>7</v>
      </c>
      <c r="K74" s="2">
        <v>15</v>
      </c>
      <c r="L74" s="2">
        <v>0</v>
      </c>
      <c r="M74" s="2">
        <v>15</v>
      </c>
      <c r="N74" s="2">
        <v>0</v>
      </c>
      <c r="O74" s="2">
        <v>0</v>
      </c>
      <c r="P74" s="2">
        <v>15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93.679712422000009</v>
      </c>
      <c r="W74" s="2" t="s">
        <v>227</v>
      </c>
      <c r="X74" s="2">
        <v>0.15610527199999996</v>
      </c>
      <c r="Y74" s="2">
        <v>16.078843011</v>
      </c>
      <c r="Z74" s="2">
        <v>21.805955172999997</v>
      </c>
      <c r="AA74" s="2">
        <v>4.0977633880000006</v>
      </c>
      <c r="AB74" s="2">
        <v>21.170299999999997</v>
      </c>
      <c r="AC74" s="2">
        <v>22.228815000000001</v>
      </c>
      <c r="AD74" s="2">
        <v>23.340255750000001</v>
      </c>
      <c r="AE74" s="2">
        <v>24.507268539000002</v>
      </c>
      <c r="AF74" s="2">
        <v>25.732631963999999</v>
      </c>
      <c r="AG74" s="2">
        <v>27.019263568</v>
      </c>
      <c r="AH74" s="2">
        <v>28.370226738999996</v>
      </c>
      <c r="AI74" s="2">
        <v>29.788738079000002</v>
      </c>
      <c r="AJ74" s="2">
        <v>31.278174985</v>
      </c>
      <c r="AK74" s="2">
        <v>32.842083730000006</v>
      </c>
      <c r="AL74" s="2">
        <v>34.484187922000004</v>
      </c>
      <c r="AM74" s="2">
        <v>36.208397311999995</v>
      </c>
      <c r="AN74" s="2">
        <v>38.018817173999999</v>
      </c>
      <c r="AO74" s="2">
        <v>39.919758037000008</v>
      </c>
      <c r="AP74" s="2">
        <v>457.04758564299993</v>
      </c>
    </row>
    <row r="75" spans="1:62" x14ac:dyDescent="0.25">
      <c r="A75" t="s">
        <v>229</v>
      </c>
      <c r="B75">
        <v>15.039</v>
      </c>
      <c r="C75" t="s">
        <v>229</v>
      </c>
      <c r="D75">
        <v>9.7689830000000002E-3</v>
      </c>
      <c r="E75">
        <v>1.006205236</v>
      </c>
      <c r="F75">
        <v>1.0916838360000001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>
        <v>1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5.1076580549999999</v>
      </c>
      <c r="W75" t="s">
        <v>229</v>
      </c>
      <c r="X75">
        <v>9.7689830000000002E-3</v>
      </c>
      <c r="Y75">
        <v>1.006205236</v>
      </c>
      <c r="Z75">
        <v>1.364604795</v>
      </c>
      <c r="AA75">
        <v>0.25643579999999999</v>
      </c>
      <c r="AB75">
        <v>1.5039</v>
      </c>
      <c r="AC75">
        <v>1.5790949999999999</v>
      </c>
      <c r="AD75">
        <v>1.65804975</v>
      </c>
      <c r="AE75">
        <v>1.740952238</v>
      </c>
      <c r="AF75">
        <v>1.827999849</v>
      </c>
      <c r="AG75">
        <v>1.919399842</v>
      </c>
      <c r="AH75">
        <v>2.0153698339999999</v>
      </c>
      <c r="AI75">
        <v>2.1161383260000002</v>
      </c>
      <c r="AJ75">
        <v>2.2219452419999999</v>
      </c>
      <c r="AK75">
        <v>2.3330425039999998</v>
      </c>
      <c r="AL75">
        <v>2.4496946290000001</v>
      </c>
      <c r="AM75">
        <v>2.5721793609999999</v>
      </c>
      <c r="AN75">
        <v>2.7007883289999999</v>
      </c>
      <c r="AO75">
        <v>2.835827745</v>
      </c>
      <c r="AP75">
        <v>32.111397463000003</v>
      </c>
    </row>
    <row r="76" spans="1:62" x14ac:dyDescent="0.25">
      <c r="A76" t="s">
        <v>230</v>
      </c>
      <c r="B76">
        <v>113.776</v>
      </c>
      <c r="C76" t="s">
        <v>230</v>
      </c>
      <c r="D76">
        <v>8.4909668999999993E-2</v>
      </c>
      <c r="E76">
        <v>8.7456958960000009</v>
      </c>
      <c r="F76">
        <v>9.488655498</v>
      </c>
      <c r="G76">
        <v>1</v>
      </c>
      <c r="H76">
        <v>0</v>
      </c>
      <c r="I76">
        <v>4</v>
      </c>
      <c r="J76">
        <v>4</v>
      </c>
      <c r="K76">
        <v>8</v>
      </c>
      <c r="L76">
        <v>0</v>
      </c>
      <c r="M76">
        <v>8</v>
      </c>
      <c r="N76">
        <v>0</v>
      </c>
      <c r="O76">
        <v>0</v>
      </c>
      <c r="P76">
        <v>8</v>
      </c>
      <c r="Q76">
        <v>0</v>
      </c>
      <c r="R76">
        <v>0</v>
      </c>
      <c r="S76">
        <v>0</v>
      </c>
      <c r="T76">
        <v>0</v>
      </c>
      <c r="U76">
        <v>0</v>
      </c>
      <c r="V76">
        <v>51.319261062999999</v>
      </c>
      <c r="W76" t="s">
        <v>230</v>
      </c>
      <c r="X76">
        <v>8.4909668999999993E-2</v>
      </c>
      <c r="Y76">
        <v>8.7456958960000009</v>
      </c>
      <c r="Z76">
        <v>11.86081937</v>
      </c>
      <c r="AA76">
        <v>2.2288788080000002</v>
      </c>
      <c r="AB76">
        <v>11.377599999999999</v>
      </c>
      <c r="AC76">
        <v>11.946479999999999</v>
      </c>
      <c r="AD76">
        <v>12.543804</v>
      </c>
      <c r="AE76">
        <v>13.170994200000001</v>
      </c>
      <c r="AF76">
        <v>13.82954391</v>
      </c>
      <c r="AG76">
        <v>14.52102111</v>
      </c>
      <c r="AH76">
        <v>15.24707216</v>
      </c>
      <c r="AI76">
        <v>16.00942577</v>
      </c>
      <c r="AJ76">
        <v>16.809897060000001</v>
      </c>
      <c r="AK76">
        <v>17.65039191</v>
      </c>
      <c r="AL76">
        <v>18.532911510000002</v>
      </c>
      <c r="AM76">
        <v>19.45955708</v>
      </c>
      <c r="AN76">
        <v>20.432534929999999</v>
      </c>
      <c r="AO76">
        <v>21.454161679999999</v>
      </c>
      <c r="AP76">
        <v>245.90569906299999</v>
      </c>
    </row>
    <row r="77" spans="1:62" x14ac:dyDescent="0.25">
      <c r="A77" t="s">
        <v>231</v>
      </c>
      <c r="B77">
        <v>12.831</v>
      </c>
      <c r="C77" t="s">
        <v>231</v>
      </c>
      <c r="D77">
        <v>9.8184910000000004E-3</v>
      </c>
      <c r="E77">
        <v>1.0113046219999999</v>
      </c>
      <c r="F77">
        <v>1.097216422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1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5.1183395350000005</v>
      </c>
      <c r="W77" t="s">
        <v>231</v>
      </c>
      <c r="X77">
        <v>9.8184910000000004E-3</v>
      </c>
      <c r="Y77">
        <v>1.0113046219999999</v>
      </c>
      <c r="Z77">
        <v>1.371520528</v>
      </c>
      <c r="AA77">
        <v>0.25773540099999998</v>
      </c>
      <c r="AB77">
        <v>1.2830999999999999</v>
      </c>
      <c r="AC77">
        <v>1.3472550000000001</v>
      </c>
      <c r="AD77">
        <v>1.4146177499999999</v>
      </c>
      <c r="AE77">
        <v>1.4853486380000001</v>
      </c>
      <c r="AF77">
        <v>1.559616069</v>
      </c>
      <c r="AG77">
        <v>1.6375968729999999</v>
      </c>
      <c r="AH77">
        <v>1.719476716</v>
      </c>
      <c r="AI77">
        <v>1.8054505519999999</v>
      </c>
      <c r="AJ77">
        <v>1.89572308</v>
      </c>
      <c r="AK77">
        <v>1.9905092339999999</v>
      </c>
      <c r="AL77">
        <v>2.090034696</v>
      </c>
      <c r="AM77">
        <v>2.1945364299999999</v>
      </c>
      <c r="AN77">
        <v>2.3042632520000002</v>
      </c>
      <c r="AO77">
        <v>2.4194764150000001</v>
      </c>
      <c r="AP77">
        <v>27.797383746999998</v>
      </c>
    </row>
    <row r="78" spans="1:62" x14ac:dyDescent="0.25">
      <c r="A78" t="s">
        <v>232</v>
      </c>
      <c r="B78">
        <v>42.817</v>
      </c>
      <c r="C78" t="s">
        <v>232</v>
      </c>
      <c r="D78">
        <v>3.0557553000000001E-2</v>
      </c>
      <c r="E78">
        <v>3.1474279749999998</v>
      </c>
      <c r="F78">
        <v>3.4148065650000001</v>
      </c>
      <c r="G78">
        <v>0</v>
      </c>
      <c r="H78">
        <v>0</v>
      </c>
      <c r="I78">
        <v>2</v>
      </c>
      <c r="J78">
        <v>2</v>
      </c>
      <c r="K78">
        <v>3</v>
      </c>
      <c r="L78">
        <v>0</v>
      </c>
      <c r="M78">
        <v>3</v>
      </c>
      <c r="N78">
        <v>0</v>
      </c>
      <c r="O78">
        <v>0</v>
      </c>
      <c r="P78">
        <v>3</v>
      </c>
      <c r="Q78">
        <v>0</v>
      </c>
      <c r="R78">
        <v>0</v>
      </c>
      <c r="S78">
        <v>0</v>
      </c>
      <c r="T78">
        <v>0</v>
      </c>
      <c r="U78">
        <v>0</v>
      </c>
      <c r="V78">
        <v>19.592792093</v>
      </c>
      <c r="W78" t="s">
        <v>232</v>
      </c>
      <c r="X78">
        <v>3.0557553000000001E-2</v>
      </c>
      <c r="Y78">
        <v>3.1474279749999998</v>
      </c>
      <c r="Z78">
        <v>4.2685082059999999</v>
      </c>
      <c r="AA78">
        <v>0.80213577000000003</v>
      </c>
      <c r="AB78">
        <v>4.2816999999999998</v>
      </c>
      <c r="AC78">
        <v>4.4957849999999997</v>
      </c>
      <c r="AD78">
        <v>4.7205742500000003</v>
      </c>
      <c r="AE78">
        <v>4.9566029629999999</v>
      </c>
      <c r="AF78">
        <v>5.2044331110000002</v>
      </c>
      <c r="AG78">
        <v>5.4646547659999998</v>
      </c>
      <c r="AH78">
        <v>5.7378875039999997</v>
      </c>
      <c r="AI78">
        <v>6.0247818799999999</v>
      </c>
      <c r="AJ78">
        <v>6.3260209740000004</v>
      </c>
      <c r="AK78">
        <v>6.6423220220000001</v>
      </c>
      <c r="AL78">
        <v>6.9744381229999997</v>
      </c>
      <c r="AM78">
        <v>7.3231600300000004</v>
      </c>
      <c r="AN78">
        <v>7.689318031</v>
      </c>
      <c r="AO78">
        <v>8.0737839329999996</v>
      </c>
      <c r="AP78">
        <v>92.164092091000001</v>
      </c>
    </row>
    <row r="79" spans="1:62" x14ac:dyDescent="0.25">
      <c r="A79" t="s">
        <v>233</v>
      </c>
      <c r="B79">
        <v>11.85</v>
      </c>
      <c r="C79" t="s">
        <v>233</v>
      </c>
      <c r="D79">
        <v>9.5341869999999995E-3</v>
      </c>
      <c r="E79">
        <v>0.98202120999999998</v>
      </c>
      <c r="F79">
        <v>1.0654453420000001</v>
      </c>
      <c r="G79">
        <v>0</v>
      </c>
      <c r="H79">
        <v>0</v>
      </c>
      <c r="I79">
        <v>0</v>
      </c>
      <c r="J79">
        <v>0</v>
      </c>
      <c r="K79">
        <v>1</v>
      </c>
      <c r="L79">
        <v>0</v>
      </c>
      <c r="M79">
        <v>1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5.0570007390000002</v>
      </c>
      <c r="W79" t="s">
        <v>233</v>
      </c>
      <c r="X79">
        <v>9.5341869999999995E-3</v>
      </c>
      <c r="Y79">
        <v>0.98202120999999998</v>
      </c>
      <c r="Z79">
        <v>1.331806678</v>
      </c>
      <c r="AA79">
        <v>0.25027239600000001</v>
      </c>
      <c r="AB79">
        <v>1.1850000000000001</v>
      </c>
      <c r="AC79">
        <v>1.2442500000000001</v>
      </c>
      <c r="AD79">
        <v>1.3064625000000001</v>
      </c>
      <c r="AE79">
        <v>1.371785625</v>
      </c>
      <c r="AF79">
        <v>1.440374906</v>
      </c>
      <c r="AG79">
        <v>1.5123936520000001</v>
      </c>
      <c r="AH79">
        <v>1.588013334</v>
      </c>
      <c r="AI79">
        <v>1.667414001</v>
      </c>
      <c r="AJ79">
        <v>1.7507847009999999</v>
      </c>
      <c r="AK79">
        <v>1.8383239360000001</v>
      </c>
      <c r="AL79">
        <v>1.9302401330000001</v>
      </c>
      <c r="AM79">
        <v>2.0267521390000001</v>
      </c>
      <c r="AN79">
        <v>2.1280897460000001</v>
      </c>
      <c r="AO79">
        <v>2.234494234</v>
      </c>
      <c r="AP79">
        <v>25.798013378000004</v>
      </c>
    </row>
    <row r="80" spans="1:62" x14ac:dyDescent="0.25">
      <c r="A80" t="s">
        <v>234</v>
      </c>
      <c r="B80">
        <v>15.39</v>
      </c>
      <c r="C80" t="s">
        <v>234</v>
      </c>
      <c r="D80">
        <v>1.1516389E-2</v>
      </c>
      <c r="E80">
        <v>1.186188072</v>
      </c>
      <c r="F80">
        <v>1.2869564760000001</v>
      </c>
      <c r="G80">
        <v>0</v>
      </c>
      <c r="H80">
        <v>0</v>
      </c>
      <c r="I80">
        <v>1</v>
      </c>
      <c r="J80">
        <v>1</v>
      </c>
      <c r="K80">
        <v>1</v>
      </c>
      <c r="L80">
        <v>0</v>
      </c>
      <c r="M80">
        <v>1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7.4846609370000001</v>
      </c>
      <c r="W80" t="s">
        <v>234</v>
      </c>
      <c r="X80">
        <v>1.1516389E-2</v>
      </c>
      <c r="Y80">
        <v>1.186188072</v>
      </c>
      <c r="Z80">
        <v>1.608695596</v>
      </c>
      <c r="AA80">
        <v>0.30230521300000002</v>
      </c>
      <c r="AB80">
        <v>1.5389999999999999</v>
      </c>
      <c r="AC80">
        <v>1.61595</v>
      </c>
      <c r="AD80">
        <v>1.6967475000000001</v>
      </c>
      <c r="AE80">
        <v>1.7815848750000001</v>
      </c>
      <c r="AF80">
        <v>1.870664119</v>
      </c>
      <c r="AG80">
        <v>1.964197325</v>
      </c>
      <c r="AH80">
        <v>2.0624071910000001</v>
      </c>
      <c r="AI80">
        <v>2.1655275500000002</v>
      </c>
      <c r="AJ80">
        <v>2.273803928</v>
      </c>
      <c r="AK80">
        <v>2.3874941239999998</v>
      </c>
      <c r="AL80">
        <v>2.5068688309999998</v>
      </c>
      <c r="AM80">
        <v>2.6322122719999999</v>
      </c>
      <c r="AN80">
        <v>2.7638228859999998</v>
      </c>
      <c r="AO80">
        <v>2.9020140300000001</v>
      </c>
      <c r="AP80">
        <v>33.270999900999996</v>
      </c>
    </row>
    <row r="81" spans="1:62" x14ac:dyDescent="0.25">
      <c r="A81" t="s">
        <v>228</v>
      </c>
      <c r="B81">
        <v>692.15856602499991</v>
      </c>
      <c r="C81" t="s">
        <v>228</v>
      </c>
      <c r="D81">
        <v>20.969105273050005</v>
      </c>
      <c r="E81">
        <v>61.513843011399992</v>
      </c>
      <c r="F81">
        <v>90.891764137100026</v>
      </c>
      <c r="G81">
        <v>63.892000002000003</v>
      </c>
      <c r="H81">
        <v>8.2817260289999997</v>
      </c>
      <c r="I81">
        <v>11.419</v>
      </c>
      <c r="J81">
        <v>12.493999999</v>
      </c>
      <c r="K81">
        <v>20.257999997999999</v>
      </c>
      <c r="L81">
        <v>2.7389999999999999</v>
      </c>
      <c r="M81">
        <v>18.77</v>
      </c>
      <c r="N81">
        <v>4.3</v>
      </c>
      <c r="O81">
        <v>4.8</v>
      </c>
      <c r="P81">
        <v>18.2</v>
      </c>
      <c r="Q81">
        <v>3.6799999999999997</v>
      </c>
      <c r="R81">
        <v>0</v>
      </c>
      <c r="S81">
        <v>0</v>
      </c>
      <c r="T81">
        <v>0</v>
      </c>
      <c r="U81">
        <v>0</v>
      </c>
      <c r="V81">
        <v>342.20843844955004</v>
      </c>
      <c r="W81" t="s">
        <v>228</v>
      </c>
      <c r="X81">
        <v>20.969105273050005</v>
      </c>
      <c r="Y81">
        <v>61.797541611999989</v>
      </c>
      <c r="Z81">
        <v>95.880845511000047</v>
      </c>
      <c r="AA81">
        <v>71.054940328000029</v>
      </c>
      <c r="AB81">
        <v>103.26453083099999</v>
      </c>
      <c r="AC81">
        <v>114.26817758399997</v>
      </c>
      <c r="AD81">
        <v>126.80702121299998</v>
      </c>
      <c r="AE81">
        <v>145.18041775500004</v>
      </c>
      <c r="AF81">
        <v>153.83978118000002</v>
      </c>
      <c r="AG81">
        <v>157.93641278299998</v>
      </c>
      <c r="AH81">
        <v>158.15537595400002</v>
      </c>
      <c r="AI81">
        <v>159.63488729400001</v>
      </c>
      <c r="AJ81">
        <v>160.94732420100001</v>
      </c>
      <c r="AK81">
        <v>171.444232946</v>
      </c>
      <c r="AL81">
        <v>171.69433713799998</v>
      </c>
      <c r="AM81">
        <v>173.41854652799998</v>
      </c>
      <c r="AN81">
        <v>175.22896638999998</v>
      </c>
      <c r="AO81">
        <v>177.12990725299997</v>
      </c>
      <c r="AP81">
        <v>2398.6523517740493</v>
      </c>
      <c r="AQ81" t="s">
        <v>228</v>
      </c>
      <c r="AR81">
        <v>0.22</v>
      </c>
      <c r="AS81">
        <v>0</v>
      </c>
      <c r="AT81">
        <v>0</v>
      </c>
      <c r="AU81">
        <v>0.21</v>
      </c>
      <c r="AV81">
        <v>5.9399999999999995</v>
      </c>
      <c r="AW81">
        <v>0.21</v>
      </c>
      <c r="AX81">
        <v>7.2725</v>
      </c>
      <c r="AY81">
        <v>2.8839999999999999</v>
      </c>
      <c r="AZ81">
        <v>4.3479999999999999</v>
      </c>
      <c r="BA81">
        <v>3.51</v>
      </c>
      <c r="BB81">
        <v>5.5563799999999999</v>
      </c>
      <c r="BC81">
        <v>8.3573800000000009</v>
      </c>
      <c r="BD81">
        <v>6.3963799999999997</v>
      </c>
      <c r="BE81">
        <v>5.3014766651</v>
      </c>
      <c r="BF81">
        <v>4.9564766651000003</v>
      </c>
      <c r="BG81">
        <v>4.5914766651000001</v>
      </c>
      <c r="BH81">
        <v>3.8438800013999996</v>
      </c>
      <c r="BI81">
        <v>6.8044089999999997</v>
      </c>
      <c r="BJ81">
        <v>70.402358996699988</v>
      </c>
    </row>
    <row r="83" spans="1:62" x14ac:dyDescent="0.25">
      <c r="A83" t="s">
        <v>127</v>
      </c>
    </row>
    <row r="84" spans="1:62" x14ac:dyDescent="0.25">
      <c r="A84" t="s">
        <v>106</v>
      </c>
      <c r="B84" t="s">
        <v>1</v>
      </c>
      <c r="C84" t="s">
        <v>2</v>
      </c>
      <c r="D84" t="s">
        <v>121</v>
      </c>
      <c r="E84" t="s">
        <v>122</v>
      </c>
      <c r="F84" t="s">
        <v>123</v>
      </c>
    </row>
    <row r="85" spans="1:62" x14ac:dyDescent="0.25">
      <c r="A85" t="s">
        <v>117</v>
      </c>
      <c r="B85" t="s">
        <v>6</v>
      </c>
      <c r="C85" t="s">
        <v>12</v>
      </c>
      <c r="D85">
        <v>0</v>
      </c>
      <c r="E85">
        <v>20</v>
      </c>
      <c r="F85">
        <v>50000</v>
      </c>
    </row>
    <row r="86" spans="1:62" x14ac:dyDescent="0.25">
      <c r="A86" t="s">
        <v>117</v>
      </c>
      <c r="B86" t="s">
        <v>6</v>
      </c>
      <c r="C86" t="s">
        <v>9</v>
      </c>
      <c r="D86">
        <v>0</v>
      </c>
      <c r="E86">
        <v>20</v>
      </c>
      <c r="F86">
        <v>50000</v>
      </c>
    </row>
    <row r="87" spans="1:62" x14ac:dyDescent="0.25">
      <c r="A87" t="s">
        <v>117</v>
      </c>
      <c r="B87" t="s">
        <v>6</v>
      </c>
      <c r="C87" t="s">
        <v>10</v>
      </c>
      <c r="D87">
        <v>5.4</v>
      </c>
      <c r="E87">
        <v>20</v>
      </c>
      <c r="F87">
        <v>50000</v>
      </c>
    </row>
    <row r="88" spans="1:62" x14ac:dyDescent="0.25">
      <c r="A88" t="s">
        <v>117</v>
      </c>
      <c r="B88" t="s">
        <v>6</v>
      </c>
      <c r="C88" t="s">
        <v>11</v>
      </c>
      <c r="D88">
        <v>11.04</v>
      </c>
      <c r="E88">
        <v>20</v>
      </c>
      <c r="F88">
        <v>50000</v>
      </c>
    </row>
    <row r="89" spans="1:62" x14ac:dyDescent="0.25">
      <c r="A89" t="s">
        <v>117</v>
      </c>
      <c r="B89" t="s">
        <v>6</v>
      </c>
      <c r="C89" t="s">
        <v>8</v>
      </c>
      <c r="D89">
        <v>12.0336</v>
      </c>
      <c r="E89">
        <v>20</v>
      </c>
      <c r="F89">
        <v>50000</v>
      </c>
    </row>
    <row r="91" spans="1:62" x14ac:dyDescent="0.25">
      <c r="C91" t="s">
        <v>126</v>
      </c>
    </row>
    <row r="92" spans="1:62" x14ac:dyDescent="0.25">
      <c r="C92" t="s">
        <v>424</v>
      </c>
    </row>
    <row r="93" spans="1:62" x14ac:dyDescent="0.25">
      <c r="D93">
        <v>2024</v>
      </c>
      <c r="E93">
        <v>2025</v>
      </c>
      <c r="F93">
        <v>2026</v>
      </c>
      <c r="G93">
        <v>2027</v>
      </c>
      <c r="H93">
        <v>2028</v>
      </c>
      <c r="I93">
        <v>2029</v>
      </c>
      <c r="J93">
        <v>2030</v>
      </c>
      <c r="K93">
        <v>2031</v>
      </c>
      <c r="L93">
        <v>2032</v>
      </c>
      <c r="M93">
        <v>2033</v>
      </c>
      <c r="N93">
        <v>2034</v>
      </c>
      <c r="O93">
        <v>2035</v>
      </c>
      <c r="P93">
        <v>2036</v>
      </c>
      <c r="Q93">
        <v>2037</v>
      </c>
      <c r="R93">
        <v>2038</v>
      </c>
      <c r="S93">
        <v>2039</v>
      </c>
      <c r="T93">
        <v>2040</v>
      </c>
      <c r="U93">
        <v>2041</v>
      </c>
      <c r="V93" t="s">
        <v>228</v>
      </c>
    </row>
    <row r="94" spans="1:62" x14ac:dyDescent="0.25">
      <c r="C94" t="s">
        <v>112</v>
      </c>
      <c r="D94">
        <v>3873.4092000000001</v>
      </c>
      <c r="E94">
        <v>3950.8773839999999</v>
      </c>
      <c r="F94">
        <v>4029.8949320000002</v>
      </c>
      <c r="G94">
        <v>4110.4928300000001</v>
      </c>
      <c r="H94">
        <v>4192.702687</v>
      </c>
      <c r="I94">
        <v>4276.5567410000003</v>
      </c>
      <c r="J94">
        <v>4362.0878750000002</v>
      </c>
      <c r="K94">
        <v>4449.3296330000003</v>
      </c>
      <c r="L94">
        <v>4538.3162259999999</v>
      </c>
      <c r="M94">
        <v>4629.0825500000001</v>
      </c>
      <c r="N94">
        <v>4721.6642009999996</v>
      </c>
      <c r="O94">
        <v>4816.0974850000002</v>
      </c>
      <c r="P94">
        <v>4912.4194349999998</v>
      </c>
      <c r="Q94">
        <v>5010.6678240000001</v>
      </c>
      <c r="R94">
        <v>5110.8811800000003</v>
      </c>
      <c r="S94">
        <v>5213.0988040000002</v>
      </c>
      <c r="T94">
        <v>5317.36078</v>
      </c>
      <c r="U94">
        <v>5423.7079949999998</v>
      </c>
      <c r="V94">
        <v>82938.647762000008</v>
      </c>
    </row>
    <row r="95" spans="1:62" x14ac:dyDescent="0.25">
      <c r="C95" t="s">
        <v>115</v>
      </c>
      <c r="D95">
        <v>3873.4092000000001</v>
      </c>
      <c r="E95">
        <v>3950.8773839999999</v>
      </c>
      <c r="F95">
        <v>4029.8949320000002</v>
      </c>
      <c r="G95">
        <v>4110.4928300000001</v>
      </c>
      <c r="H95">
        <v>4192.702687</v>
      </c>
      <c r="I95">
        <v>4276.5567410000003</v>
      </c>
      <c r="J95">
        <v>4362.0878750000002</v>
      </c>
      <c r="K95">
        <v>4449.3296330000003</v>
      </c>
      <c r="L95">
        <v>4538.3162259999999</v>
      </c>
      <c r="M95">
        <v>4629.0825500000001</v>
      </c>
      <c r="N95">
        <v>4721.6642009999996</v>
      </c>
      <c r="O95">
        <v>4816.0974850000002</v>
      </c>
      <c r="P95">
        <v>4912.4194349999998</v>
      </c>
      <c r="Q95">
        <v>5010.6678240000001</v>
      </c>
      <c r="R95">
        <v>5110.8811800000003</v>
      </c>
      <c r="S95">
        <v>5213.0988040000002</v>
      </c>
      <c r="T95">
        <v>5317.36078</v>
      </c>
      <c r="U95">
        <v>5423.7079949999998</v>
      </c>
      <c r="V95">
        <v>82938.647762000008</v>
      </c>
    </row>
    <row r="96" spans="1:62" x14ac:dyDescent="0.25">
      <c r="C96" t="s">
        <v>116</v>
      </c>
      <c r="D96">
        <v>3873.4092000000001</v>
      </c>
      <c r="E96">
        <v>3950.8773839999999</v>
      </c>
      <c r="F96">
        <v>4029.8949320000002</v>
      </c>
      <c r="G96">
        <v>4110.4928300000001</v>
      </c>
      <c r="H96">
        <v>4192.702687</v>
      </c>
      <c r="I96">
        <v>4276.5567410000003</v>
      </c>
      <c r="J96">
        <v>4362.0878750000002</v>
      </c>
      <c r="K96">
        <v>4449.3296330000003</v>
      </c>
      <c r="L96">
        <v>4538.3162259999999</v>
      </c>
      <c r="M96">
        <v>4629.0825500000001</v>
      </c>
      <c r="N96">
        <v>4721.6642009999996</v>
      </c>
      <c r="O96">
        <v>4816.0974850000002</v>
      </c>
      <c r="P96">
        <v>4912.4194349999998</v>
      </c>
      <c r="Q96">
        <v>5010.6678240000001</v>
      </c>
      <c r="R96">
        <v>5110.8811800000003</v>
      </c>
      <c r="S96">
        <v>5213.0988040000002</v>
      </c>
      <c r="T96">
        <v>5317.36078</v>
      </c>
      <c r="U96">
        <v>5423.7079949999998</v>
      </c>
      <c r="V96">
        <v>82938.647762000008</v>
      </c>
    </row>
    <row r="97" spans="2:22" x14ac:dyDescent="0.25">
      <c r="C97" t="s">
        <v>117</v>
      </c>
      <c r="D97">
        <v>50000</v>
      </c>
      <c r="E97">
        <v>50000</v>
      </c>
      <c r="F97">
        <v>50000</v>
      </c>
      <c r="G97">
        <v>50000</v>
      </c>
      <c r="H97">
        <v>50000</v>
      </c>
      <c r="I97">
        <v>50000</v>
      </c>
      <c r="J97">
        <v>50000</v>
      </c>
      <c r="K97">
        <v>50000</v>
      </c>
      <c r="L97">
        <v>50000</v>
      </c>
      <c r="M97">
        <v>50000</v>
      </c>
      <c r="N97">
        <v>50000</v>
      </c>
      <c r="O97">
        <v>50000</v>
      </c>
      <c r="P97">
        <v>50000</v>
      </c>
      <c r="Q97">
        <v>50000</v>
      </c>
      <c r="R97">
        <v>50000</v>
      </c>
      <c r="S97">
        <v>50000</v>
      </c>
      <c r="T97">
        <v>50000</v>
      </c>
      <c r="U97">
        <v>50000</v>
      </c>
      <c r="V97">
        <v>900000</v>
      </c>
    </row>
    <row r="100" spans="2:22" x14ac:dyDescent="0.25">
      <c r="C100" t="s">
        <v>128</v>
      </c>
    </row>
    <row r="101" spans="2:22" x14ac:dyDescent="0.25">
      <c r="B101" t="s">
        <v>425</v>
      </c>
      <c r="C101" t="s">
        <v>226</v>
      </c>
    </row>
    <row r="102" spans="2:22" x14ac:dyDescent="0.25">
      <c r="B102" t="s">
        <v>73</v>
      </c>
      <c r="C102">
        <v>2023</v>
      </c>
      <c r="D102">
        <v>2024</v>
      </c>
      <c r="E102">
        <v>2025</v>
      </c>
      <c r="F102">
        <v>2026</v>
      </c>
      <c r="G102">
        <v>2027</v>
      </c>
      <c r="H102">
        <v>2028</v>
      </c>
      <c r="I102">
        <v>2029</v>
      </c>
      <c r="J102">
        <v>2030</v>
      </c>
      <c r="K102">
        <v>2031</v>
      </c>
      <c r="L102">
        <v>2032</v>
      </c>
      <c r="M102">
        <v>2033</v>
      </c>
      <c r="N102">
        <v>2034</v>
      </c>
      <c r="O102">
        <v>2035</v>
      </c>
      <c r="P102">
        <v>2036</v>
      </c>
      <c r="Q102">
        <v>2037</v>
      </c>
      <c r="R102">
        <v>2038</v>
      </c>
      <c r="S102">
        <v>2039</v>
      </c>
      <c r="T102">
        <v>2040</v>
      </c>
      <c r="U102">
        <v>2041</v>
      </c>
    </row>
    <row r="103" spans="2:22" x14ac:dyDescent="0.25">
      <c r="B103" t="s">
        <v>112</v>
      </c>
      <c r="C103">
        <v>2247.5151080000001</v>
      </c>
      <c r="D103">
        <v>2247.5151080000001</v>
      </c>
      <c r="E103">
        <v>2247.5151080000001</v>
      </c>
      <c r="F103">
        <v>2247.5151080000001</v>
      </c>
      <c r="G103">
        <v>2123.37887</v>
      </c>
      <c r="H103">
        <v>2017.3380729999992</v>
      </c>
      <c r="I103">
        <v>1929.21659</v>
      </c>
      <c r="J103">
        <v>1858.8382669999994</v>
      </c>
      <c r="K103">
        <v>1806.0269990000002</v>
      </c>
      <c r="L103">
        <v>1774.1586590000002</v>
      </c>
      <c r="M103">
        <v>1742.591338</v>
      </c>
      <c r="N103">
        <v>1711.4379179999999</v>
      </c>
      <c r="O103">
        <v>1680.8112399999995</v>
      </c>
      <c r="P103">
        <v>1650.8241889999997</v>
      </c>
      <c r="Q103">
        <v>1621.5896279999999</v>
      </c>
      <c r="R103">
        <v>1593.2204039999999</v>
      </c>
      <c r="S103">
        <v>1565.8293920000003</v>
      </c>
      <c r="T103">
        <v>1539.529456</v>
      </c>
      <c r="U103">
        <v>1514.4334630000001</v>
      </c>
    </row>
    <row r="104" spans="2:22" x14ac:dyDescent="0.25">
      <c r="B104">
        <v>2024</v>
      </c>
      <c r="C104">
        <v>2247.5151080000001</v>
      </c>
      <c r="D104">
        <v>2247.5151080000001</v>
      </c>
    </row>
    <row r="105" spans="2:22" x14ac:dyDescent="0.25">
      <c r="B105">
        <v>2025</v>
      </c>
      <c r="C105">
        <v>2247.5151080000001</v>
      </c>
      <c r="D105">
        <v>2247.5151080000001</v>
      </c>
      <c r="E105">
        <v>2247.5151080000001</v>
      </c>
    </row>
    <row r="106" spans="2:22" x14ac:dyDescent="0.25">
      <c r="B106">
        <v>2026</v>
      </c>
      <c r="C106">
        <v>2247.5151080000001</v>
      </c>
      <c r="D106">
        <v>2247.5151080000001</v>
      </c>
      <c r="E106">
        <v>2247.5151080000001</v>
      </c>
      <c r="F106">
        <v>2247.5151080000001</v>
      </c>
    </row>
    <row r="107" spans="2:22" x14ac:dyDescent="0.25">
      <c r="B107">
        <v>2027</v>
      </c>
      <c r="C107">
        <v>2247.5151080000001</v>
      </c>
      <c r="D107">
        <v>2247.5151080000001</v>
      </c>
      <c r="E107">
        <v>2247.5151080000001</v>
      </c>
      <c r="F107">
        <v>2247.5151080000001</v>
      </c>
      <c r="G107">
        <v>2123.37887</v>
      </c>
    </row>
    <row r="108" spans="2:22" x14ac:dyDescent="0.25">
      <c r="B108">
        <v>2028</v>
      </c>
      <c r="C108">
        <v>2247.5151080000001</v>
      </c>
      <c r="D108">
        <v>2247.5151080000001</v>
      </c>
      <c r="E108">
        <v>2247.5151080000001</v>
      </c>
      <c r="F108">
        <v>2247.5151080000001</v>
      </c>
      <c r="G108">
        <v>2123.37887</v>
      </c>
      <c r="H108">
        <v>2017.3380729999999</v>
      </c>
    </row>
    <row r="109" spans="2:22" x14ac:dyDescent="0.25">
      <c r="B109">
        <v>2029</v>
      </c>
      <c r="C109">
        <v>2247.5151080000001</v>
      </c>
      <c r="D109">
        <v>2247.5151080000001</v>
      </c>
      <c r="E109">
        <v>2247.5151080000001</v>
      </c>
      <c r="F109">
        <v>2247.5151080000001</v>
      </c>
      <c r="G109">
        <v>2123.37887</v>
      </c>
      <c r="H109">
        <v>2017.3380729999999</v>
      </c>
      <c r="I109">
        <v>1929.21659</v>
      </c>
    </row>
    <row r="110" spans="2:22" x14ac:dyDescent="0.25">
      <c r="B110">
        <v>2030</v>
      </c>
      <c r="C110">
        <v>2247.5151080000001</v>
      </c>
      <c r="D110">
        <v>2247.5151080000001</v>
      </c>
      <c r="E110">
        <v>2247.5151080000001</v>
      </c>
      <c r="F110">
        <v>2247.5151080000001</v>
      </c>
      <c r="G110">
        <v>2123.37887</v>
      </c>
      <c r="H110">
        <v>2017.3380729999999</v>
      </c>
      <c r="I110">
        <v>1929.21659</v>
      </c>
      <c r="J110">
        <v>1858.8382670000001</v>
      </c>
    </row>
    <row r="111" spans="2:22" x14ac:dyDescent="0.25">
      <c r="B111">
        <v>2031</v>
      </c>
      <c r="C111">
        <v>2247.5151080000001</v>
      </c>
      <c r="D111">
        <v>2247.5151080000001</v>
      </c>
      <c r="E111">
        <v>2247.5151080000001</v>
      </c>
      <c r="F111">
        <v>2247.5151080000001</v>
      </c>
      <c r="G111">
        <v>2123.37887</v>
      </c>
      <c r="H111">
        <v>2017.3380729999999</v>
      </c>
      <c r="I111">
        <v>1929.21659</v>
      </c>
      <c r="J111">
        <v>1858.8382670000001</v>
      </c>
      <c r="K111">
        <v>1806.0269989999999</v>
      </c>
    </row>
    <row r="112" spans="2:22" x14ac:dyDescent="0.25">
      <c r="B112">
        <v>2032</v>
      </c>
      <c r="C112">
        <v>2247.5151080000001</v>
      </c>
      <c r="D112">
        <v>2247.5151080000001</v>
      </c>
      <c r="E112">
        <v>2247.5151080000001</v>
      </c>
      <c r="F112">
        <v>2247.5151080000001</v>
      </c>
      <c r="G112">
        <v>2123.37887</v>
      </c>
      <c r="H112">
        <v>2017.3380729999999</v>
      </c>
      <c r="I112">
        <v>1929.21659</v>
      </c>
      <c r="J112">
        <v>1858.8382670000001</v>
      </c>
      <c r="K112">
        <v>1806.0269989999999</v>
      </c>
      <c r="L112">
        <v>1774.1586589999999</v>
      </c>
    </row>
    <row r="113" spans="2:21" x14ac:dyDescent="0.25">
      <c r="B113">
        <v>2033</v>
      </c>
      <c r="C113">
        <v>2247.5151080000001</v>
      </c>
      <c r="D113">
        <v>2247.5151080000001</v>
      </c>
      <c r="E113">
        <v>2247.5151080000001</v>
      </c>
      <c r="F113">
        <v>2247.5151080000001</v>
      </c>
      <c r="G113">
        <v>2123.37887</v>
      </c>
      <c r="H113">
        <v>2017.3380729999999</v>
      </c>
      <c r="I113">
        <v>1929.21659</v>
      </c>
      <c r="J113">
        <v>1858.8382670000001</v>
      </c>
      <c r="K113">
        <v>1806.0269989999999</v>
      </c>
      <c r="L113">
        <v>1774.1586589999999</v>
      </c>
      <c r="M113">
        <v>1742.591338</v>
      </c>
    </row>
    <row r="114" spans="2:21" x14ac:dyDescent="0.25">
      <c r="B114">
        <v>2034</v>
      </c>
      <c r="C114">
        <v>2247.5151080000001</v>
      </c>
      <c r="D114">
        <v>2247.5151080000001</v>
      </c>
      <c r="E114">
        <v>2247.5151080000001</v>
      </c>
      <c r="F114">
        <v>2247.5151080000001</v>
      </c>
      <c r="G114">
        <v>2123.37887</v>
      </c>
      <c r="H114">
        <v>2017.3380729999999</v>
      </c>
      <c r="I114">
        <v>1929.21659</v>
      </c>
      <c r="J114">
        <v>1858.8382670000001</v>
      </c>
      <c r="K114">
        <v>1806.0269989999999</v>
      </c>
      <c r="L114">
        <v>1774.1586589999999</v>
      </c>
      <c r="M114">
        <v>1742.591338</v>
      </c>
      <c r="N114">
        <v>1711.4379180000001</v>
      </c>
    </row>
    <row r="115" spans="2:21" x14ac:dyDescent="0.25">
      <c r="B115">
        <v>2035</v>
      </c>
      <c r="C115">
        <v>2247.5151080000001</v>
      </c>
      <c r="D115">
        <v>2247.5151080000001</v>
      </c>
      <c r="E115">
        <v>2247.5151080000001</v>
      </c>
      <c r="F115">
        <v>2247.5151080000001</v>
      </c>
      <c r="G115">
        <v>2123.37887</v>
      </c>
      <c r="H115">
        <v>2017.3380729999999</v>
      </c>
      <c r="I115">
        <v>1929.21659</v>
      </c>
      <c r="J115">
        <v>1858.8382670000001</v>
      </c>
      <c r="K115">
        <v>1806.0269989999999</v>
      </c>
      <c r="L115">
        <v>1774.1586589999999</v>
      </c>
      <c r="M115">
        <v>1742.591338</v>
      </c>
      <c r="N115">
        <v>1711.4379180000001</v>
      </c>
      <c r="O115">
        <v>1680.81124</v>
      </c>
    </row>
    <row r="116" spans="2:21" x14ac:dyDescent="0.25">
      <c r="B116">
        <v>2036</v>
      </c>
      <c r="C116">
        <v>2247.5151080000001</v>
      </c>
      <c r="D116">
        <v>2247.5151080000001</v>
      </c>
      <c r="E116">
        <v>2247.5151080000001</v>
      </c>
      <c r="F116">
        <v>2247.5151080000001</v>
      </c>
      <c r="G116">
        <v>2123.37887</v>
      </c>
      <c r="H116">
        <v>2017.3380729999999</v>
      </c>
      <c r="I116">
        <v>1929.21659</v>
      </c>
      <c r="J116">
        <v>1858.8382670000001</v>
      </c>
      <c r="K116">
        <v>1806.0269989999999</v>
      </c>
      <c r="L116">
        <v>1774.1586589999999</v>
      </c>
      <c r="M116">
        <v>1742.591338</v>
      </c>
      <c r="N116">
        <v>1711.4379180000001</v>
      </c>
      <c r="O116">
        <v>1680.81124</v>
      </c>
      <c r="P116">
        <v>1650.8241889999999</v>
      </c>
    </row>
    <row r="117" spans="2:21" x14ac:dyDescent="0.25">
      <c r="B117">
        <v>2037</v>
      </c>
      <c r="C117">
        <v>2247.5151080000001</v>
      </c>
      <c r="D117">
        <v>2247.5151080000001</v>
      </c>
      <c r="E117">
        <v>2247.5151080000001</v>
      </c>
      <c r="F117">
        <v>2247.5151080000001</v>
      </c>
      <c r="G117">
        <v>2123.37887</v>
      </c>
      <c r="H117">
        <v>2017.3380729999999</v>
      </c>
      <c r="I117">
        <v>1929.21659</v>
      </c>
      <c r="J117">
        <v>1858.8382670000001</v>
      </c>
      <c r="K117">
        <v>1806.0269989999999</v>
      </c>
      <c r="L117">
        <v>1774.1586589999999</v>
      </c>
      <c r="M117">
        <v>1742.591338</v>
      </c>
      <c r="N117">
        <v>1711.4379180000001</v>
      </c>
      <c r="O117">
        <v>1680.81124</v>
      </c>
      <c r="P117">
        <v>1650.8241889999999</v>
      </c>
      <c r="Q117">
        <v>1621.5896279999999</v>
      </c>
    </row>
    <row r="118" spans="2:21" x14ac:dyDescent="0.25">
      <c r="B118">
        <v>2038</v>
      </c>
      <c r="C118">
        <v>2247.5151080000001</v>
      </c>
      <c r="D118">
        <v>2247.5151080000001</v>
      </c>
      <c r="E118">
        <v>2247.5151080000001</v>
      </c>
      <c r="F118">
        <v>2247.5151080000001</v>
      </c>
      <c r="G118">
        <v>2123.37887</v>
      </c>
      <c r="H118">
        <v>2017.3380729999999</v>
      </c>
      <c r="I118">
        <v>1929.21659</v>
      </c>
      <c r="J118">
        <v>1858.8382670000001</v>
      </c>
      <c r="K118">
        <v>1806.0269989999999</v>
      </c>
      <c r="L118">
        <v>1774.1586589999999</v>
      </c>
      <c r="M118">
        <v>1742.591338</v>
      </c>
      <c r="N118">
        <v>1711.4379180000001</v>
      </c>
      <c r="O118">
        <v>1680.81124</v>
      </c>
      <c r="P118">
        <v>1650.8241889999999</v>
      </c>
      <c r="Q118">
        <v>1621.5896279999999</v>
      </c>
      <c r="R118">
        <v>1593.2204039999999</v>
      </c>
    </row>
    <row r="119" spans="2:21" x14ac:dyDescent="0.25">
      <c r="B119">
        <v>2039</v>
      </c>
      <c r="C119">
        <v>2247.5151080000001</v>
      </c>
      <c r="D119">
        <v>2247.5151080000001</v>
      </c>
      <c r="E119">
        <v>2247.5151080000001</v>
      </c>
      <c r="F119">
        <v>2247.5151080000001</v>
      </c>
      <c r="G119">
        <v>2123.37887</v>
      </c>
      <c r="H119">
        <v>2017.3380729999999</v>
      </c>
      <c r="I119">
        <v>1929.21659</v>
      </c>
      <c r="J119">
        <v>1858.8382670000001</v>
      </c>
      <c r="K119">
        <v>1806.0269989999999</v>
      </c>
      <c r="L119">
        <v>1774.1586589999999</v>
      </c>
      <c r="M119">
        <v>1742.591338</v>
      </c>
      <c r="N119">
        <v>1711.4379180000001</v>
      </c>
      <c r="O119">
        <v>1680.81124</v>
      </c>
      <c r="P119">
        <v>1650.8241889999999</v>
      </c>
      <c r="Q119">
        <v>1621.5896279999999</v>
      </c>
      <c r="R119">
        <v>1593.2204039999999</v>
      </c>
      <c r="S119">
        <v>1565.8293920000001</v>
      </c>
    </row>
    <row r="120" spans="2:21" x14ac:dyDescent="0.25">
      <c r="B120">
        <v>2040</v>
      </c>
      <c r="C120">
        <v>2247.5151080000001</v>
      </c>
      <c r="D120">
        <v>2247.5151080000001</v>
      </c>
      <c r="E120">
        <v>2247.5151080000001</v>
      </c>
      <c r="F120">
        <v>2247.5151080000001</v>
      </c>
      <c r="G120">
        <v>2123.37887</v>
      </c>
      <c r="H120">
        <v>2017.3380729999999</v>
      </c>
      <c r="I120">
        <v>1929.21659</v>
      </c>
      <c r="J120">
        <v>1858.8382670000001</v>
      </c>
      <c r="K120">
        <v>1806.0269989999999</v>
      </c>
      <c r="L120">
        <v>1774.1586589999999</v>
      </c>
      <c r="M120">
        <v>1742.591338</v>
      </c>
      <c r="N120">
        <v>1711.4379180000001</v>
      </c>
      <c r="O120">
        <v>1680.81124</v>
      </c>
      <c r="P120">
        <v>1650.8241889999999</v>
      </c>
      <c r="Q120">
        <v>1621.5896279999999</v>
      </c>
      <c r="R120">
        <v>1593.2204039999999</v>
      </c>
      <c r="S120">
        <v>1565.8293920000001</v>
      </c>
      <c r="T120">
        <v>1539.529456</v>
      </c>
    </row>
    <row r="121" spans="2:21" x14ac:dyDescent="0.25">
      <c r="B121">
        <v>2041</v>
      </c>
      <c r="C121">
        <v>2247.5151080000001</v>
      </c>
      <c r="D121">
        <v>2247.5151080000001</v>
      </c>
      <c r="E121">
        <v>2247.5151080000001</v>
      </c>
      <c r="F121">
        <v>2247.5151080000001</v>
      </c>
      <c r="G121">
        <v>2123.37887</v>
      </c>
      <c r="H121">
        <v>2017.3380729999999</v>
      </c>
      <c r="I121">
        <v>1929.21659</v>
      </c>
      <c r="J121">
        <v>1858.8382670000001</v>
      </c>
      <c r="K121">
        <v>1806.0269989999999</v>
      </c>
      <c r="L121">
        <v>1774.1586589999999</v>
      </c>
      <c r="M121">
        <v>1742.591338</v>
      </c>
      <c r="N121">
        <v>1711.4379180000001</v>
      </c>
      <c r="O121">
        <v>1680.81124</v>
      </c>
      <c r="P121">
        <v>1650.8241889999999</v>
      </c>
      <c r="Q121">
        <v>1621.5896279999999</v>
      </c>
      <c r="R121">
        <v>1593.2204039999999</v>
      </c>
      <c r="S121">
        <v>1565.8293920000001</v>
      </c>
      <c r="T121">
        <v>1539.529456</v>
      </c>
      <c r="U121">
        <v>1514.4334630000001</v>
      </c>
    </row>
    <row r="122" spans="2:21" x14ac:dyDescent="0.25">
      <c r="B122" t="s">
        <v>115</v>
      </c>
      <c r="C122">
        <v>1912.3593460000002</v>
      </c>
      <c r="D122">
        <v>1912.3593460000002</v>
      </c>
      <c r="E122">
        <v>1912.3593460000004</v>
      </c>
      <c r="F122">
        <v>1912.3593460000004</v>
      </c>
      <c r="G122">
        <v>1806.7346529999998</v>
      </c>
      <c r="H122">
        <v>1716.5069570000003</v>
      </c>
      <c r="I122">
        <v>1641.5263970000003</v>
      </c>
      <c r="J122">
        <v>1581.6430870000002</v>
      </c>
      <c r="K122">
        <v>1536.7071830000002</v>
      </c>
      <c r="L122">
        <v>1509.5911400000002</v>
      </c>
      <c r="M122">
        <v>1482.7312260000001</v>
      </c>
      <c r="N122">
        <v>1456.2234910000002</v>
      </c>
      <c r="O122">
        <v>1430.1639500000001</v>
      </c>
      <c r="P122">
        <v>1404.6486520000001</v>
      </c>
      <c r="Q122">
        <v>1379.773631</v>
      </c>
      <c r="R122">
        <v>1355.6349049999999</v>
      </c>
      <c r="S122">
        <v>1332.328518</v>
      </c>
      <c r="T122">
        <v>1309.9505019999999</v>
      </c>
      <c r="U122">
        <v>1288.596894</v>
      </c>
    </row>
    <row r="123" spans="2:21" x14ac:dyDescent="0.25">
      <c r="B123">
        <v>2024</v>
      </c>
      <c r="C123">
        <v>1912.359346</v>
      </c>
      <c r="D123">
        <v>1912.359346</v>
      </c>
    </row>
    <row r="124" spans="2:21" x14ac:dyDescent="0.25">
      <c r="B124">
        <v>2025</v>
      </c>
      <c r="C124">
        <v>1912.359346</v>
      </c>
      <c r="D124">
        <v>1912.359346</v>
      </c>
      <c r="E124">
        <v>1912.359346</v>
      </c>
    </row>
    <row r="125" spans="2:21" x14ac:dyDescent="0.25">
      <c r="B125">
        <v>2026</v>
      </c>
      <c r="C125">
        <v>1912.359346</v>
      </c>
      <c r="D125">
        <v>1912.359346</v>
      </c>
      <c r="E125">
        <v>1912.359346</v>
      </c>
      <c r="F125">
        <v>1912.359346</v>
      </c>
    </row>
    <row r="126" spans="2:21" x14ac:dyDescent="0.25">
      <c r="B126">
        <v>2027</v>
      </c>
      <c r="C126">
        <v>1912.359346</v>
      </c>
      <c r="D126">
        <v>1912.359346</v>
      </c>
      <c r="E126">
        <v>1912.359346</v>
      </c>
      <c r="F126">
        <v>1912.359346</v>
      </c>
      <c r="G126">
        <v>1806.734653</v>
      </c>
    </row>
    <row r="127" spans="2:21" x14ac:dyDescent="0.25">
      <c r="B127">
        <v>2028</v>
      </c>
      <c r="C127">
        <v>1912.359346</v>
      </c>
      <c r="D127">
        <v>1912.359346</v>
      </c>
      <c r="E127">
        <v>1912.359346</v>
      </c>
      <c r="F127">
        <v>1912.359346</v>
      </c>
      <c r="G127">
        <v>1806.734653</v>
      </c>
      <c r="H127">
        <v>1716.5069570000001</v>
      </c>
    </row>
    <row r="128" spans="2:21" x14ac:dyDescent="0.25">
      <c r="B128">
        <v>2029</v>
      </c>
      <c r="C128">
        <v>1912.359346</v>
      </c>
      <c r="D128">
        <v>1912.359346</v>
      </c>
      <c r="E128">
        <v>1912.359346</v>
      </c>
      <c r="F128">
        <v>1912.359346</v>
      </c>
      <c r="G128">
        <v>1806.734653</v>
      </c>
      <c r="H128">
        <v>1716.5069570000001</v>
      </c>
      <c r="I128">
        <v>1641.5263970000001</v>
      </c>
    </row>
    <row r="129" spans="2:21" x14ac:dyDescent="0.25">
      <c r="B129">
        <v>2030</v>
      </c>
      <c r="C129">
        <v>1912.359346</v>
      </c>
      <c r="D129">
        <v>1912.359346</v>
      </c>
      <c r="E129">
        <v>1912.359346</v>
      </c>
      <c r="F129">
        <v>1912.359346</v>
      </c>
      <c r="G129">
        <v>1806.734653</v>
      </c>
      <c r="H129">
        <v>1716.5069570000001</v>
      </c>
      <c r="I129">
        <v>1641.5263970000001</v>
      </c>
      <c r="J129">
        <v>1581.6430869999999</v>
      </c>
    </row>
    <row r="130" spans="2:21" x14ac:dyDescent="0.25">
      <c r="B130">
        <v>2031</v>
      </c>
      <c r="C130">
        <v>1912.359346</v>
      </c>
      <c r="D130">
        <v>1912.359346</v>
      </c>
      <c r="E130">
        <v>1912.359346</v>
      </c>
      <c r="F130">
        <v>1912.359346</v>
      </c>
      <c r="G130">
        <v>1806.734653</v>
      </c>
      <c r="H130">
        <v>1716.5069570000001</v>
      </c>
      <c r="I130">
        <v>1641.5263970000001</v>
      </c>
      <c r="J130">
        <v>1581.6430869999999</v>
      </c>
      <c r="K130">
        <v>1536.707183</v>
      </c>
    </row>
    <row r="131" spans="2:21" x14ac:dyDescent="0.25">
      <c r="B131">
        <v>2032</v>
      </c>
      <c r="C131">
        <v>1912.359346</v>
      </c>
      <c r="D131">
        <v>1912.359346</v>
      </c>
      <c r="E131">
        <v>1912.359346</v>
      </c>
      <c r="F131">
        <v>1912.359346</v>
      </c>
      <c r="G131">
        <v>1806.734653</v>
      </c>
      <c r="H131">
        <v>1716.5069570000001</v>
      </c>
      <c r="I131">
        <v>1641.5263970000001</v>
      </c>
      <c r="J131">
        <v>1581.6430869999999</v>
      </c>
      <c r="K131">
        <v>1536.707183</v>
      </c>
      <c r="L131">
        <v>1509.59114</v>
      </c>
    </row>
    <row r="132" spans="2:21" x14ac:dyDescent="0.25">
      <c r="B132">
        <v>2033</v>
      </c>
      <c r="C132">
        <v>1912.359346</v>
      </c>
      <c r="D132">
        <v>1912.359346</v>
      </c>
      <c r="E132">
        <v>1912.359346</v>
      </c>
      <c r="F132">
        <v>1912.359346</v>
      </c>
      <c r="G132">
        <v>1806.734653</v>
      </c>
      <c r="H132">
        <v>1716.5069570000001</v>
      </c>
      <c r="I132">
        <v>1641.5263970000001</v>
      </c>
      <c r="J132">
        <v>1581.6430869999999</v>
      </c>
      <c r="K132">
        <v>1536.707183</v>
      </c>
      <c r="L132">
        <v>1509.59114</v>
      </c>
      <c r="M132">
        <v>1482.7312260000001</v>
      </c>
    </row>
    <row r="133" spans="2:21" x14ac:dyDescent="0.25">
      <c r="B133">
        <v>2034</v>
      </c>
      <c r="C133">
        <v>1912.359346</v>
      </c>
      <c r="D133">
        <v>1912.359346</v>
      </c>
      <c r="E133">
        <v>1912.359346</v>
      </c>
      <c r="F133">
        <v>1912.359346</v>
      </c>
      <c r="G133">
        <v>1806.734653</v>
      </c>
      <c r="H133">
        <v>1716.5069570000001</v>
      </c>
      <c r="I133">
        <v>1641.5263970000001</v>
      </c>
      <c r="J133">
        <v>1581.6430869999999</v>
      </c>
      <c r="K133">
        <v>1536.707183</v>
      </c>
      <c r="L133">
        <v>1509.59114</v>
      </c>
      <c r="M133">
        <v>1482.7312260000001</v>
      </c>
      <c r="N133">
        <v>1456.223491</v>
      </c>
    </row>
    <row r="134" spans="2:21" x14ac:dyDescent="0.25">
      <c r="B134">
        <v>2035</v>
      </c>
      <c r="C134">
        <v>1912.359346</v>
      </c>
      <c r="D134">
        <v>1912.359346</v>
      </c>
      <c r="E134">
        <v>1912.359346</v>
      </c>
      <c r="F134">
        <v>1912.359346</v>
      </c>
      <c r="G134">
        <v>1806.734653</v>
      </c>
      <c r="H134">
        <v>1716.5069570000001</v>
      </c>
      <c r="I134">
        <v>1641.5263970000001</v>
      </c>
      <c r="J134">
        <v>1581.6430869999999</v>
      </c>
      <c r="K134">
        <v>1536.707183</v>
      </c>
      <c r="L134">
        <v>1509.59114</v>
      </c>
      <c r="M134">
        <v>1482.7312260000001</v>
      </c>
      <c r="N134">
        <v>1456.223491</v>
      </c>
      <c r="O134">
        <v>1430.1639500000001</v>
      </c>
    </row>
    <row r="135" spans="2:21" x14ac:dyDescent="0.25">
      <c r="B135">
        <v>2036</v>
      </c>
      <c r="C135">
        <v>1912.359346</v>
      </c>
      <c r="D135">
        <v>1912.359346</v>
      </c>
      <c r="E135">
        <v>1912.359346</v>
      </c>
      <c r="F135">
        <v>1912.359346</v>
      </c>
      <c r="G135">
        <v>1806.734653</v>
      </c>
      <c r="H135">
        <v>1716.5069570000001</v>
      </c>
      <c r="I135">
        <v>1641.5263970000001</v>
      </c>
      <c r="J135">
        <v>1581.6430869999999</v>
      </c>
      <c r="K135">
        <v>1536.707183</v>
      </c>
      <c r="L135">
        <v>1509.59114</v>
      </c>
      <c r="M135">
        <v>1482.7312260000001</v>
      </c>
      <c r="N135">
        <v>1456.223491</v>
      </c>
      <c r="O135">
        <v>1430.1639500000001</v>
      </c>
      <c r="P135">
        <v>1404.6486520000001</v>
      </c>
    </row>
    <row r="136" spans="2:21" x14ac:dyDescent="0.25">
      <c r="B136">
        <v>2037</v>
      </c>
      <c r="C136">
        <v>1912.359346</v>
      </c>
      <c r="D136">
        <v>1912.359346</v>
      </c>
      <c r="E136">
        <v>1912.359346</v>
      </c>
      <c r="F136">
        <v>1912.359346</v>
      </c>
      <c r="G136">
        <v>1806.734653</v>
      </c>
      <c r="H136">
        <v>1716.5069570000001</v>
      </c>
      <c r="I136">
        <v>1641.5263970000001</v>
      </c>
      <c r="J136">
        <v>1581.6430869999999</v>
      </c>
      <c r="K136">
        <v>1536.707183</v>
      </c>
      <c r="L136">
        <v>1509.59114</v>
      </c>
      <c r="M136">
        <v>1482.7312260000001</v>
      </c>
      <c r="N136">
        <v>1456.223491</v>
      </c>
      <c r="O136">
        <v>1430.1639500000001</v>
      </c>
      <c r="P136">
        <v>1404.6486520000001</v>
      </c>
      <c r="Q136">
        <v>1379.773631</v>
      </c>
    </row>
    <row r="137" spans="2:21" x14ac:dyDescent="0.25">
      <c r="B137">
        <v>2038</v>
      </c>
      <c r="C137">
        <v>1912.359346</v>
      </c>
      <c r="D137">
        <v>1912.359346</v>
      </c>
      <c r="E137">
        <v>1912.359346</v>
      </c>
      <c r="F137">
        <v>1912.359346</v>
      </c>
      <c r="G137">
        <v>1806.734653</v>
      </c>
      <c r="H137">
        <v>1716.5069570000001</v>
      </c>
      <c r="I137">
        <v>1641.5263970000001</v>
      </c>
      <c r="J137">
        <v>1581.6430869999999</v>
      </c>
      <c r="K137">
        <v>1536.707183</v>
      </c>
      <c r="L137">
        <v>1509.59114</v>
      </c>
      <c r="M137">
        <v>1482.7312260000001</v>
      </c>
      <c r="N137">
        <v>1456.223491</v>
      </c>
      <c r="O137">
        <v>1430.1639500000001</v>
      </c>
      <c r="P137">
        <v>1404.6486520000001</v>
      </c>
      <c r="Q137">
        <v>1379.773631</v>
      </c>
      <c r="R137">
        <v>1355.6349049999999</v>
      </c>
    </row>
    <row r="138" spans="2:21" x14ac:dyDescent="0.25">
      <c r="B138">
        <v>2039</v>
      </c>
      <c r="C138">
        <v>1912.359346</v>
      </c>
      <c r="D138">
        <v>1912.359346</v>
      </c>
      <c r="E138">
        <v>1912.359346</v>
      </c>
      <c r="F138">
        <v>1912.359346</v>
      </c>
      <c r="G138">
        <v>1806.734653</v>
      </c>
      <c r="H138">
        <v>1716.5069570000001</v>
      </c>
      <c r="I138">
        <v>1641.5263970000001</v>
      </c>
      <c r="J138">
        <v>1581.6430869999999</v>
      </c>
      <c r="K138">
        <v>1536.707183</v>
      </c>
      <c r="L138">
        <v>1509.59114</v>
      </c>
      <c r="M138">
        <v>1482.7312260000001</v>
      </c>
      <c r="N138">
        <v>1456.223491</v>
      </c>
      <c r="O138">
        <v>1430.1639500000001</v>
      </c>
      <c r="P138">
        <v>1404.6486520000001</v>
      </c>
      <c r="Q138">
        <v>1379.773631</v>
      </c>
      <c r="R138">
        <v>1355.6349049999999</v>
      </c>
      <c r="S138">
        <v>1332.328518</v>
      </c>
    </row>
    <row r="139" spans="2:21" x14ac:dyDescent="0.25">
      <c r="B139">
        <v>2040</v>
      </c>
      <c r="C139">
        <v>1912.359346</v>
      </c>
      <c r="D139">
        <v>1912.359346</v>
      </c>
      <c r="E139">
        <v>1912.359346</v>
      </c>
      <c r="F139">
        <v>1912.359346</v>
      </c>
      <c r="G139">
        <v>1806.734653</v>
      </c>
      <c r="H139">
        <v>1716.5069570000001</v>
      </c>
      <c r="I139">
        <v>1641.5263970000001</v>
      </c>
      <c r="J139">
        <v>1581.6430869999999</v>
      </c>
      <c r="K139">
        <v>1536.707183</v>
      </c>
      <c r="L139">
        <v>1509.59114</v>
      </c>
      <c r="M139">
        <v>1482.7312260000001</v>
      </c>
      <c r="N139">
        <v>1456.223491</v>
      </c>
      <c r="O139">
        <v>1430.1639500000001</v>
      </c>
      <c r="P139">
        <v>1404.6486520000001</v>
      </c>
      <c r="Q139">
        <v>1379.773631</v>
      </c>
      <c r="R139">
        <v>1355.6349049999999</v>
      </c>
      <c r="S139">
        <v>1332.328518</v>
      </c>
      <c r="T139">
        <v>1309.9505019999999</v>
      </c>
    </row>
    <row r="140" spans="2:21" x14ac:dyDescent="0.25">
      <c r="B140">
        <v>2041</v>
      </c>
      <c r="C140">
        <v>1912.359346</v>
      </c>
      <c r="D140">
        <v>1912.359346</v>
      </c>
      <c r="E140">
        <v>1912.359346</v>
      </c>
      <c r="F140">
        <v>1912.359346</v>
      </c>
      <c r="G140">
        <v>1806.734653</v>
      </c>
      <c r="H140">
        <v>1716.5069570000001</v>
      </c>
      <c r="I140">
        <v>1641.5263970000001</v>
      </c>
      <c r="J140">
        <v>1581.6430869999999</v>
      </c>
      <c r="K140">
        <v>1536.707183</v>
      </c>
      <c r="L140">
        <v>1509.59114</v>
      </c>
      <c r="M140">
        <v>1482.7312260000001</v>
      </c>
      <c r="N140">
        <v>1456.223491</v>
      </c>
      <c r="O140">
        <v>1430.1639500000001</v>
      </c>
      <c r="P140">
        <v>1404.6486520000001</v>
      </c>
      <c r="Q140">
        <v>1379.773631</v>
      </c>
      <c r="R140">
        <v>1355.6349049999999</v>
      </c>
      <c r="S140">
        <v>1332.328518</v>
      </c>
      <c r="T140">
        <v>1309.9505019999999</v>
      </c>
      <c r="U140">
        <v>1288.596894</v>
      </c>
    </row>
    <row r="141" spans="2:21" x14ac:dyDescent="0.25">
      <c r="B141" t="s">
        <v>116</v>
      </c>
      <c r="C141">
        <v>1800.6407590000006</v>
      </c>
      <c r="D141">
        <v>1800.6407590000006</v>
      </c>
      <c r="E141">
        <v>1800.6407590000003</v>
      </c>
      <c r="F141">
        <v>1800.6407590000003</v>
      </c>
      <c r="G141">
        <v>1701.1865800000005</v>
      </c>
      <c r="H141">
        <v>1616.2299180000005</v>
      </c>
      <c r="I141">
        <v>1545.6296660000005</v>
      </c>
      <c r="J141">
        <v>1489.2446940000002</v>
      </c>
      <c r="K141">
        <v>1446.9339120000002</v>
      </c>
      <c r="L141">
        <v>1421.401967</v>
      </c>
      <c r="M141">
        <v>1396.1111889999997</v>
      </c>
      <c r="N141">
        <v>1371.152016</v>
      </c>
      <c r="O141">
        <v>1346.6148530000003</v>
      </c>
      <c r="P141">
        <v>1322.59014</v>
      </c>
      <c r="Q141">
        <v>1299.168298</v>
      </c>
      <c r="R141">
        <v>1276.4397389999999</v>
      </c>
      <c r="S141">
        <v>1254.494893</v>
      </c>
      <c r="T141">
        <v>1233.424184</v>
      </c>
      <c r="U141">
        <v>1213.318037</v>
      </c>
    </row>
    <row r="142" spans="2:21" x14ac:dyDescent="0.25">
      <c r="B142">
        <v>2024</v>
      </c>
      <c r="C142">
        <v>1800.6407589999999</v>
      </c>
      <c r="D142">
        <v>1800.6407589999999</v>
      </c>
    </row>
    <row r="143" spans="2:21" x14ac:dyDescent="0.25">
      <c r="B143">
        <v>2025</v>
      </c>
      <c r="C143">
        <v>1800.6407589999999</v>
      </c>
      <c r="D143">
        <v>1800.6407589999999</v>
      </c>
      <c r="E143">
        <v>1800.6407589999999</v>
      </c>
    </row>
    <row r="144" spans="2:21" x14ac:dyDescent="0.25">
      <c r="B144">
        <v>2026</v>
      </c>
      <c r="C144">
        <v>1800.6407589999999</v>
      </c>
      <c r="D144">
        <v>1800.6407589999999</v>
      </c>
      <c r="E144">
        <v>1800.6407589999999</v>
      </c>
      <c r="F144">
        <v>1800.6407589999999</v>
      </c>
    </row>
    <row r="145" spans="2:21" x14ac:dyDescent="0.25">
      <c r="B145">
        <v>2027</v>
      </c>
      <c r="C145">
        <v>1800.6407589999999</v>
      </c>
      <c r="D145">
        <v>1800.6407589999999</v>
      </c>
      <c r="E145">
        <v>1800.6407589999999</v>
      </c>
      <c r="F145">
        <v>1800.6407589999999</v>
      </c>
      <c r="G145">
        <v>1701.18658</v>
      </c>
    </row>
    <row r="146" spans="2:21" x14ac:dyDescent="0.25">
      <c r="B146">
        <v>2028</v>
      </c>
      <c r="C146">
        <v>1800.6407589999999</v>
      </c>
      <c r="D146">
        <v>1800.6407589999999</v>
      </c>
      <c r="E146">
        <v>1800.6407589999999</v>
      </c>
      <c r="F146">
        <v>1800.6407589999999</v>
      </c>
      <c r="G146">
        <v>1701.18658</v>
      </c>
      <c r="H146">
        <v>1616.229918</v>
      </c>
    </row>
    <row r="147" spans="2:21" x14ac:dyDescent="0.25">
      <c r="B147">
        <v>2029</v>
      </c>
      <c r="C147">
        <v>1800.6407589999999</v>
      </c>
      <c r="D147">
        <v>1800.6407589999999</v>
      </c>
      <c r="E147">
        <v>1800.6407589999999</v>
      </c>
      <c r="F147">
        <v>1800.6407589999999</v>
      </c>
      <c r="G147">
        <v>1701.18658</v>
      </c>
      <c r="H147">
        <v>1616.229918</v>
      </c>
      <c r="I147">
        <v>1545.629666</v>
      </c>
    </row>
    <row r="148" spans="2:21" x14ac:dyDescent="0.25">
      <c r="B148">
        <v>2030</v>
      </c>
      <c r="C148">
        <v>1800.6407589999999</v>
      </c>
      <c r="D148">
        <v>1800.6407589999999</v>
      </c>
      <c r="E148">
        <v>1800.6407589999999</v>
      </c>
      <c r="F148">
        <v>1800.6407589999999</v>
      </c>
      <c r="G148">
        <v>1701.18658</v>
      </c>
      <c r="H148">
        <v>1616.229918</v>
      </c>
      <c r="I148">
        <v>1545.629666</v>
      </c>
      <c r="J148">
        <v>1489.244694</v>
      </c>
    </row>
    <row r="149" spans="2:21" x14ac:dyDescent="0.25">
      <c r="B149">
        <v>2031</v>
      </c>
      <c r="C149">
        <v>1800.6407589999999</v>
      </c>
      <c r="D149">
        <v>1800.6407589999999</v>
      </c>
      <c r="E149">
        <v>1800.6407589999999</v>
      </c>
      <c r="F149">
        <v>1800.6407589999999</v>
      </c>
      <c r="G149">
        <v>1701.18658</v>
      </c>
      <c r="H149">
        <v>1616.229918</v>
      </c>
      <c r="I149">
        <v>1545.629666</v>
      </c>
      <c r="J149">
        <v>1489.244694</v>
      </c>
      <c r="K149">
        <v>1446.933912</v>
      </c>
    </row>
    <row r="150" spans="2:21" x14ac:dyDescent="0.25">
      <c r="B150">
        <v>2032</v>
      </c>
      <c r="C150">
        <v>1800.6407589999999</v>
      </c>
      <c r="D150">
        <v>1800.6407589999999</v>
      </c>
      <c r="E150">
        <v>1800.6407589999999</v>
      </c>
      <c r="F150">
        <v>1800.6407589999999</v>
      </c>
      <c r="G150">
        <v>1701.18658</v>
      </c>
      <c r="H150">
        <v>1616.229918</v>
      </c>
      <c r="I150">
        <v>1545.629666</v>
      </c>
      <c r="J150">
        <v>1489.244694</v>
      </c>
      <c r="K150">
        <v>1446.933912</v>
      </c>
      <c r="L150">
        <v>1421.401967</v>
      </c>
    </row>
    <row r="151" spans="2:21" x14ac:dyDescent="0.25">
      <c r="B151">
        <v>2033</v>
      </c>
      <c r="C151">
        <v>1800.6407589999999</v>
      </c>
      <c r="D151">
        <v>1800.6407589999999</v>
      </c>
      <c r="E151">
        <v>1800.6407589999999</v>
      </c>
      <c r="F151">
        <v>1800.6407589999999</v>
      </c>
      <c r="G151">
        <v>1701.18658</v>
      </c>
      <c r="H151">
        <v>1616.229918</v>
      </c>
      <c r="I151">
        <v>1545.629666</v>
      </c>
      <c r="J151">
        <v>1489.244694</v>
      </c>
      <c r="K151">
        <v>1446.933912</v>
      </c>
      <c r="L151">
        <v>1421.401967</v>
      </c>
      <c r="M151">
        <v>1396.111189</v>
      </c>
    </row>
    <row r="152" spans="2:21" x14ac:dyDescent="0.25">
      <c r="B152">
        <v>2034</v>
      </c>
      <c r="C152">
        <v>1800.6407589999999</v>
      </c>
      <c r="D152">
        <v>1800.6407589999999</v>
      </c>
      <c r="E152">
        <v>1800.6407589999999</v>
      </c>
      <c r="F152">
        <v>1800.6407589999999</v>
      </c>
      <c r="G152">
        <v>1701.18658</v>
      </c>
      <c r="H152">
        <v>1616.229918</v>
      </c>
      <c r="I152">
        <v>1545.629666</v>
      </c>
      <c r="J152">
        <v>1489.244694</v>
      </c>
      <c r="K152">
        <v>1446.933912</v>
      </c>
      <c r="L152">
        <v>1421.401967</v>
      </c>
      <c r="M152">
        <v>1396.111189</v>
      </c>
      <c r="N152">
        <v>1371.152016</v>
      </c>
    </row>
    <row r="153" spans="2:21" x14ac:dyDescent="0.25">
      <c r="B153">
        <v>2035</v>
      </c>
      <c r="C153">
        <v>1800.6407589999999</v>
      </c>
      <c r="D153">
        <v>1800.6407589999999</v>
      </c>
      <c r="E153">
        <v>1800.6407589999999</v>
      </c>
      <c r="F153">
        <v>1800.6407589999999</v>
      </c>
      <c r="G153">
        <v>1701.18658</v>
      </c>
      <c r="H153">
        <v>1616.229918</v>
      </c>
      <c r="I153">
        <v>1545.629666</v>
      </c>
      <c r="J153">
        <v>1489.244694</v>
      </c>
      <c r="K153">
        <v>1446.933912</v>
      </c>
      <c r="L153">
        <v>1421.401967</v>
      </c>
      <c r="M153">
        <v>1396.111189</v>
      </c>
      <c r="N153">
        <v>1371.152016</v>
      </c>
      <c r="O153">
        <v>1346.614853</v>
      </c>
    </row>
    <row r="154" spans="2:21" x14ac:dyDescent="0.25">
      <c r="B154">
        <v>2036</v>
      </c>
      <c r="C154">
        <v>1800.6407589999999</v>
      </c>
      <c r="D154">
        <v>1800.6407589999999</v>
      </c>
      <c r="E154">
        <v>1800.6407589999999</v>
      </c>
      <c r="F154">
        <v>1800.6407589999999</v>
      </c>
      <c r="G154">
        <v>1701.18658</v>
      </c>
      <c r="H154">
        <v>1616.229918</v>
      </c>
      <c r="I154">
        <v>1545.629666</v>
      </c>
      <c r="J154">
        <v>1489.244694</v>
      </c>
      <c r="K154">
        <v>1446.933912</v>
      </c>
      <c r="L154">
        <v>1421.401967</v>
      </c>
      <c r="M154">
        <v>1396.111189</v>
      </c>
      <c r="N154">
        <v>1371.152016</v>
      </c>
      <c r="O154">
        <v>1346.614853</v>
      </c>
      <c r="P154">
        <v>1322.59014</v>
      </c>
    </row>
    <row r="155" spans="2:21" x14ac:dyDescent="0.25">
      <c r="B155">
        <v>2037</v>
      </c>
      <c r="C155">
        <v>1800.6407589999999</v>
      </c>
      <c r="D155">
        <v>1800.6407589999999</v>
      </c>
      <c r="E155">
        <v>1800.6407589999999</v>
      </c>
      <c r="F155">
        <v>1800.6407589999999</v>
      </c>
      <c r="G155">
        <v>1701.18658</v>
      </c>
      <c r="H155">
        <v>1616.229918</v>
      </c>
      <c r="I155">
        <v>1545.629666</v>
      </c>
      <c r="J155">
        <v>1489.244694</v>
      </c>
      <c r="K155">
        <v>1446.933912</v>
      </c>
      <c r="L155">
        <v>1421.401967</v>
      </c>
      <c r="M155">
        <v>1396.111189</v>
      </c>
      <c r="N155">
        <v>1371.152016</v>
      </c>
      <c r="O155">
        <v>1346.614853</v>
      </c>
      <c r="P155">
        <v>1322.59014</v>
      </c>
      <c r="Q155">
        <v>1299.168298</v>
      </c>
    </row>
    <row r="156" spans="2:21" x14ac:dyDescent="0.25">
      <c r="B156">
        <v>2038</v>
      </c>
      <c r="C156">
        <v>1800.6407589999999</v>
      </c>
      <c r="D156">
        <v>1800.6407589999999</v>
      </c>
      <c r="E156">
        <v>1800.6407589999999</v>
      </c>
      <c r="F156">
        <v>1800.6407589999999</v>
      </c>
      <c r="G156">
        <v>1701.18658</v>
      </c>
      <c r="H156">
        <v>1616.229918</v>
      </c>
      <c r="I156">
        <v>1545.629666</v>
      </c>
      <c r="J156">
        <v>1489.244694</v>
      </c>
      <c r="K156">
        <v>1446.933912</v>
      </c>
      <c r="L156">
        <v>1421.401967</v>
      </c>
      <c r="M156">
        <v>1396.111189</v>
      </c>
      <c r="N156">
        <v>1371.152016</v>
      </c>
      <c r="O156">
        <v>1346.614853</v>
      </c>
      <c r="P156">
        <v>1322.59014</v>
      </c>
      <c r="Q156">
        <v>1299.168298</v>
      </c>
      <c r="R156">
        <v>1276.4397389999999</v>
      </c>
    </row>
    <row r="157" spans="2:21" x14ac:dyDescent="0.25">
      <c r="B157">
        <v>2039</v>
      </c>
      <c r="C157">
        <v>1800.6407589999999</v>
      </c>
      <c r="D157">
        <v>1800.6407589999999</v>
      </c>
      <c r="E157">
        <v>1800.6407589999999</v>
      </c>
      <c r="F157">
        <v>1800.6407589999999</v>
      </c>
      <c r="G157">
        <v>1701.18658</v>
      </c>
      <c r="H157">
        <v>1616.229918</v>
      </c>
      <c r="I157">
        <v>1545.629666</v>
      </c>
      <c r="J157">
        <v>1489.244694</v>
      </c>
      <c r="K157">
        <v>1446.933912</v>
      </c>
      <c r="L157">
        <v>1421.401967</v>
      </c>
      <c r="M157">
        <v>1396.111189</v>
      </c>
      <c r="N157">
        <v>1371.152016</v>
      </c>
      <c r="O157">
        <v>1346.614853</v>
      </c>
      <c r="P157">
        <v>1322.59014</v>
      </c>
      <c r="Q157">
        <v>1299.168298</v>
      </c>
      <c r="R157">
        <v>1276.4397389999999</v>
      </c>
      <c r="S157">
        <v>1254.494893</v>
      </c>
    </row>
    <row r="158" spans="2:21" x14ac:dyDescent="0.25">
      <c r="B158">
        <v>2040</v>
      </c>
      <c r="C158">
        <v>1800.6407589999999</v>
      </c>
      <c r="D158">
        <v>1800.6407589999999</v>
      </c>
      <c r="E158">
        <v>1800.6407589999999</v>
      </c>
      <c r="F158">
        <v>1800.6407589999999</v>
      </c>
      <c r="G158">
        <v>1701.18658</v>
      </c>
      <c r="H158">
        <v>1616.229918</v>
      </c>
      <c r="I158">
        <v>1545.629666</v>
      </c>
      <c r="J158">
        <v>1489.244694</v>
      </c>
      <c r="K158">
        <v>1446.933912</v>
      </c>
      <c r="L158">
        <v>1421.401967</v>
      </c>
      <c r="M158">
        <v>1396.111189</v>
      </c>
      <c r="N158">
        <v>1371.152016</v>
      </c>
      <c r="O158">
        <v>1346.614853</v>
      </c>
      <c r="P158">
        <v>1322.59014</v>
      </c>
      <c r="Q158">
        <v>1299.168298</v>
      </c>
      <c r="R158">
        <v>1276.4397389999999</v>
      </c>
      <c r="S158">
        <v>1254.494893</v>
      </c>
      <c r="T158">
        <v>1233.424184</v>
      </c>
    </row>
    <row r="159" spans="2:21" x14ac:dyDescent="0.25">
      <c r="B159">
        <v>2041</v>
      </c>
      <c r="C159">
        <v>1800.6407589999999</v>
      </c>
      <c r="D159">
        <v>1800.6407589999999</v>
      </c>
      <c r="E159">
        <v>1800.6407589999999</v>
      </c>
      <c r="F159">
        <v>1800.6407589999999</v>
      </c>
      <c r="G159">
        <v>1701.18658</v>
      </c>
      <c r="H159">
        <v>1616.229918</v>
      </c>
      <c r="I159">
        <v>1545.629666</v>
      </c>
      <c r="J159">
        <v>1489.244694</v>
      </c>
      <c r="K159">
        <v>1446.933912</v>
      </c>
      <c r="L159">
        <v>1421.401967</v>
      </c>
      <c r="M159">
        <v>1396.111189</v>
      </c>
      <c r="N159">
        <v>1371.152016</v>
      </c>
      <c r="O159">
        <v>1346.614853</v>
      </c>
      <c r="P159">
        <v>1322.59014</v>
      </c>
      <c r="Q159">
        <v>1299.168298</v>
      </c>
      <c r="R159">
        <v>1276.4397389999999</v>
      </c>
      <c r="S159">
        <v>1254.494893</v>
      </c>
      <c r="T159">
        <v>1233.424184</v>
      </c>
      <c r="U159">
        <v>1213.318037</v>
      </c>
    </row>
    <row r="160" spans="2:21" x14ac:dyDescent="0.25">
      <c r="B160" t="s">
        <v>117</v>
      </c>
      <c r="C160">
        <v>1900.1303220000004</v>
      </c>
      <c r="D160">
        <v>1900.1303220000004</v>
      </c>
      <c r="E160">
        <v>1900.1303220000007</v>
      </c>
      <c r="F160">
        <v>1900.1303220000007</v>
      </c>
      <c r="G160">
        <v>1900.1303220000007</v>
      </c>
      <c r="H160">
        <v>1900.1303220000007</v>
      </c>
      <c r="I160">
        <v>1900.1303220000007</v>
      </c>
      <c r="J160">
        <v>1900.1303220000007</v>
      </c>
      <c r="K160">
        <v>1900.1303220000007</v>
      </c>
      <c r="L160">
        <v>1900.1303220000004</v>
      </c>
      <c r="M160">
        <v>1900.1303220000004</v>
      </c>
      <c r="N160">
        <v>1900.1303220000004</v>
      </c>
      <c r="O160">
        <v>1900.1303220000004</v>
      </c>
      <c r="P160">
        <v>1900.1303220000002</v>
      </c>
      <c r="Q160">
        <v>1900.1303220000002</v>
      </c>
      <c r="R160">
        <v>1900.130322</v>
      </c>
      <c r="S160">
        <v>1900.130322</v>
      </c>
      <c r="T160">
        <v>1900.130322</v>
      </c>
      <c r="U160">
        <v>1900.130322</v>
      </c>
    </row>
    <row r="161" spans="2:19" x14ac:dyDescent="0.25">
      <c r="B161">
        <v>2024</v>
      </c>
      <c r="C161">
        <v>1900.130322</v>
      </c>
      <c r="D161">
        <v>1900.130322</v>
      </c>
    </row>
    <row r="162" spans="2:19" x14ac:dyDescent="0.25">
      <c r="B162">
        <v>2025</v>
      </c>
      <c r="C162">
        <v>1900.130322</v>
      </c>
      <c r="D162">
        <v>1900.130322</v>
      </c>
      <c r="E162">
        <v>1900.130322</v>
      </c>
    </row>
    <row r="163" spans="2:19" x14ac:dyDescent="0.25">
      <c r="B163">
        <v>2026</v>
      </c>
      <c r="C163">
        <v>1900.130322</v>
      </c>
      <c r="D163">
        <v>1900.130322</v>
      </c>
      <c r="E163">
        <v>1900.130322</v>
      </c>
      <c r="F163">
        <v>1900.130322</v>
      </c>
    </row>
    <row r="164" spans="2:19" x14ac:dyDescent="0.25">
      <c r="B164">
        <v>2027</v>
      </c>
      <c r="C164">
        <v>1900.130322</v>
      </c>
      <c r="D164">
        <v>1900.130322</v>
      </c>
      <c r="E164">
        <v>1900.130322</v>
      </c>
      <c r="F164">
        <v>1900.130322</v>
      </c>
      <c r="G164">
        <v>1900.130322</v>
      </c>
    </row>
    <row r="165" spans="2:19" x14ac:dyDescent="0.25">
      <c r="B165">
        <v>2028</v>
      </c>
      <c r="C165">
        <v>1900.130322</v>
      </c>
      <c r="D165">
        <v>1900.130322</v>
      </c>
      <c r="E165">
        <v>1900.130322</v>
      </c>
      <c r="F165">
        <v>1900.130322</v>
      </c>
      <c r="G165">
        <v>1900.130322</v>
      </c>
      <c r="H165">
        <v>1900.130322</v>
      </c>
    </row>
    <row r="166" spans="2:19" x14ac:dyDescent="0.25">
      <c r="B166">
        <v>2029</v>
      </c>
      <c r="C166">
        <v>1900.130322</v>
      </c>
      <c r="D166">
        <v>1900.130322</v>
      </c>
      <c r="E166">
        <v>1900.130322</v>
      </c>
      <c r="F166">
        <v>1900.130322</v>
      </c>
      <c r="G166">
        <v>1900.130322</v>
      </c>
      <c r="H166">
        <v>1900.130322</v>
      </c>
      <c r="I166">
        <v>1900.130322</v>
      </c>
    </row>
    <row r="167" spans="2:19" x14ac:dyDescent="0.25">
      <c r="B167">
        <v>2030</v>
      </c>
      <c r="C167">
        <v>1900.130322</v>
      </c>
      <c r="D167">
        <v>1900.130322</v>
      </c>
      <c r="E167">
        <v>1900.130322</v>
      </c>
      <c r="F167">
        <v>1900.130322</v>
      </c>
      <c r="G167">
        <v>1900.130322</v>
      </c>
      <c r="H167">
        <v>1900.130322</v>
      </c>
      <c r="I167">
        <v>1900.130322</v>
      </c>
      <c r="J167">
        <v>1900.130322</v>
      </c>
    </row>
    <row r="168" spans="2:19" x14ac:dyDescent="0.25">
      <c r="B168">
        <v>2031</v>
      </c>
      <c r="C168">
        <v>1900.130322</v>
      </c>
      <c r="D168">
        <v>1900.130322</v>
      </c>
      <c r="E168">
        <v>1900.130322</v>
      </c>
      <c r="F168">
        <v>1900.130322</v>
      </c>
      <c r="G168">
        <v>1900.130322</v>
      </c>
      <c r="H168">
        <v>1900.130322</v>
      </c>
      <c r="I168">
        <v>1900.130322</v>
      </c>
      <c r="J168">
        <v>1900.130322</v>
      </c>
      <c r="K168">
        <v>1900.130322</v>
      </c>
    </row>
    <row r="169" spans="2:19" x14ac:dyDescent="0.25">
      <c r="B169">
        <v>2032</v>
      </c>
      <c r="C169">
        <v>1900.130322</v>
      </c>
      <c r="D169">
        <v>1900.130322</v>
      </c>
      <c r="E169">
        <v>1900.130322</v>
      </c>
      <c r="F169">
        <v>1900.130322</v>
      </c>
      <c r="G169">
        <v>1900.130322</v>
      </c>
      <c r="H169">
        <v>1900.130322</v>
      </c>
      <c r="I169">
        <v>1900.130322</v>
      </c>
      <c r="J169">
        <v>1900.130322</v>
      </c>
      <c r="K169">
        <v>1900.130322</v>
      </c>
      <c r="L169">
        <v>1900.130322</v>
      </c>
    </row>
    <row r="170" spans="2:19" x14ac:dyDescent="0.25">
      <c r="B170">
        <v>2033</v>
      </c>
      <c r="C170">
        <v>1900.130322</v>
      </c>
      <c r="D170">
        <v>1900.130322</v>
      </c>
      <c r="E170">
        <v>1900.130322</v>
      </c>
      <c r="F170">
        <v>1900.130322</v>
      </c>
      <c r="G170">
        <v>1900.130322</v>
      </c>
      <c r="H170">
        <v>1900.130322</v>
      </c>
      <c r="I170">
        <v>1900.130322</v>
      </c>
      <c r="J170">
        <v>1900.130322</v>
      </c>
      <c r="K170">
        <v>1900.130322</v>
      </c>
      <c r="L170">
        <v>1900.130322</v>
      </c>
      <c r="M170">
        <v>1900.130322</v>
      </c>
    </row>
    <row r="171" spans="2:19" x14ac:dyDescent="0.25">
      <c r="B171">
        <v>2034</v>
      </c>
      <c r="C171">
        <v>1900.130322</v>
      </c>
      <c r="D171">
        <v>1900.130322</v>
      </c>
      <c r="E171">
        <v>1900.130322</v>
      </c>
      <c r="F171">
        <v>1900.130322</v>
      </c>
      <c r="G171">
        <v>1900.130322</v>
      </c>
      <c r="H171">
        <v>1900.130322</v>
      </c>
      <c r="I171">
        <v>1900.130322</v>
      </c>
      <c r="J171">
        <v>1900.130322</v>
      </c>
      <c r="K171">
        <v>1900.130322</v>
      </c>
      <c r="L171">
        <v>1900.130322</v>
      </c>
      <c r="M171">
        <v>1900.130322</v>
      </c>
      <c r="N171">
        <v>1900.130322</v>
      </c>
    </row>
    <row r="172" spans="2:19" x14ac:dyDescent="0.25">
      <c r="B172">
        <v>2035</v>
      </c>
      <c r="C172">
        <v>1900.130322</v>
      </c>
      <c r="D172">
        <v>1900.130322</v>
      </c>
      <c r="E172">
        <v>1900.130322</v>
      </c>
      <c r="F172">
        <v>1900.130322</v>
      </c>
      <c r="G172">
        <v>1900.130322</v>
      </c>
      <c r="H172">
        <v>1900.130322</v>
      </c>
      <c r="I172">
        <v>1900.130322</v>
      </c>
      <c r="J172">
        <v>1900.130322</v>
      </c>
      <c r="K172">
        <v>1900.130322</v>
      </c>
      <c r="L172">
        <v>1900.130322</v>
      </c>
      <c r="M172">
        <v>1900.130322</v>
      </c>
      <c r="N172">
        <v>1900.130322</v>
      </c>
      <c r="O172">
        <v>1900.130322</v>
      </c>
    </row>
    <row r="173" spans="2:19" x14ac:dyDescent="0.25">
      <c r="B173">
        <v>2036</v>
      </c>
      <c r="C173">
        <v>1900.130322</v>
      </c>
      <c r="D173">
        <v>1900.130322</v>
      </c>
      <c r="E173">
        <v>1900.130322</v>
      </c>
      <c r="F173">
        <v>1900.130322</v>
      </c>
      <c r="G173">
        <v>1900.130322</v>
      </c>
      <c r="H173">
        <v>1900.130322</v>
      </c>
      <c r="I173">
        <v>1900.130322</v>
      </c>
      <c r="J173">
        <v>1900.130322</v>
      </c>
      <c r="K173">
        <v>1900.130322</v>
      </c>
      <c r="L173">
        <v>1900.130322</v>
      </c>
      <c r="M173">
        <v>1900.130322</v>
      </c>
      <c r="N173">
        <v>1900.130322</v>
      </c>
      <c r="O173">
        <v>1900.130322</v>
      </c>
      <c r="P173">
        <v>1900.130322</v>
      </c>
    </row>
    <row r="174" spans="2:19" x14ac:dyDescent="0.25">
      <c r="B174">
        <v>2037</v>
      </c>
      <c r="C174">
        <v>1900.130322</v>
      </c>
      <c r="D174">
        <v>1900.130322</v>
      </c>
      <c r="E174">
        <v>1900.130322</v>
      </c>
      <c r="F174">
        <v>1900.130322</v>
      </c>
      <c r="G174">
        <v>1900.130322</v>
      </c>
      <c r="H174">
        <v>1900.130322</v>
      </c>
      <c r="I174">
        <v>1900.130322</v>
      </c>
      <c r="J174">
        <v>1900.130322</v>
      </c>
      <c r="K174">
        <v>1900.130322</v>
      </c>
      <c r="L174">
        <v>1900.130322</v>
      </c>
      <c r="M174">
        <v>1900.130322</v>
      </c>
      <c r="N174">
        <v>1900.130322</v>
      </c>
      <c r="O174">
        <v>1900.130322</v>
      </c>
      <c r="P174">
        <v>1900.130322</v>
      </c>
      <c r="Q174">
        <v>1900.130322</v>
      </c>
    </row>
    <row r="175" spans="2:19" x14ac:dyDescent="0.25">
      <c r="B175">
        <v>2038</v>
      </c>
      <c r="C175">
        <v>1900.130322</v>
      </c>
      <c r="D175">
        <v>1900.130322</v>
      </c>
      <c r="E175">
        <v>1900.130322</v>
      </c>
      <c r="F175">
        <v>1900.130322</v>
      </c>
      <c r="G175">
        <v>1900.130322</v>
      </c>
      <c r="H175">
        <v>1900.130322</v>
      </c>
      <c r="I175">
        <v>1900.130322</v>
      </c>
      <c r="J175">
        <v>1900.130322</v>
      </c>
      <c r="K175">
        <v>1900.130322</v>
      </c>
      <c r="L175">
        <v>1900.130322</v>
      </c>
      <c r="M175">
        <v>1900.130322</v>
      </c>
      <c r="N175">
        <v>1900.130322</v>
      </c>
      <c r="O175">
        <v>1900.130322</v>
      </c>
      <c r="P175">
        <v>1900.130322</v>
      </c>
      <c r="Q175">
        <v>1900.130322</v>
      </c>
      <c r="R175">
        <v>1900.130322</v>
      </c>
    </row>
    <row r="176" spans="2:19" x14ac:dyDescent="0.25">
      <c r="B176">
        <v>2039</v>
      </c>
      <c r="C176">
        <v>1900.130322</v>
      </c>
      <c r="D176">
        <v>1900.130322</v>
      </c>
      <c r="E176">
        <v>1900.130322</v>
      </c>
      <c r="F176">
        <v>1900.130322</v>
      </c>
      <c r="G176">
        <v>1900.130322</v>
      </c>
      <c r="H176">
        <v>1900.130322</v>
      </c>
      <c r="I176">
        <v>1900.130322</v>
      </c>
      <c r="J176">
        <v>1900.130322</v>
      </c>
      <c r="K176">
        <v>1900.130322</v>
      </c>
      <c r="L176">
        <v>1900.130322</v>
      </c>
      <c r="M176">
        <v>1900.130322</v>
      </c>
      <c r="N176">
        <v>1900.130322</v>
      </c>
      <c r="O176">
        <v>1900.130322</v>
      </c>
      <c r="P176">
        <v>1900.130322</v>
      </c>
      <c r="Q176">
        <v>1900.130322</v>
      </c>
      <c r="R176">
        <v>1900.130322</v>
      </c>
      <c r="S176">
        <v>1900.130322</v>
      </c>
    </row>
    <row r="177" spans="1:41" x14ac:dyDescent="0.25">
      <c r="B177">
        <v>2040</v>
      </c>
      <c r="C177">
        <v>1900.130322</v>
      </c>
      <c r="D177">
        <v>1900.130322</v>
      </c>
      <c r="E177">
        <v>1900.130322</v>
      </c>
      <c r="F177">
        <v>1900.130322</v>
      </c>
      <c r="G177">
        <v>1900.130322</v>
      </c>
      <c r="H177">
        <v>1900.130322</v>
      </c>
      <c r="I177">
        <v>1900.130322</v>
      </c>
      <c r="J177">
        <v>1900.130322</v>
      </c>
      <c r="K177">
        <v>1900.130322</v>
      </c>
      <c r="L177">
        <v>1900.130322</v>
      </c>
      <c r="M177">
        <v>1900.130322</v>
      </c>
      <c r="N177">
        <v>1900.130322</v>
      </c>
      <c r="O177">
        <v>1900.130322</v>
      </c>
      <c r="P177">
        <v>1900.130322</v>
      </c>
      <c r="Q177">
        <v>1900.130322</v>
      </c>
      <c r="R177">
        <v>1900.130322</v>
      </c>
      <c r="S177">
        <v>1900.130322</v>
      </c>
      <c r="T177">
        <v>1900.130322</v>
      </c>
    </row>
    <row r="178" spans="1:41" x14ac:dyDescent="0.25">
      <c r="B178">
        <v>2041</v>
      </c>
      <c r="C178">
        <v>1900.130322</v>
      </c>
      <c r="D178">
        <v>1900.130322</v>
      </c>
      <c r="E178">
        <v>1900.130322</v>
      </c>
      <c r="F178">
        <v>1900.130322</v>
      </c>
      <c r="G178">
        <v>1900.130322</v>
      </c>
      <c r="H178">
        <v>1900.130322</v>
      </c>
      <c r="I178">
        <v>1900.130322</v>
      </c>
      <c r="J178">
        <v>1900.130322</v>
      </c>
      <c r="K178">
        <v>1900.130322</v>
      </c>
      <c r="L178">
        <v>1900.130322</v>
      </c>
      <c r="M178">
        <v>1900.130322</v>
      </c>
      <c r="N178">
        <v>1900.130322</v>
      </c>
      <c r="O178">
        <v>1900.130322</v>
      </c>
      <c r="P178">
        <v>1900.130322</v>
      </c>
      <c r="Q178">
        <v>1900.130322</v>
      </c>
      <c r="R178">
        <v>1900.130322</v>
      </c>
      <c r="S178">
        <v>1900.130322</v>
      </c>
      <c r="T178">
        <v>1900.130322</v>
      </c>
      <c r="U178">
        <v>1900.130322</v>
      </c>
    </row>
    <row r="180" spans="1:41" x14ac:dyDescent="0.25">
      <c r="B180" t="s">
        <v>428</v>
      </c>
    </row>
    <row r="181" spans="1:41" x14ac:dyDescent="0.25">
      <c r="B181" s="106" t="s">
        <v>426</v>
      </c>
      <c r="C181" t="s">
        <v>226</v>
      </c>
      <c r="V181" s="106" t="s">
        <v>427</v>
      </c>
      <c r="W181" t="s">
        <v>226</v>
      </c>
    </row>
    <row r="182" spans="1:41" x14ac:dyDescent="0.25">
      <c r="B182" t="s">
        <v>73</v>
      </c>
      <c r="C182">
        <v>2024</v>
      </c>
      <c r="D182">
        <v>2025</v>
      </c>
      <c r="E182">
        <v>2026</v>
      </c>
      <c r="F182">
        <v>2027</v>
      </c>
      <c r="G182">
        <v>2028</v>
      </c>
      <c r="H182">
        <v>2029</v>
      </c>
      <c r="I182">
        <v>2030</v>
      </c>
      <c r="J182">
        <v>2031</v>
      </c>
      <c r="K182">
        <v>2032</v>
      </c>
      <c r="L182">
        <v>2033</v>
      </c>
      <c r="M182">
        <v>2034</v>
      </c>
      <c r="N182">
        <v>2035</v>
      </c>
      <c r="O182">
        <v>2036</v>
      </c>
      <c r="P182">
        <v>2037</v>
      </c>
      <c r="Q182">
        <v>2038</v>
      </c>
      <c r="R182">
        <v>2039</v>
      </c>
      <c r="S182">
        <v>2040</v>
      </c>
      <c r="T182">
        <v>2041</v>
      </c>
      <c r="U182" t="s">
        <v>228</v>
      </c>
      <c r="V182" t="s">
        <v>73</v>
      </c>
      <c r="W182">
        <v>2024</v>
      </c>
      <c r="X182">
        <v>2025</v>
      </c>
      <c r="Y182">
        <v>2026</v>
      </c>
      <c r="Z182">
        <v>2027</v>
      </c>
      <c r="AA182">
        <v>2028</v>
      </c>
      <c r="AB182">
        <v>2029</v>
      </c>
      <c r="AC182">
        <v>2030</v>
      </c>
      <c r="AD182">
        <v>2031</v>
      </c>
      <c r="AE182">
        <v>2032</v>
      </c>
      <c r="AF182">
        <v>2033</v>
      </c>
      <c r="AG182">
        <v>2034</v>
      </c>
      <c r="AH182">
        <v>2035</v>
      </c>
      <c r="AI182">
        <v>2036</v>
      </c>
      <c r="AJ182">
        <v>2037</v>
      </c>
      <c r="AK182">
        <v>2038</v>
      </c>
      <c r="AL182">
        <v>2039</v>
      </c>
      <c r="AM182">
        <v>2040</v>
      </c>
      <c r="AN182">
        <v>2041</v>
      </c>
      <c r="AO182" t="s">
        <v>228</v>
      </c>
    </row>
    <row r="183" spans="1:41" x14ac:dyDescent="0.25">
      <c r="A183" t="s">
        <v>12</v>
      </c>
      <c r="B183" t="s">
        <v>112</v>
      </c>
      <c r="C183">
        <v>0</v>
      </c>
      <c r="D183">
        <v>0</v>
      </c>
      <c r="E183">
        <v>1.04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2.04</v>
      </c>
      <c r="V183" t="s">
        <v>112</v>
      </c>
      <c r="W183">
        <v>8.9882383999999996E-2</v>
      </c>
      <c r="X183">
        <v>0.17262528699999999</v>
      </c>
      <c r="Y183">
        <v>1.2292013740000001</v>
      </c>
      <c r="Z183">
        <v>1.3672562240000001</v>
      </c>
      <c r="AA183">
        <v>1.2229083009999999</v>
      </c>
      <c r="AB183">
        <v>2.348679298</v>
      </c>
      <c r="AC183">
        <v>4.5107997400000004</v>
      </c>
      <c r="AD183">
        <v>8.6633003960000003</v>
      </c>
      <c r="AE183">
        <v>8.9882384389999999</v>
      </c>
      <c r="AF183">
        <v>8.9882384389999999</v>
      </c>
      <c r="AG183">
        <v>8.9882384389999999</v>
      </c>
      <c r="AH183">
        <v>8.9882384389999999</v>
      </c>
      <c r="AI183">
        <v>8.9882384389999999</v>
      </c>
      <c r="AJ183">
        <v>8.9882384389999999</v>
      </c>
      <c r="AK183">
        <v>8.9882384389999999</v>
      </c>
      <c r="AL183">
        <v>8.9882384389999999</v>
      </c>
      <c r="AM183">
        <v>8.9882384389999999</v>
      </c>
      <c r="AN183">
        <v>8.9882384389999999</v>
      </c>
      <c r="AO183">
        <v>109.487037394</v>
      </c>
    </row>
    <row r="184" spans="1:41" x14ac:dyDescent="0.25">
      <c r="A184" t="s">
        <v>12</v>
      </c>
      <c r="B184" t="s">
        <v>115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 t="s">
        <v>115</v>
      </c>
      <c r="W184">
        <v>0.17976477000000002</v>
      </c>
      <c r="X184">
        <v>0.34525057199999992</v>
      </c>
      <c r="Y184">
        <v>0.663077413</v>
      </c>
      <c r="Z184">
        <v>1.273485666</v>
      </c>
      <c r="AA184">
        <v>2.4458166000000001</v>
      </c>
      <c r="AB184">
        <v>4.6973585949999999</v>
      </c>
      <c r="AC184">
        <v>9.0215994780000006</v>
      </c>
      <c r="AD184">
        <v>17.326600793000001</v>
      </c>
      <c r="AE184">
        <v>17.976476877</v>
      </c>
      <c r="AF184">
        <v>17.976476877</v>
      </c>
      <c r="AG184">
        <v>17.976476877</v>
      </c>
      <c r="AH184">
        <v>17.976476877</v>
      </c>
      <c r="AI184">
        <v>17.976476877</v>
      </c>
      <c r="AJ184">
        <v>17.976476877</v>
      </c>
      <c r="AK184">
        <v>17.976476877</v>
      </c>
      <c r="AL184">
        <v>17.976476877</v>
      </c>
      <c r="AM184">
        <v>17.976476877</v>
      </c>
      <c r="AN184">
        <v>17.976476877</v>
      </c>
      <c r="AO184">
        <v>215.71772265700002</v>
      </c>
    </row>
    <row r="185" spans="1:41" x14ac:dyDescent="0.25">
      <c r="A185" t="s">
        <v>12</v>
      </c>
      <c r="B185" t="s">
        <v>116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116</v>
      </c>
      <c r="W185">
        <v>0.26964715299999997</v>
      </c>
      <c r="X185">
        <v>0.51787585899999999</v>
      </c>
      <c r="Y185">
        <v>0.99461611900000013</v>
      </c>
      <c r="Z185">
        <v>1.9102285009999997</v>
      </c>
      <c r="AA185">
        <v>3.6687249</v>
      </c>
      <c r="AB185">
        <v>7.0460378920000002</v>
      </c>
      <c r="AC185">
        <v>13.532399217999998</v>
      </c>
      <c r="AD185">
        <v>25.989901185000001</v>
      </c>
      <c r="AE185">
        <v>26.964715311999999</v>
      </c>
      <c r="AF185">
        <v>26.964715311999999</v>
      </c>
      <c r="AG185">
        <v>26.964715311999999</v>
      </c>
      <c r="AH185">
        <v>26.964715311999999</v>
      </c>
      <c r="AI185">
        <v>26.964715311999999</v>
      </c>
      <c r="AJ185">
        <v>26.964715311999999</v>
      </c>
      <c r="AK185">
        <v>26.964715311999999</v>
      </c>
      <c r="AL185">
        <v>26.964715311999999</v>
      </c>
      <c r="AM185">
        <v>26.964715311999999</v>
      </c>
      <c r="AN185">
        <v>26.964715311999999</v>
      </c>
      <c r="AO185">
        <v>323.57658394700007</v>
      </c>
    </row>
    <row r="186" spans="1:41" x14ac:dyDescent="0.25">
      <c r="A186" t="s">
        <v>12</v>
      </c>
      <c r="B186" t="s">
        <v>117</v>
      </c>
      <c r="C186">
        <v>0</v>
      </c>
      <c r="D186">
        <v>0</v>
      </c>
      <c r="E186">
        <v>4.5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4.5</v>
      </c>
      <c r="V186" t="s">
        <v>117</v>
      </c>
      <c r="W186">
        <v>0</v>
      </c>
      <c r="X186">
        <v>0</v>
      </c>
      <c r="Y186">
        <v>4.5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4.5</v>
      </c>
    </row>
    <row r="187" spans="1:41" x14ac:dyDescent="0.25">
      <c r="A187" t="s">
        <v>9</v>
      </c>
      <c r="B187" t="s">
        <v>112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 t="s">
        <v>112</v>
      </c>
      <c r="W187">
        <v>1.5332799000000001E-2</v>
      </c>
      <c r="X187">
        <v>2.9447692000000001E-2</v>
      </c>
      <c r="Y187">
        <v>5.6556312999999997E-2</v>
      </c>
      <c r="Z187">
        <v>0.10862028</v>
      </c>
      <c r="AA187">
        <v>0.20861269999999998</v>
      </c>
      <c r="AB187">
        <v>0.40065500200000004</v>
      </c>
      <c r="AC187">
        <v>0.76948542200000003</v>
      </c>
      <c r="AD187">
        <v>1.4778495489999999</v>
      </c>
      <c r="AE187">
        <v>1.533279872</v>
      </c>
      <c r="AF187">
        <v>1.533279872</v>
      </c>
      <c r="AG187">
        <v>1.533279872</v>
      </c>
      <c r="AH187">
        <v>1.533279872</v>
      </c>
      <c r="AI187">
        <v>1.533279872</v>
      </c>
      <c r="AJ187">
        <v>1.533279872</v>
      </c>
      <c r="AK187">
        <v>1.533279872</v>
      </c>
      <c r="AL187">
        <v>1.533279872</v>
      </c>
      <c r="AM187">
        <v>1.533279872</v>
      </c>
      <c r="AN187">
        <v>1.533279872</v>
      </c>
      <c r="AO187">
        <v>18.399358477</v>
      </c>
    </row>
    <row r="188" spans="1:41" x14ac:dyDescent="0.25">
      <c r="A188" t="s">
        <v>9</v>
      </c>
      <c r="B188" t="s">
        <v>115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 t="s">
        <v>115</v>
      </c>
      <c r="W188">
        <v>3.0665598000000002E-2</v>
      </c>
      <c r="X188">
        <v>5.8895384000000002E-2</v>
      </c>
      <c r="Y188">
        <v>0.11311262599999999</v>
      </c>
      <c r="Z188">
        <v>0.217240558</v>
      </c>
      <c r="AA188">
        <v>0.41722539800000003</v>
      </c>
      <c r="AB188">
        <v>0.80131000400000008</v>
      </c>
      <c r="AC188">
        <v>1.538970843</v>
      </c>
      <c r="AD188">
        <v>2.9556990970000001</v>
      </c>
      <c r="AE188">
        <v>3.066559743</v>
      </c>
      <c r="AF188">
        <v>3.066559743</v>
      </c>
      <c r="AG188">
        <v>3.066559743</v>
      </c>
      <c r="AH188">
        <v>3.066559743</v>
      </c>
      <c r="AI188">
        <v>3.066559743</v>
      </c>
      <c r="AJ188">
        <v>3.066559743</v>
      </c>
      <c r="AK188">
        <v>3.066559743</v>
      </c>
      <c r="AL188">
        <v>3.066559743</v>
      </c>
      <c r="AM188">
        <v>3.066559743</v>
      </c>
      <c r="AN188">
        <v>3.066559743</v>
      </c>
      <c r="AO188">
        <v>36.798716937999991</v>
      </c>
    </row>
    <row r="189" spans="1:41" x14ac:dyDescent="0.25">
      <c r="A189" t="s">
        <v>9</v>
      </c>
      <c r="B189" t="s">
        <v>116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 t="s">
        <v>116</v>
      </c>
      <c r="W189">
        <v>4.5998395999999997E-2</v>
      </c>
      <c r="X189">
        <v>8.8343075999999993E-2</v>
      </c>
      <c r="Y189">
        <v>0.16966893799999999</v>
      </c>
      <c r="Z189">
        <v>0.32586083799999999</v>
      </c>
      <c r="AA189">
        <v>0.62583809800000001</v>
      </c>
      <c r="AB189">
        <v>1.2019650070000001</v>
      </c>
      <c r="AC189">
        <v>2.3084562649999998</v>
      </c>
      <c r="AD189">
        <v>4.4335486460000002</v>
      </c>
      <c r="AE189">
        <v>4.5998396150000005</v>
      </c>
      <c r="AF189">
        <v>4.5998396150000005</v>
      </c>
      <c r="AG189">
        <v>4.5998396150000005</v>
      </c>
      <c r="AH189">
        <v>4.5998396150000005</v>
      </c>
      <c r="AI189">
        <v>4.5998396150000005</v>
      </c>
      <c r="AJ189">
        <v>4.5998396150000005</v>
      </c>
      <c r="AK189">
        <v>4.5998396150000005</v>
      </c>
      <c r="AL189">
        <v>4.5998396150000005</v>
      </c>
      <c r="AM189">
        <v>4.5998396150000005</v>
      </c>
      <c r="AN189">
        <v>4.5998396150000005</v>
      </c>
      <c r="AO189">
        <v>55.198075414000009</v>
      </c>
    </row>
    <row r="190" spans="1:41" x14ac:dyDescent="0.25">
      <c r="A190" t="s">
        <v>9</v>
      </c>
      <c r="B190" t="s">
        <v>117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 t="s">
        <v>117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</row>
    <row r="191" spans="1:41" x14ac:dyDescent="0.25">
      <c r="A191" t="s">
        <v>10</v>
      </c>
      <c r="B191" t="s">
        <v>112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 t="s">
        <v>112</v>
      </c>
      <c r="W191">
        <v>1.7738573000000001E-2</v>
      </c>
      <c r="X191">
        <v>3.4068146000000001E-2</v>
      </c>
      <c r="Y191">
        <v>6.5430211000000002E-2</v>
      </c>
      <c r="Z191">
        <v>0.12566321</v>
      </c>
      <c r="AA191">
        <v>0.24134481800000002</v>
      </c>
      <c r="AB191">
        <v>0.46351928100000001</v>
      </c>
      <c r="AC191">
        <v>0.89022058199999987</v>
      </c>
      <c r="AD191">
        <v>1.7097297080000002</v>
      </c>
      <c r="AE191">
        <v>1.7738572569999997</v>
      </c>
      <c r="AF191">
        <v>1.7738572569999997</v>
      </c>
      <c r="AG191">
        <v>1.7738572569999997</v>
      </c>
      <c r="AH191">
        <v>1.7738572569999997</v>
      </c>
      <c r="AI191">
        <v>1.7738572569999997</v>
      </c>
      <c r="AJ191">
        <v>1.7738572569999997</v>
      </c>
      <c r="AK191">
        <v>1.7738572569999997</v>
      </c>
      <c r="AL191">
        <v>1.7738572569999997</v>
      </c>
      <c r="AM191">
        <v>1.7738572569999997</v>
      </c>
      <c r="AN191">
        <v>1.7738572569999997</v>
      </c>
      <c r="AO191">
        <v>21.286287098999995</v>
      </c>
    </row>
    <row r="192" spans="1:41" x14ac:dyDescent="0.25">
      <c r="A192" t="s">
        <v>10</v>
      </c>
      <c r="B192" t="s">
        <v>115</v>
      </c>
      <c r="C192">
        <v>0</v>
      </c>
      <c r="D192">
        <v>0</v>
      </c>
      <c r="E192">
        <v>0</v>
      </c>
      <c r="F192">
        <v>0.5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0.5</v>
      </c>
      <c r="V192" t="s">
        <v>115</v>
      </c>
      <c r="W192">
        <v>3.5477145000000002E-2</v>
      </c>
      <c r="X192">
        <v>6.8136290999999988E-2</v>
      </c>
      <c r="Y192">
        <v>0.130860423</v>
      </c>
      <c r="Z192">
        <v>0.7089084590000001</v>
      </c>
      <c r="AA192">
        <v>0.48268963500000001</v>
      </c>
      <c r="AB192">
        <v>0.92703856099999993</v>
      </c>
      <c r="AC192">
        <v>1.7804411639999997</v>
      </c>
      <c r="AD192">
        <v>3.4194594160000005</v>
      </c>
      <c r="AE192">
        <v>3.5477145139999995</v>
      </c>
      <c r="AF192">
        <v>3.5477145139999995</v>
      </c>
      <c r="AG192">
        <v>3.5477145139999995</v>
      </c>
      <c r="AH192">
        <v>3.5477145139999995</v>
      </c>
      <c r="AI192">
        <v>3.5477145139999995</v>
      </c>
      <c r="AJ192">
        <v>3.5477145139999995</v>
      </c>
      <c r="AK192">
        <v>3.5477145139999995</v>
      </c>
      <c r="AL192">
        <v>3.5477145139999995</v>
      </c>
      <c r="AM192">
        <v>3.5477145139999995</v>
      </c>
      <c r="AN192">
        <v>3.5477145139999995</v>
      </c>
      <c r="AO192">
        <v>43.030156233999996</v>
      </c>
    </row>
    <row r="193" spans="1:41" x14ac:dyDescent="0.25">
      <c r="A193" t="s">
        <v>10</v>
      </c>
      <c r="B193" t="s">
        <v>116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 t="s">
        <v>116</v>
      </c>
      <c r="W193">
        <v>5.3215719000000002E-2</v>
      </c>
      <c r="X193">
        <v>0.102204437</v>
      </c>
      <c r="Y193">
        <v>0.19629063399999999</v>
      </c>
      <c r="Z193">
        <v>0.37698963099999999</v>
      </c>
      <c r="AA193">
        <v>0.72403445200000005</v>
      </c>
      <c r="AB193">
        <v>1.3905578429999998</v>
      </c>
      <c r="AC193">
        <v>2.6706617460000004</v>
      </c>
      <c r="AD193">
        <v>5.1291891230000006</v>
      </c>
      <c r="AE193">
        <v>5.3215717720000004</v>
      </c>
      <c r="AF193">
        <v>5.3215717720000004</v>
      </c>
      <c r="AG193">
        <v>5.3215717720000004</v>
      </c>
      <c r="AH193">
        <v>5.3215717720000004</v>
      </c>
      <c r="AI193">
        <v>5.3215717720000004</v>
      </c>
      <c r="AJ193">
        <v>5.3215717720000004</v>
      </c>
      <c r="AK193">
        <v>5.3215717720000004</v>
      </c>
      <c r="AL193">
        <v>5.3215717720000004</v>
      </c>
      <c r="AM193">
        <v>5.3215717720000004</v>
      </c>
      <c r="AN193">
        <v>5.3215717720000004</v>
      </c>
      <c r="AO193">
        <v>63.858861304999991</v>
      </c>
    </row>
    <row r="194" spans="1:41" x14ac:dyDescent="0.25">
      <c r="A194" t="s">
        <v>10</v>
      </c>
      <c r="B194" t="s">
        <v>117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 t="s">
        <v>117</v>
      </c>
      <c r="W194">
        <v>0</v>
      </c>
      <c r="X194">
        <v>0</v>
      </c>
      <c r="Y194">
        <v>0</v>
      </c>
      <c r="Z194">
        <v>0</v>
      </c>
      <c r="AA194">
        <v>4.4445068470000004</v>
      </c>
      <c r="AB194">
        <v>4.4445068470000004</v>
      </c>
      <c r="AC194">
        <v>4.4445068470000004</v>
      </c>
      <c r="AD194">
        <v>4.4445068470000004</v>
      </c>
      <c r="AE194">
        <v>4.4445068470000004</v>
      </c>
      <c r="AF194">
        <v>4.4445068470000004</v>
      </c>
      <c r="AG194">
        <v>4.4445068470000004</v>
      </c>
      <c r="AH194">
        <v>4.4445068470000004</v>
      </c>
      <c r="AI194">
        <v>4.4445068470000004</v>
      </c>
      <c r="AJ194">
        <v>4.4445068470000004</v>
      </c>
      <c r="AK194">
        <v>4.4445068470000004</v>
      </c>
      <c r="AL194">
        <v>4.4445068470000004</v>
      </c>
      <c r="AM194">
        <v>4.4445068470000004</v>
      </c>
      <c r="AN194">
        <v>4.4445068470000004</v>
      </c>
      <c r="AO194">
        <v>62.223095858000001</v>
      </c>
    </row>
    <row r="195" spans="1:41" x14ac:dyDescent="0.25">
      <c r="A195" t="s">
        <v>11</v>
      </c>
      <c r="B195" t="s">
        <v>112</v>
      </c>
      <c r="C195">
        <v>0</v>
      </c>
      <c r="D195">
        <v>0</v>
      </c>
      <c r="E195">
        <v>2.1</v>
      </c>
      <c r="F195">
        <v>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4.0999999999999996</v>
      </c>
      <c r="V195" t="s">
        <v>112</v>
      </c>
      <c r="W195">
        <v>4.8356055000000002E-2</v>
      </c>
      <c r="X195">
        <v>9.2871121000000001E-2</v>
      </c>
      <c r="Y195">
        <v>2.179677748</v>
      </c>
      <c r="Z195">
        <v>2.2748267289999999</v>
      </c>
      <c r="AA195">
        <v>0.657915574</v>
      </c>
      <c r="AB195">
        <v>1.2635719999999999</v>
      </c>
      <c r="AC195">
        <v>2.4267767220000001</v>
      </c>
      <c r="AD195">
        <v>4.6607912019999995</v>
      </c>
      <c r="AE195">
        <v>4.8356054520000002</v>
      </c>
      <c r="AF195">
        <v>4.8356054520000002</v>
      </c>
      <c r="AG195">
        <v>4.8356054520000002</v>
      </c>
      <c r="AH195">
        <v>4.8356054520000002</v>
      </c>
      <c r="AI195">
        <v>4.8356054520000002</v>
      </c>
      <c r="AJ195">
        <v>4.8356054520000002</v>
      </c>
      <c r="AK195">
        <v>4.8356054520000002</v>
      </c>
      <c r="AL195">
        <v>4.8356054520000002</v>
      </c>
      <c r="AM195">
        <v>4.8356054520000002</v>
      </c>
      <c r="AN195">
        <v>4.8356054520000002</v>
      </c>
      <c r="AO195">
        <v>61.960841671000018</v>
      </c>
    </row>
    <row r="196" spans="1:41" x14ac:dyDescent="0.25">
      <c r="A196" t="s">
        <v>11</v>
      </c>
      <c r="B196" t="s">
        <v>115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 t="s">
        <v>115</v>
      </c>
      <c r="W196">
        <v>9.6712109000000004E-2</v>
      </c>
      <c r="X196">
        <v>0.185742241</v>
      </c>
      <c r="Y196">
        <v>0.35673071899999997</v>
      </c>
      <c r="Z196">
        <v>0.68512582100000008</v>
      </c>
      <c r="AA196">
        <v>1.3158311469999999</v>
      </c>
      <c r="AB196">
        <v>2.5271439999999998</v>
      </c>
      <c r="AC196">
        <v>4.8535534440000001</v>
      </c>
      <c r="AD196">
        <v>9.321582403999999</v>
      </c>
      <c r="AE196">
        <v>9.6712109060000007</v>
      </c>
      <c r="AF196">
        <v>9.6712109060000007</v>
      </c>
      <c r="AG196">
        <v>9.6712109060000007</v>
      </c>
      <c r="AH196">
        <v>9.6712109060000007</v>
      </c>
      <c r="AI196">
        <v>9.6712109060000007</v>
      </c>
      <c r="AJ196">
        <v>9.6712109060000007</v>
      </c>
      <c r="AK196">
        <v>9.6712109060000007</v>
      </c>
      <c r="AL196">
        <v>9.6712109060000007</v>
      </c>
      <c r="AM196">
        <v>9.6712109060000007</v>
      </c>
      <c r="AN196">
        <v>9.6712109060000007</v>
      </c>
      <c r="AO196">
        <v>116.054530945</v>
      </c>
    </row>
    <row r="197" spans="1:41" x14ac:dyDescent="0.25">
      <c r="A197" t="s">
        <v>11</v>
      </c>
      <c r="B197" t="s">
        <v>116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 t="s">
        <v>116</v>
      </c>
      <c r="W197">
        <v>0.14506816400000003</v>
      </c>
      <c r="X197">
        <v>0.278613361</v>
      </c>
      <c r="Y197">
        <v>0.53509607699999995</v>
      </c>
      <c r="Z197">
        <v>1.0276887319999999</v>
      </c>
      <c r="AA197">
        <v>1.9737467199999998</v>
      </c>
      <c r="AB197">
        <v>3.7907159990000001</v>
      </c>
      <c r="AC197">
        <v>7.2803301659999997</v>
      </c>
      <c r="AD197">
        <v>13.982373607</v>
      </c>
      <c r="AE197">
        <v>14.506816358000002</v>
      </c>
      <c r="AF197">
        <v>14.506816358000002</v>
      </c>
      <c r="AG197">
        <v>14.506816358000002</v>
      </c>
      <c r="AH197">
        <v>14.506816358000002</v>
      </c>
      <c r="AI197">
        <v>14.506816358000002</v>
      </c>
      <c r="AJ197">
        <v>14.506816358000002</v>
      </c>
      <c r="AK197">
        <v>14.506816358000002</v>
      </c>
      <c r="AL197">
        <v>14.506816358000002</v>
      </c>
      <c r="AM197">
        <v>14.506816358000002</v>
      </c>
      <c r="AN197">
        <v>14.506816358000002</v>
      </c>
      <c r="AO197">
        <v>174.08179640600005</v>
      </c>
    </row>
    <row r="198" spans="1:41" x14ac:dyDescent="0.25">
      <c r="A198" t="s">
        <v>11</v>
      </c>
      <c r="B198" t="s">
        <v>117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 t="s">
        <v>117</v>
      </c>
      <c r="W198">
        <v>0</v>
      </c>
      <c r="X198">
        <v>0</v>
      </c>
      <c r="Y198">
        <v>0</v>
      </c>
      <c r="Z198">
        <v>0</v>
      </c>
      <c r="AA198">
        <v>9.0865473310000002</v>
      </c>
      <c r="AB198">
        <v>9.0865473310000002</v>
      </c>
      <c r="AC198">
        <v>9.0865473310000002</v>
      </c>
      <c r="AD198">
        <v>9.0865473310000002</v>
      </c>
      <c r="AE198">
        <v>9.0865473310000002</v>
      </c>
      <c r="AF198">
        <v>9.0865473310000002</v>
      </c>
      <c r="AG198">
        <v>9.0865473310000002</v>
      </c>
      <c r="AH198">
        <v>9.0865473310000002</v>
      </c>
      <c r="AI198">
        <v>9.0865473310000002</v>
      </c>
      <c r="AJ198">
        <v>9.0865473310000002</v>
      </c>
      <c r="AK198">
        <v>9.0865473310000002</v>
      </c>
      <c r="AL198">
        <v>9.0865473310000002</v>
      </c>
      <c r="AM198">
        <v>9.0865473310000002</v>
      </c>
      <c r="AN198">
        <v>9.0865473310000002</v>
      </c>
      <c r="AO198">
        <v>127.21166263400004</v>
      </c>
    </row>
    <row r="199" spans="1:41" x14ac:dyDescent="0.25">
      <c r="A199" t="s">
        <v>8</v>
      </c>
      <c r="B199" t="s">
        <v>112</v>
      </c>
      <c r="C199">
        <v>0</v>
      </c>
      <c r="D199">
        <v>0</v>
      </c>
      <c r="E199">
        <v>0</v>
      </c>
      <c r="F199">
        <v>3.5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3.5</v>
      </c>
      <c r="V199" t="s">
        <v>112</v>
      </c>
      <c r="W199">
        <v>2.8690189000000001E-2</v>
      </c>
      <c r="X199">
        <v>5.5101478000000002E-2</v>
      </c>
      <c r="Y199">
        <v>0.10582616900000001</v>
      </c>
      <c r="Z199">
        <v>3.5115702560000002</v>
      </c>
      <c r="AA199">
        <v>0.390348692</v>
      </c>
      <c r="AB199">
        <v>0.74969144700000001</v>
      </c>
      <c r="AC199">
        <v>1.439833863</v>
      </c>
      <c r="AD199">
        <v>2.765299722</v>
      </c>
      <c r="AE199">
        <v>2.8690189790000002</v>
      </c>
      <c r="AF199">
        <v>2.8690189790000002</v>
      </c>
      <c r="AG199">
        <v>2.8690189790000002</v>
      </c>
      <c r="AH199">
        <v>2.8690189790000002</v>
      </c>
      <c r="AI199">
        <v>2.8690189790000002</v>
      </c>
      <c r="AJ199">
        <v>2.8690189790000002</v>
      </c>
      <c r="AK199">
        <v>2.8690189790000002</v>
      </c>
      <c r="AL199">
        <v>2.8690189790000002</v>
      </c>
      <c r="AM199">
        <v>2.8690189790000002</v>
      </c>
      <c r="AN199">
        <v>2.8690189790000002</v>
      </c>
      <c r="AO199">
        <v>37.736551606000006</v>
      </c>
    </row>
    <row r="200" spans="1:41" x14ac:dyDescent="0.25">
      <c r="A200" t="s">
        <v>8</v>
      </c>
      <c r="B200" t="s">
        <v>115</v>
      </c>
      <c r="C200">
        <v>0</v>
      </c>
      <c r="D200">
        <v>0</v>
      </c>
      <c r="E200">
        <v>0.5</v>
      </c>
      <c r="F200">
        <v>0.5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 t="s">
        <v>115</v>
      </c>
      <c r="W200">
        <v>5.7380379000000002E-2</v>
      </c>
      <c r="X200">
        <v>0.110202956</v>
      </c>
      <c r="Y200">
        <v>0.69960355600000002</v>
      </c>
      <c r="Z200">
        <v>0.88335232599999991</v>
      </c>
      <c r="AA200">
        <v>0.78069738499999997</v>
      </c>
      <c r="AB200">
        <v>1.4993828929999999</v>
      </c>
      <c r="AC200">
        <v>2.8796677229999998</v>
      </c>
      <c r="AD200">
        <v>5.5305994440000008</v>
      </c>
      <c r="AE200">
        <v>5.7380379570000004</v>
      </c>
      <c r="AF200">
        <v>5.7380379570000004</v>
      </c>
      <c r="AG200">
        <v>5.7380379570000004</v>
      </c>
      <c r="AH200">
        <v>5.7380379570000004</v>
      </c>
      <c r="AI200">
        <v>5.7380379570000004</v>
      </c>
      <c r="AJ200">
        <v>5.7380379570000004</v>
      </c>
      <c r="AK200">
        <v>5.7380379570000004</v>
      </c>
      <c r="AL200">
        <v>5.7380379570000004</v>
      </c>
      <c r="AM200">
        <v>5.7380379570000004</v>
      </c>
      <c r="AN200">
        <v>5.7380379570000004</v>
      </c>
      <c r="AO200">
        <v>69.821266232000013</v>
      </c>
    </row>
    <row r="201" spans="1:41" x14ac:dyDescent="0.25">
      <c r="A201" t="s">
        <v>8</v>
      </c>
      <c r="B201" t="s">
        <v>116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 t="s">
        <v>116</v>
      </c>
      <c r="W201">
        <v>8.6070568E-2</v>
      </c>
      <c r="X201">
        <v>0.165304434</v>
      </c>
      <c r="Y201">
        <v>0.31747850700000002</v>
      </c>
      <c r="Z201">
        <v>0.60973925699999998</v>
      </c>
      <c r="AA201">
        <v>1.171046078</v>
      </c>
      <c r="AB201">
        <v>2.2490743399999999</v>
      </c>
      <c r="AC201">
        <v>4.3195015850000003</v>
      </c>
      <c r="AD201">
        <v>8.2958991659999999</v>
      </c>
      <c r="AE201">
        <v>8.6070569369999994</v>
      </c>
      <c r="AF201">
        <v>8.6070569369999994</v>
      </c>
      <c r="AG201">
        <v>8.6070569369999994</v>
      </c>
      <c r="AH201">
        <v>8.6070569369999994</v>
      </c>
      <c r="AI201">
        <v>8.6070569369999994</v>
      </c>
      <c r="AJ201">
        <v>8.6070569369999994</v>
      </c>
      <c r="AK201">
        <v>8.6070569369999994</v>
      </c>
      <c r="AL201">
        <v>8.6070569369999994</v>
      </c>
      <c r="AM201">
        <v>8.6070569369999994</v>
      </c>
      <c r="AN201">
        <v>8.6070569369999994</v>
      </c>
      <c r="AO201">
        <v>103.28468330499997</v>
      </c>
    </row>
    <row r="202" spans="1:41" x14ac:dyDescent="0.25">
      <c r="A202" t="s">
        <v>8</v>
      </c>
      <c r="B202" t="s">
        <v>117</v>
      </c>
      <c r="C202">
        <v>0</v>
      </c>
      <c r="D202">
        <v>0</v>
      </c>
      <c r="E202">
        <v>2.88</v>
      </c>
      <c r="F202">
        <v>6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8.879999999999999</v>
      </c>
      <c r="V202" t="s">
        <v>117</v>
      </c>
      <c r="W202">
        <v>0</v>
      </c>
      <c r="X202">
        <v>0</v>
      </c>
      <c r="Y202">
        <v>2.88</v>
      </c>
      <c r="Z202">
        <v>6</v>
      </c>
      <c r="AA202">
        <v>9.9043365909999999</v>
      </c>
      <c r="AB202">
        <v>9.9043365909999999</v>
      </c>
      <c r="AC202">
        <v>9.9043365909999999</v>
      </c>
      <c r="AD202">
        <v>9.9043365909999999</v>
      </c>
      <c r="AE202">
        <v>9.9043365909999999</v>
      </c>
      <c r="AF202">
        <v>9.9043365909999999</v>
      </c>
      <c r="AG202">
        <v>9.9043365909999999</v>
      </c>
      <c r="AH202">
        <v>9.9043365909999999</v>
      </c>
      <c r="AI202">
        <v>9.9043365909999999</v>
      </c>
      <c r="AJ202">
        <v>9.9043365909999999</v>
      </c>
      <c r="AK202">
        <v>9.9043365909999999</v>
      </c>
      <c r="AL202">
        <v>9.9043365909999999</v>
      </c>
      <c r="AM202">
        <v>9.9043365909999999</v>
      </c>
      <c r="AN202">
        <v>9.9043365909999999</v>
      </c>
      <c r="AO202">
        <v>147.54071227400001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847AC-1326-4512-A875-EA2269A8F204}">
  <dimension ref="A1:L28"/>
  <sheetViews>
    <sheetView workbookViewId="0">
      <selection activeCell="A29" sqref="A29"/>
    </sheetView>
  </sheetViews>
  <sheetFormatPr defaultRowHeight="15" x14ac:dyDescent="0.25"/>
  <cols>
    <col min="1" max="1" width="5" bestFit="1" customWidth="1"/>
    <col min="2" max="2" width="15.7109375" bestFit="1" customWidth="1"/>
    <col min="3" max="3" width="18.140625" bestFit="1" customWidth="1"/>
    <col min="4" max="4" width="14.28515625" bestFit="1" customWidth="1"/>
    <col min="5" max="5" width="12" bestFit="1" customWidth="1"/>
    <col min="6" max="6" width="10.28515625" bestFit="1" customWidth="1"/>
    <col min="7" max="7" width="17.5703125" bestFit="1" customWidth="1"/>
    <col min="8" max="8" width="19.140625" bestFit="1" customWidth="1"/>
    <col min="9" max="9" width="12" bestFit="1" customWidth="1"/>
    <col min="10" max="10" width="16.7109375" bestFit="1" customWidth="1"/>
    <col min="11" max="11" width="17.5703125" bestFit="1" customWidth="1"/>
    <col min="12" max="12" width="110.42578125" bestFit="1" customWidth="1"/>
  </cols>
  <sheetData>
    <row r="1" spans="1:12" x14ac:dyDescent="0.25">
      <c r="A1" t="s">
        <v>3</v>
      </c>
      <c r="B1" t="s">
        <v>52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49</v>
      </c>
      <c r="I1" t="s">
        <v>48</v>
      </c>
      <c r="J1" t="s">
        <v>66</v>
      </c>
      <c r="K1" t="s">
        <v>50</v>
      </c>
      <c r="L1" t="s">
        <v>53</v>
      </c>
    </row>
    <row r="2" spans="1:12" x14ac:dyDescent="0.25">
      <c r="A2">
        <v>2024</v>
      </c>
      <c r="B2" t="s">
        <v>33</v>
      </c>
      <c r="C2" t="s">
        <v>67</v>
      </c>
      <c r="D2" t="s">
        <v>68</v>
      </c>
      <c r="E2" t="s">
        <v>69</v>
      </c>
      <c r="F2" t="s">
        <v>70</v>
      </c>
      <c r="G2">
        <v>17.207187650000002</v>
      </c>
      <c r="H2">
        <v>1871.873679</v>
      </c>
      <c r="I2" t="s">
        <v>51</v>
      </c>
      <c r="J2">
        <v>22.608720000000002</v>
      </c>
      <c r="K2">
        <v>1982.1860300000001</v>
      </c>
    </row>
    <row r="3" spans="1:12" x14ac:dyDescent="0.25">
      <c r="A3">
        <v>2024</v>
      </c>
      <c r="B3" t="s">
        <v>35</v>
      </c>
      <c r="C3" t="s">
        <v>71</v>
      </c>
      <c r="D3" t="s">
        <v>68</v>
      </c>
      <c r="E3" t="s">
        <v>72</v>
      </c>
      <c r="F3" t="s">
        <v>70</v>
      </c>
      <c r="G3">
        <v>37.681199999999997</v>
      </c>
      <c r="H3">
        <v>3025.0245490000002</v>
      </c>
      <c r="I3" t="s">
        <v>51</v>
      </c>
      <c r="J3">
        <v>37.681199999999997</v>
      </c>
      <c r="K3">
        <v>2048.5161600000001</v>
      </c>
    </row>
    <row r="4" spans="1:12" x14ac:dyDescent="0.25">
      <c r="A4">
        <v>2024</v>
      </c>
      <c r="B4" t="s">
        <v>57</v>
      </c>
      <c r="C4" t="s">
        <v>71</v>
      </c>
      <c r="D4" t="s">
        <v>68</v>
      </c>
      <c r="E4" t="s">
        <v>72</v>
      </c>
      <c r="F4" t="s">
        <v>70</v>
      </c>
      <c r="G4">
        <v>22.8</v>
      </c>
      <c r="H4">
        <v>2001.5626</v>
      </c>
      <c r="I4" t="s">
        <v>51</v>
      </c>
      <c r="J4">
        <v>22.8</v>
      </c>
      <c r="K4">
        <v>1246.1225999999999</v>
      </c>
      <c r="L4" t="s">
        <v>58</v>
      </c>
    </row>
    <row r="5" spans="1:12" x14ac:dyDescent="0.25">
      <c r="A5">
        <v>2024</v>
      </c>
      <c r="B5" t="s">
        <v>59</v>
      </c>
      <c r="C5" t="s">
        <v>71</v>
      </c>
      <c r="D5" t="s">
        <v>68</v>
      </c>
      <c r="E5" t="s">
        <v>69</v>
      </c>
      <c r="F5" t="s">
        <v>70</v>
      </c>
      <c r="G5">
        <v>15.56</v>
      </c>
      <c r="H5">
        <v>1656.436688</v>
      </c>
      <c r="I5" t="s">
        <v>51</v>
      </c>
      <c r="J5">
        <v>15.56</v>
      </c>
      <c r="K5">
        <v>1656.436688</v>
      </c>
    </row>
    <row r="6" spans="1:12" x14ac:dyDescent="0.25">
      <c r="A6">
        <v>2024</v>
      </c>
      <c r="B6" t="s">
        <v>41</v>
      </c>
      <c r="C6" t="s">
        <v>71</v>
      </c>
      <c r="D6" t="s">
        <v>68</v>
      </c>
      <c r="E6" t="s">
        <v>69</v>
      </c>
      <c r="F6" t="s">
        <v>70</v>
      </c>
      <c r="G6">
        <v>43.124040000000001</v>
      </c>
      <c r="H6">
        <v>54.232192410000003</v>
      </c>
      <c r="I6" t="s">
        <v>51</v>
      </c>
      <c r="J6">
        <v>43.124040000000001</v>
      </c>
      <c r="K6">
        <v>0</v>
      </c>
      <c r="L6" t="s">
        <v>60</v>
      </c>
    </row>
    <row r="7" spans="1:12" x14ac:dyDescent="0.25">
      <c r="A7">
        <v>2024</v>
      </c>
      <c r="B7" t="s">
        <v>38</v>
      </c>
      <c r="C7" t="s">
        <v>71</v>
      </c>
      <c r="D7" t="s">
        <v>68</v>
      </c>
      <c r="E7" t="s">
        <v>69</v>
      </c>
      <c r="F7" t="s">
        <v>70</v>
      </c>
      <c r="G7">
        <v>13.648968</v>
      </c>
      <c r="H7">
        <v>1292.306701</v>
      </c>
      <c r="I7" t="s">
        <v>51</v>
      </c>
      <c r="J7">
        <v>13.648968</v>
      </c>
      <c r="K7">
        <v>1292.306701</v>
      </c>
    </row>
    <row r="8" spans="1:12" x14ac:dyDescent="0.25">
      <c r="A8">
        <v>2024</v>
      </c>
      <c r="B8" t="s">
        <v>54</v>
      </c>
      <c r="C8" t="s">
        <v>67</v>
      </c>
      <c r="D8" t="s">
        <v>68</v>
      </c>
      <c r="E8" t="s">
        <v>69</v>
      </c>
      <c r="F8" t="s">
        <v>70</v>
      </c>
      <c r="G8">
        <v>20.555669309999999</v>
      </c>
      <c r="H8">
        <v>2257.6805100000001</v>
      </c>
      <c r="I8" t="s">
        <v>51</v>
      </c>
      <c r="J8">
        <v>24.17925129</v>
      </c>
      <c r="K8">
        <v>2760.9</v>
      </c>
    </row>
    <row r="9" spans="1:12" x14ac:dyDescent="0.25">
      <c r="A9">
        <v>2024</v>
      </c>
      <c r="B9" t="s">
        <v>47</v>
      </c>
      <c r="H9">
        <v>3176.6475</v>
      </c>
      <c r="I9" t="s">
        <v>51</v>
      </c>
      <c r="K9">
        <v>3176.6475</v>
      </c>
    </row>
    <row r="10" spans="1:12" x14ac:dyDescent="0.25">
      <c r="A10">
        <v>2024</v>
      </c>
      <c r="B10" t="s">
        <v>46</v>
      </c>
      <c r="H10">
        <v>3141.2837930000001</v>
      </c>
      <c r="I10" t="s">
        <v>51</v>
      </c>
      <c r="K10">
        <v>3141.2837930000001</v>
      </c>
    </row>
    <row r="11" spans="1:12" x14ac:dyDescent="0.25">
      <c r="A11">
        <v>2024</v>
      </c>
      <c r="B11" t="s">
        <v>42</v>
      </c>
      <c r="H11">
        <v>3080.7548999999999</v>
      </c>
      <c r="I11" t="s">
        <v>51</v>
      </c>
      <c r="K11">
        <v>3080.7548999999999</v>
      </c>
    </row>
    <row r="12" spans="1:12" x14ac:dyDescent="0.25">
      <c r="A12">
        <v>2025</v>
      </c>
      <c r="B12" t="s">
        <v>42</v>
      </c>
      <c r="H12">
        <v>2464.60392</v>
      </c>
      <c r="I12" t="s">
        <v>51</v>
      </c>
      <c r="K12">
        <v>2464.60392</v>
      </c>
      <c r="L12" t="s">
        <v>55</v>
      </c>
    </row>
    <row r="13" spans="1:12" x14ac:dyDescent="0.25">
      <c r="A13">
        <v>2024</v>
      </c>
      <c r="B13" t="s">
        <v>43</v>
      </c>
      <c r="H13">
        <v>3196.7489999999998</v>
      </c>
      <c r="I13" t="s">
        <v>51</v>
      </c>
      <c r="K13">
        <v>3196.7489999999998</v>
      </c>
    </row>
    <row r="14" spans="1:12" x14ac:dyDescent="0.25">
      <c r="A14">
        <v>2024</v>
      </c>
      <c r="B14" t="s">
        <v>44</v>
      </c>
      <c r="H14">
        <v>3080.7548999999999</v>
      </c>
      <c r="I14" t="s">
        <v>51</v>
      </c>
      <c r="K14">
        <v>3080.7548999999999</v>
      </c>
    </row>
    <row r="15" spans="1:12" x14ac:dyDescent="0.25">
      <c r="A15">
        <v>2035</v>
      </c>
      <c r="B15" t="s">
        <v>44</v>
      </c>
      <c r="H15">
        <v>3058.2628260000001</v>
      </c>
      <c r="I15" t="s">
        <v>51</v>
      </c>
      <c r="K15">
        <v>3058.2628260000001</v>
      </c>
    </row>
    <row r="16" spans="1:12" x14ac:dyDescent="0.25">
      <c r="A16">
        <v>2036</v>
      </c>
      <c r="B16" t="s">
        <v>44</v>
      </c>
      <c r="H16">
        <v>3035.9349630000002</v>
      </c>
      <c r="I16" t="s">
        <v>51</v>
      </c>
      <c r="K16">
        <v>3035.9349630000002</v>
      </c>
    </row>
    <row r="17" spans="1:12" x14ac:dyDescent="0.25">
      <c r="A17">
        <v>2037</v>
      </c>
      <c r="B17" t="s">
        <v>44</v>
      </c>
      <c r="H17">
        <v>3013.7701120000002</v>
      </c>
      <c r="I17" t="s">
        <v>51</v>
      </c>
      <c r="K17">
        <v>3013.7701120000002</v>
      </c>
    </row>
    <row r="18" spans="1:12" x14ac:dyDescent="0.25">
      <c r="A18">
        <v>2038</v>
      </c>
      <c r="B18" t="s">
        <v>44</v>
      </c>
      <c r="H18">
        <v>2991.7670830000002</v>
      </c>
      <c r="I18" t="s">
        <v>51</v>
      </c>
      <c r="K18">
        <v>2991.7670830000002</v>
      </c>
    </row>
    <row r="19" spans="1:12" x14ac:dyDescent="0.25">
      <c r="A19">
        <v>2039</v>
      </c>
      <c r="B19" t="s">
        <v>44</v>
      </c>
      <c r="H19">
        <v>2969.9246939999998</v>
      </c>
      <c r="I19" t="s">
        <v>51</v>
      </c>
      <c r="K19">
        <v>2969.9246939999998</v>
      </c>
    </row>
    <row r="20" spans="1:12" x14ac:dyDescent="0.25">
      <c r="A20">
        <v>2040</v>
      </c>
      <c r="B20" t="s">
        <v>44</v>
      </c>
      <c r="H20">
        <v>2948.2417730000002</v>
      </c>
      <c r="I20" t="s">
        <v>51</v>
      </c>
      <c r="K20">
        <v>2948.2417730000002</v>
      </c>
    </row>
    <row r="21" spans="1:12" x14ac:dyDescent="0.25">
      <c r="A21">
        <v>2041</v>
      </c>
      <c r="B21" t="s">
        <v>44</v>
      </c>
      <c r="H21">
        <v>2926.7171549999998</v>
      </c>
      <c r="I21" t="s">
        <v>51</v>
      </c>
      <c r="K21">
        <v>2926.7171549999998</v>
      </c>
      <c r="L21" t="s">
        <v>56</v>
      </c>
    </row>
    <row r="22" spans="1:12" x14ac:dyDescent="0.25">
      <c r="A22">
        <v>2024</v>
      </c>
      <c r="B22" t="s">
        <v>45</v>
      </c>
      <c r="H22">
        <v>2987.2078499999998</v>
      </c>
      <c r="I22" t="s">
        <v>51</v>
      </c>
      <c r="K22">
        <v>2987.2078499999998</v>
      </c>
    </row>
    <row r="26" spans="1:12" x14ac:dyDescent="0.25">
      <c r="A26" t="s">
        <v>385</v>
      </c>
    </row>
    <row r="27" spans="1:12" x14ac:dyDescent="0.25">
      <c r="B27" t="s">
        <v>0</v>
      </c>
      <c r="H27" t="s">
        <v>49</v>
      </c>
      <c r="I27" t="s">
        <v>48</v>
      </c>
      <c r="K27" t="s">
        <v>50</v>
      </c>
    </row>
    <row r="28" spans="1:12" x14ac:dyDescent="0.25">
      <c r="A28" t="s">
        <v>82</v>
      </c>
      <c r="B28" t="s">
        <v>13</v>
      </c>
      <c r="H28">
        <v>1942.0976230000001</v>
      </c>
      <c r="I28" t="s">
        <v>51</v>
      </c>
      <c r="K28">
        <v>2057.8978219999999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DFB83-8CC9-450C-9FA7-1916DC382669}">
  <dimension ref="A2:R18"/>
  <sheetViews>
    <sheetView workbookViewId="0">
      <selection activeCell="N24" sqref="N24"/>
    </sheetView>
  </sheetViews>
  <sheetFormatPr defaultRowHeight="15" x14ac:dyDescent="0.25"/>
  <cols>
    <col min="5" max="5" width="13.5703125" bestFit="1" customWidth="1"/>
    <col min="11" max="11" width="10.28515625" bestFit="1" customWidth="1"/>
  </cols>
  <sheetData>
    <row r="2" spans="1:18" x14ac:dyDescent="0.25">
      <c r="A2">
        <v>1</v>
      </c>
      <c r="B2" t="s">
        <v>70</v>
      </c>
      <c r="C2" t="s">
        <v>199</v>
      </c>
      <c r="D2">
        <v>277777.78000000003</v>
      </c>
      <c r="E2" t="s">
        <v>101</v>
      </c>
      <c r="H2" t="s">
        <v>329</v>
      </c>
    </row>
    <row r="3" spans="1:18" x14ac:dyDescent="0.25">
      <c r="A3">
        <v>1</v>
      </c>
      <c r="B3" t="s">
        <v>326</v>
      </c>
      <c r="C3" t="s">
        <v>199</v>
      </c>
      <c r="D3" s="124">
        <v>0.82899999999999996</v>
      </c>
      <c r="E3" t="s">
        <v>328</v>
      </c>
      <c r="F3" s="124" t="s">
        <v>332</v>
      </c>
      <c r="H3" t="s">
        <v>327</v>
      </c>
    </row>
    <row r="4" spans="1:18" x14ac:dyDescent="0.25">
      <c r="A4">
        <v>1</v>
      </c>
      <c r="B4" t="s">
        <v>330</v>
      </c>
      <c r="C4" t="s">
        <v>199</v>
      </c>
      <c r="D4">
        <v>1.2389175814711242</v>
      </c>
      <c r="E4" t="s">
        <v>331</v>
      </c>
      <c r="H4" t="s">
        <v>129</v>
      </c>
    </row>
    <row r="6" spans="1:18" x14ac:dyDescent="0.25">
      <c r="K6" t="s">
        <v>242</v>
      </c>
      <c r="L6" t="s">
        <v>241</v>
      </c>
      <c r="M6" t="s">
        <v>255</v>
      </c>
      <c r="N6" t="s">
        <v>256</v>
      </c>
    </row>
    <row r="7" spans="1:18" x14ac:dyDescent="0.25">
      <c r="J7" t="s">
        <v>257</v>
      </c>
      <c r="K7" t="s">
        <v>245</v>
      </c>
      <c r="L7">
        <v>30</v>
      </c>
      <c r="M7">
        <v>24</v>
      </c>
      <c r="N7">
        <f>M7*L7</f>
        <v>720</v>
      </c>
      <c r="R7">
        <f>59/53</f>
        <v>1.1132075471698113</v>
      </c>
    </row>
    <row r="8" spans="1:18" x14ac:dyDescent="0.25">
      <c r="J8" t="s">
        <v>258</v>
      </c>
      <c r="K8" t="s">
        <v>243</v>
      </c>
      <c r="L8">
        <v>31</v>
      </c>
      <c r="M8">
        <v>24</v>
      </c>
      <c r="N8">
        <f t="shared" ref="N8:N18" si="0">M8*L8</f>
        <v>744</v>
      </c>
      <c r="R8">
        <f>154/149</f>
        <v>1.0335570469798658</v>
      </c>
    </row>
    <row r="9" spans="1:18" x14ac:dyDescent="0.25">
      <c r="J9" t="s">
        <v>259</v>
      </c>
      <c r="K9" t="s">
        <v>244</v>
      </c>
      <c r="L9">
        <v>30</v>
      </c>
      <c r="M9">
        <v>24</v>
      </c>
      <c r="N9">
        <f t="shared" si="0"/>
        <v>720</v>
      </c>
    </row>
    <row r="10" spans="1:18" x14ac:dyDescent="0.25">
      <c r="J10" t="s">
        <v>260</v>
      </c>
      <c r="K10" t="s">
        <v>246</v>
      </c>
      <c r="L10">
        <v>31</v>
      </c>
      <c r="M10">
        <v>24</v>
      </c>
      <c r="N10">
        <f t="shared" si="0"/>
        <v>744</v>
      </c>
    </row>
    <row r="11" spans="1:18" x14ac:dyDescent="0.25">
      <c r="J11" t="s">
        <v>261</v>
      </c>
      <c r="K11" t="s">
        <v>247</v>
      </c>
      <c r="L11">
        <v>31</v>
      </c>
      <c r="M11">
        <v>24</v>
      </c>
      <c r="N11">
        <f t="shared" si="0"/>
        <v>744</v>
      </c>
    </row>
    <row r="12" spans="1:18" x14ac:dyDescent="0.25">
      <c r="J12" t="s">
        <v>262</v>
      </c>
      <c r="K12" t="s">
        <v>248</v>
      </c>
      <c r="L12">
        <v>30</v>
      </c>
      <c r="M12">
        <v>24</v>
      </c>
      <c r="N12">
        <f t="shared" si="0"/>
        <v>720</v>
      </c>
    </row>
    <row r="13" spans="1:18" x14ac:dyDescent="0.25">
      <c r="J13" t="s">
        <v>263</v>
      </c>
      <c r="K13" t="s">
        <v>249</v>
      </c>
      <c r="L13">
        <v>31</v>
      </c>
      <c r="M13">
        <v>24</v>
      </c>
      <c r="N13">
        <f t="shared" si="0"/>
        <v>744</v>
      </c>
    </row>
    <row r="14" spans="1:18" x14ac:dyDescent="0.25">
      <c r="J14" t="s">
        <v>264</v>
      </c>
      <c r="K14" t="s">
        <v>250</v>
      </c>
      <c r="L14">
        <v>30</v>
      </c>
      <c r="M14">
        <v>24</v>
      </c>
      <c r="N14">
        <f t="shared" si="0"/>
        <v>720</v>
      </c>
    </row>
    <row r="15" spans="1:18" x14ac:dyDescent="0.25">
      <c r="J15" t="s">
        <v>265</v>
      </c>
      <c r="K15" t="s">
        <v>251</v>
      </c>
      <c r="L15">
        <v>31</v>
      </c>
      <c r="M15">
        <v>24</v>
      </c>
      <c r="N15">
        <f t="shared" si="0"/>
        <v>744</v>
      </c>
    </row>
    <row r="16" spans="1:18" x14ac:dyDescent="0.25">
      <c r="J16" t="s">
        <v>266</v>
      </c>
      <c r="K16" t="s">
        <v>252</v>
      </c>
      <c r="L16">
        <v>31</v>
      </c>
      <c r="M16">
        <v>24</v>
      </c>
      <c r="N16">
        <f t="shared" si="0"/>
        <v>744</v>
      </c>
    </row>
    <row r="17" spans="10:14" x14ac:dyDescent="0.25">
      <c r="J17" t="s">
        <v>267</v>
      </c>
      <c r="K17" t="s">
        <v>253</v>
      </c>
      <c r="L17">
        <v>28</v>
      </c>
      <c r="M17">
        <v>24</v>
      </c>
      <c r="N17">
        <f t="shared" si="0"/>
        <v>672</v>
      </c>
    </row>
    <row r="18" spans="10:14" x14ac:dyDescent="0.25">
      <c r="J18" t="s">
        <v>268</v>
      </c>
      <c r="K18" t="s">
        <v>254</v>
      </c>
      <c r="L18">
        <v>31</v>
      </c>
      <c r="M18">
        <v>24</v>
      </c>
      <c r="N18">
        <f t="shared" si="0"/>
        <v>744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B7979-01CA-4530-A3AC-4E09B913C2CA}">
  <dimension ref="A1:I26"/>
  <sheetViews>
    <sheetView tabSelected="1" workbookViewId="0">
      <selection activeCell="L13" sqref="L13"/>
    </sheetView>
  </sheetViews>
  <sheetFormatPr defaultRowHeight="15" x14ac:dyDescent="0.25"/>
  <cols>
    <col min="7" max="8" width="12" bestFit="1" customWidth="1"/>
  </cols>
  <sheetData>
    <row r="1" spans="1:9" x14ac:dyDescent="0.25">
      <c r="A1" t="s">
        <v>52</v>
      </c>
      <c r="B1" t="s">
        <v>75</v>
      </c>
      <c r="C1" t="s">
        <v>76</v>
      </c>
      <c r="D1" t="s">
        <v>77</v>
      </c>
      <c r="E1" t="s">
        <v>78</v>
      </c>
      <c r="F1" t="s">
        <v>3</v>
      </c>
      <c r="G1" t="s">
        <v>79</v>
      </c>
      <c r="H1" t="s">
        <v>80</v>
      </c>
      <c r="I1" t="s">
        <v>81</v>
      </c>
    </row>
    <row r="2" spans="1:9" x14ac:dyDescent="0.25">
      <c r="A2" t="s">
        <v>34</v>
      </c>
      <c r="B2" t="s">
        <v>6</v>
      </c>
      <c r="C2" t="s">
        <v>12</v>
      </c>
      <c r="D2" t="s">
        <v>6</v>
      </c>
      <c r="E2" t="s">
        <v>12</v>
      </c>
      <c r="F2">
        <v>2024</v>
      </c>
      <c r="G2">
        <v>2.6248298320000001</v>
      </c>
      <c r="H2">
        <v>0.14930632299999999</v>
      </c>
      <c r="I2">
        <v>-1</v>
      </c>
    </row>
    <row r="3" spans="1:9" x14ac:dyDescent="0.25">
      <c r="A3" t="s">
        <v>34</v>
      </c>
      <c r="B3" t="s">
        <v>6</v>
      </c>
      <c r="C3" t="s">
        <v>11</v>
      </c>
      <c r="D3" t="s">
        <v>6</v>
      </c>
      <c r="E3" t="s">
        <v>11</v>
      </c>
      <c r="F3">
        <v>2024</v>
      </c>
      <c r="G3">
        <v>1.8783627890000001</v>
      </c>
      <c r="H3">
        <v>0.12258155699999999</v>
      </c>
      <c r="I3">
        <v>-1</v>
      </c>
    </row>
    <row r="4" spans="1:9" x14ac:dyDescent="0.25">
      <c r="A4" t="s">
        <v>34</v>
      </c>
      <c r="B4" t="s">
        <v>6</v>
      </c>
      <c r="C4" t="s">
        <v>8</v>
      </c>
      <c r="D4" t="s">
        <v>6</v>
      </c>
      <c r="E4" t="s">
        <v>8</v>
      </c>
      <c r="F4">
        <v>2024</v>
      </c>
      <c r="G4">
        <v>2.8361182519999999</v>
      </c>
      <c r="H4">
        <v>0.106457711</v>
      </c>
      <c r="I4">
        <v>-1</v>
      </c>
    </row>
    <row r="5" spans="1:9" x14ac:dyDescent="0.25">
      <c r="A5" t="s">
        <v>34</v>
      </c>
      <c r="B5" t="s">
        <v>6</v>
      </c>
      <c r="C5" t="s">
        <v>10</v>
      </c>
      <c r="D5" t="s">
        <v>6</v>
      </c>
      <c r="E5" t="s">
        <v>10</v>
      </c>
      <c r="F5">
        <v>2024</v>
      </c>
      <c r="G5">
        <v>1.827294889</v>
      </c>
      <c r="H5">
        <v>0.17367141</v>
      </c>
      <c r="I5">
        <v>-1</v>
      </c>
    </row>
    <row r="6" spans="1:9" x14ac:dyDescent="0.25">
      <c r="A6" t="s">
        <v>34</v>
      </c>
      <c r="B6" t="s">
        <v>6</v>
      </c>
      <c r="C6" t="s">
        <v>9</v>
      </c>
      <c r="D6" t="s">
        <v>6</v>
      </c>
      <c r="E6" t="s">
        <v>9</v>
      </c>
      <c r="F6">
        <v>2024</v>
      </c>
      <c r="G6">
        <v>4.6461250850000004</v>
      </c>
      <c r="H6">
        <v>0.15154467499999999</v>
      </c>
      <c r="I6">
        <v>-1</v>
      </c>
    </row>
    <row r="7" spans="1:9" x14ac:dyDescent="0.25">
      <c r="A7" t="s">
        <v>34</v>
      </c>
      <c r="B7" t="s">
        <v>6</v>
      </c>
      <c r="C7" t="s">
        <v>12</v>
      </c>
      <c r="D7" t="s">
        <v>6</v>
      </c>
      <c r="E7" t="s">
        <v>11</v>
      </c>
      <c r="F7">
        <v>2024</v>
      </c>
      <c r="G7">
        <v>0.50994571399999999</v>
      </c>
      <c r="H7">
        <v>3.5000000000000003E-2</v>
      </c>
      <c r="I7">
        <v>36.72</v>
      </c>
    </row>
    <row r="8" spans="1:9" x14ac:dyDescent="0.25">
      <c r="A8" t="s">
        <v>34</v>
      </c>
      <c r="B8" t="s">
        <v>6</v>
      </c>
      <c r="C8" t="s">
        <v>11</v>
      </c>
      <c r="D8" t="s">
        <v>6</v>
      </c>
      <c r="E8" t="s">
        <v>8</v>
      </c>
      <c r="F8">
        <v>2024</v>
      </c>
      <c r="G8">
        <v>0.50994571399999999</v>
      </c>
      <c r="H8">
        <v>3.5000000000000003E-2</v>
      </c>
      <c r="I8">
        <v>22.32</v>
      </c>
    </row>
    <row r="9" spans="1:9" x14ac:dyDescent="0.25">
      <c r="A9" t="s">
        <v>34</v>
      </c>
      <c r="B9" t="s">
        <v>6</v>
      </c>
      <c r="C9" t="s">
        <v>8</v>
      </c>
      <c r="D9" t="s">
        <v>6</v>
      </c>
      <c r="E9" t="s">
        <v>10</v>
      </c>
      <c r="F9">
        <v>2024</v>
      </c>
      <c r="G9">
        <v>0.50994571399999999</v>
      </c>
      <c r="H9">
        <v>3.5000000000000003E-2</v>
      </c>
      <c r="I9">
        <v>5.83</v>
      </c>
    </row>
    <row r="10" spans="1:9" x14ac:dyDescent="0.25">
      <c r="A10" t="s">
        <v>34</v>
      </c>
      <c r="B10" t="s">
        <v>6</v>
      </c>
      <c r="C10" t="s">
        <v>10</v>
      </c>
      <c r="D10" t="s">
        <v>6</v>
      </c>
      <c r="E10" t="s">
        <v>9</v>
      </c>
      <c r="F10">
        <v>2024</v>
      </c>
      <c r="G10">
        <v>0.50994571399999999</v>
      </c>
      <c r="H10">
        <v>3.5000000000000003E-2</v>
      </c>
      <c r="I10">
        <v>2.95</v>
      </c>
    </row>
    <row r="11" spans="1:9" x14ac:dyDescent="0.25">
      <c r="A11" t="s">
        <v>34</v>
      </c>
      <c r="B11" t="s">
        <v>6</v>
      </c>
      <c r="C11" t="s">
        <v>9</v>
      </c>
      <c r="D11" t="s">
        <v>6</v>
      </c>
      <c r="E11" t="s">
        <v>12</v>
      </c>
      <c r="F11">
        <v>2024</v>
      </c>
      <c r="G11">
        <v>0.50994571399999999</v>
      </c>
      <c r="H11">
        <v>3.5000000000000003E-2</v>
      </c>
      <c r="I11">
        <v>3</v>
      </c>
    </row>
    <row r="12" spans="1:9" x14ac:dyDescent="0.25">
      <c r="A12" t="s">
        <v>34</v>
      </c>
      <c r="B12" t="s">
        <v>6</v>
      </c>
      <c r="C12" t="s">
        <v>12</v>
      </c>
      <c r="D12" t="s">
        <v>6</v>
      </c>
      <c r="E12" t="s">
        <v>8</v>
      </c>
      <c r="F12">
        <v>2024</v>
      </c>
      <c r="G12">
        <v>0.50994571399999999</v>
      </c>
      <c r="H12">
        <v>3.5000000000000003E-2</v>
      </c>
      <c r="I12">
        <v>0</v>
      </c>
    </row>
    <row r="13" spans="1:9" x14ac:dyDescent="0.25">
      <c r="A13" t="s">
        <v>34</v>
      </c>
      <c r="B13" t="s">
        <v>6</v>
      </c>
      <c r="C13" t="s">
        <v>11</v>
      </c>
      <c r="D13" t="s">
        <v>6</v>
      </c>
      <c r="E13" t="s">
        <v>10</v>
      </c>
      <c r="F13">
        <v>2024</v>
      </c>
      <c r="G13">
        <v>0.50994571399999999</v>
      </c>
      <c r="H13">
        <v>3.5000000000000003E-2</v>
      </c>
      <c r="I13">
        <v>21.19</v>
      </c>
    </row>
    <row r="14" spans="1:9" x14ac:dyDescent="0.25">
      <c r="A14" t="s">
        <v>34</v>
      </c>
      <c r="B14" t="s">
        <v>6</v>
      </c>
      <c r="C14" t="s">
        <v>8</v>
      </c>
      <c r="D14" t="s">
        <v>6</v>
      </c>
      <c r="E14" t="s">
        <v>9</v>
      </c>
      <c r="F14">
        <v>2024</v>
      </c>
      <c r="G14">
        <v>0.50994571399999999</v>
      </c>
      <c r="H14">
        <v>3.5000000000000003E-2</v>
      </c>
      <c r="I14">
        <v>0</v>
      </c>
    </row>
    <row r="15" spans="1:9" x14ac:dyDescent="0.25">
      <c r="A15" t="s">
        <v>34</v>
      </c>
      <c r="B15" t="s">
        <v>6</v>
      </c>
      <c r="C15" t="s">
        <v>10</v>
      </c>
      <c r="D15" t="s">
        <v>6</v>
      </c>
      <c r="E15" t="s">
        <v>12</v>
      </c>
      <c r="F15">
        <v>2024</v>
      </c>
      <c r="G15">
        <v>0.50994571399999999</v>
      </c>
      <c r="H15">
        <v>3.5000000000000003E-2</v>
      </c>
      <c r="I15">
        <v>22.53</v>
      </c>
    </row>
    <row r="16" spans="1:9" x14ac:dyDescent="0.25">
      <c r="A16" t="s">
        <v>34</v>
      </c>
      <c r="B16" t="s">
        <v>6</v>
      </c>
      <c r="C16" t="s">
        <v>9</v>
      </c>
      <c r="D16" t="s">
        <v>6</v>
      </c>
      <c r="E16" t="s">
        <v>11</v>
      </c>
      <c r="F16">
        <v>2024</v>
      </c>
      <c r="G16">
        <v>0.50994571399999999</v>
      </c>
      <c r="H16">
        <v>3.5000000000000003E-2</v>
      </c>
      <c r="I16">
        <v>0</v>
      </c>
    </row>
    <row r="17" spans="1:9" x14ac:dyDescent="0.25">
      <c r="A17" t="s">
        <v>34</v>
      </c>
      <c r="B17" t="s">
        <v>6</v>
      </c>
      <c r="C17" t="s">
        <v>12</v>
      </c>
      <c r="D17" t="s">
        <v>6</v>
      </c>
      <c r="E17" t="s">
        <v>10</v>
      </c>
      <c r="F17">
        <v>2024</v>
      </c>
      <c r="G17">
        <v>0.50994571399999999</v>
      </c>
      <c r="H17">
        <v>3.5000000000000003E-2</v>
      </c>
      <c r="I17">
        <v>19.53</v>
      </c>
    </row>
    <row r="18" spans="1:9" x14ac:dyDescent="0.25">
      <c r="A18" t="s">
        <v>34</v>
      </c>
      <c r="B18" t="s">
        <v>6</v>
      </c>
      <c r="C18" t="s">
        <v>11</v>
      </c>
      <c r="D18" t="s">
        <v>6</v>
      </c>
      <c r="E18" t="s">
        <v>9</v>
      </c>
      <c r="F18">
        <v>2024</v>
      </c>
      <c r="G18">
        <v>0.50994571399999999</v>
      </c>
      <c r="H18">
        <v>3.5000000000000003E-2</v>
      </c>
      <c r="I18">
        <v>0</v>
      </c>
    </row>
    <row r="19" spans="1:9" x14ac:dyDescent="0.25">
      <c r="A19" t="s">
        <v>34</v>
      </c>
      <c r="B19" t="s">
        <v>6</v>
      </c>
      <c r="C19" t="s">
        <v>8</v>
      </c>
      <c r="D19" t="s">
        <v>6</v>
      </c>
      <c r="E19" t="s">
        <v>12</v>
      </c>
      <c r="F19">
        <v>2024</v>
      </c>
      <c r="G19">
        <v>0.50994571399999999</v>
      </c>
      <c r="H19">
        <v>3.5000000000000003E-2</v>
      </c>
      <c r="I19">
        <v>0</v>
      </c>
    </row>
    <row r="20" spans="1:9" x14ac:dyDescent="0.25">
      <c r="A20" t="s">
        <v>34</v>
      </c>
      <c r="B20" t="s">
        <v>6</v>
      </c>
      <c r="C20" t="s">
        <v>10</v>
      </c>
      <c r="D20" t="s">
        <v>6</v>
      </c>
      <c r="E20" t="s">
        <v>11</v>
      </c>
      <c r="F20">
        <v>2024</v>
      </c>
      <c r="G20">
        <v>0.50994571399999999</v>
      </c>
      <c r="H20">
        <v>3.5000000000000003E-2</v>
      </c>
      <c r="I20">
        <v>21.19</v>
      </c>
    </row>
    <row r="21" spans="1:9" x14ac:dyDescent="0.25">
      <c r="A21" t="s">
        <v>34</v>
      </c>
      <c r="B21" t="s">
        <v>6</v>
      </c>
      <c r="C21" t="s">
        <v>9</v>
      </c>
      <c r="D21" t="s">
        <v>6</v>
      </c>
      <c r="E21" t="s">
        <v>8</v>
      </c>
      <c r="F21">
        <v>2024</v>
      </c>
      <c r="G21">
        <v>0.50994571399999999</v>
      </c>
      <c r="H21">
        <v>3.5000000000000003E-2</v>
      </c>
      <c r="I21">
        <v>0</v>
      </c>
    </row>
    <row r="22" spans="1:9" x14ac:dyDescent="0.25">
      <c r="A22" t="s">
        <v>34</v>
      </c>
      <c r="B22" t="s">
        <v>6</v>
      </c>
      <c r="C22" t="s">
        <v>12</v>
      </c>
      <c r="D22" t="s">
        <v>6</v>
      </c>
      <c r="E22" t="s">
        <v>9</v>
      </c>
      <c r="F22">
        <v>2024</v>
      </c>
      <c r="G22">
        <v>0.50994571399999999</v>
      </c>
      <c r="H22">
        <v>3.5000000000000003E-2</v>
      </c>
      <c r="I22">
        <v>1.5</v>
      </c>
    </row>
    <row r="23" spans="1:9" x14ac:dyDescent="0.25">
      <c r="A23" t="s">
        <v>34</v>
      </c>
      <c r="B23" t="s">
        <v>6</v>
      </c>
      <c r="C23" t="s">
        <v>11</v>
      </c>
      <c r="D23" t="s">
        <v>6</v>
      </c>
      <c r="E23" t="s">
        <v>12</v>
      </c>
      <c r="F23">
        <v>2024</v>
      </c>
      <c r="G23">
        <v>0.50994571399999999</v>
      </c>
      <c r="H23">
        <v>3.5000000000000003E-2</v>
      </c>
      <c r="I23">
        <v>32.57</v>
      </c>
    </row>
    <row r="24" spans="1:9" x14ac:dyDescent="0.25">
      <c r="A24" t="s">
        <v>34</v>
      </c>
      <c r="B24" t="s">
        <v>6</v>
      </c>
      <c r="C24" t="s">
        <v>8</v>
      </c>
      <c r="D24" t="s">
        <v>6</v>
      </c>
      <c r="E24" t="s">
        <v>11</v>
      </c>
      <c r="F24">
        <v>2024</v>
      </c>
      <c r="G24">
        <v>0.50994571399999999</v>
      </c>
      <c r="H24">
        <v>3.5000000000000003E-2</v>
      </c>
      <c r="I24">
        <v>19.93</v>
      </c>
    </row>
    <row r="25" spans="1:9" x14ac:dyDescent="0.25">
      <c r="A25" t="s">
        <v>34</v>
      </c>
      <c r="B25" t="s">
        <v>6</v>
      </c>
      <c r="C25" t="s">
        <v>10</v>
      </c>
      <c r="D25" t="s">
        <v>6</v>
      </c>
      <c r="E25" t="s">
        <v>8</v>
      </c>
      <c r="F25">
        <v>2024</v>
      </c>
      <c r="G25">
        <v>0.50994571399999999</v>
      </c>
      <c r="H25">
        <v>3.5000000000000003E-2</v>
      </c>
      <c r="I25">
        <v>7.83</v>
      </c>
    </row>
    <row r="26" spans="1:9" x14ac:dyDescent="0.25">
      <c r="A26" t="s">
        <v>34</v>
      </c>
      <c r="B26" t="s">
        <v>6</v>
      </c>
      <c r="C26" t="s">
        <v>9</v>
      </c>
      <c r="D26" t="s">
        <v>6</v>
      </c>
      <c r="E26" t="s">
        <v>10</v>
      </c>
      <c r="F26">
        <v>2024</v>
      </c>
      <c r="G26">
        <v>0.50994571399999999</v>
      </c>
      <c r="H26">
        <v>3.5000000000000003E-2</v>
      </c>
      <c r="I26">
        <v>2.95</v>
      </c>
    </row>
  </sheetData>
  <pageMargins left="0.7" right="0.7" top="0.75" bottom="0.75" header="0.3" footer="0.3"/>
  <pageSetup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2D7C8-51B8-4892-8EBE-6420C14CA6BA}">
  <sheetPr>
    <tabColor theme="7" tint="0.39997558519241921"/>
  </sheetPr>
  <dimension ref="A1:AI81"/>
  <sheetViews>
    <sheetView zoomScaleNormal="100" workbookViewId="0">
      <selection activeCell="R4" sqref="R4"/>
    </sheetView>
  </sheetViews>
  <sheetFormatPr defaultColWidth="8.85546875" defaultRowHeight="12.75" x14ac:dyDescent="0.2"/>
  <cols>
    <col min="1" max="1" width="10.7109375" style="8" bestFit="1" customWidth="1"/>
    <col min="2" max="2" width="12.28515625" style="8" customWidth="1"/>
    <col min="3" max="3" width="11.5703125" style="8" customWidth="1"/>
    <col min="4" max="6" width="8.85546875" style="8"/>
    <col min="7" max="7" width="23.140625" style="8" bestFit="1" customWidth="1"/>
    <col min="8" max="24" width="12.7109375" style="8" customWidth="1"/>
    <col min="25" max="27" width="11.7109375" style="8" customWidth="1"/>
    <col min="28" max="28" width="11.5703125" style="8" bestFit="1" customWidth="1"/>
    <col min="29" max="33" width="8.85546875" style="8"/>
    <col min="34" max="34" width="43.85546875" style="8" customWidth="1"/>
    <col min="35" max="16384" width="8.85546875" style="8"/>
  </cols>
  <sheetData>
    <row r="1" spans="1:24" x14ac:dyDescent="0.2">
      <c r="A1" s="8" t="s">
        <v>130</v>
      </c>
    </row>
    <row r="2" spans="1:24" x14ac:dyDescent="0.2">
      <c r="A2" s="8" t="s">
        <v>131</v>
      </c>
    </row>
    <row r="3" spans="1:24" x14ac:dyDescent="0.2">
      <c r="A3" s="8" t="s">
        <v>132</v>
      </c>
    </row>
    <row r="6" spans="1:24" x14ac:dyDescent="0.2">
      <c r="A6" s="9" t="s">
        <v>133</v>
      </c>
      <c r="H6" s="10" t="s">
        <v>134</v>
      </c>
    </row>
    <row r="7" spans="1:24" s="12" customFormat="1" ht="56.45" customHeight="1" x14ac:dyDescent="0.25">
      <c r="A7" s="11" t="s">
        <v>135</v>
      </c>
      <c r="G7" s="13"/>
      <c r="H7" s="148" t="s">
        <v>136</v>
      </c>
      <c r="I7" s="148"/>
      <c r="J7" s="148" t="s">
        <v>137</v>
      </c>
      <c r="K7" s="148"/>
      <c r="L7" s="148" t="s">
        <v>138</v>
      </c>
      <c r="M7" s="148"/>
      <c r="N7" s="148" t="s">
        <v>139</v>
      </c>
      <c r="O7" s="148"/>
      <c r="P7" s="148" t="s">
        <v>140</v>
      </c>
      <c r="Q7" s="148"/>
      <c r="R7" s="148" t="s">
        <v>141</v>
      </c>
      <c r="S7" s="148"/>
      <c r="T7" s="148" t="s">
        <v>142</v>
      </c>
      <c r="U7" s="148"/>
      <c r="V7" s="15"/>
      <c r="W7" s="15"/>
      <c r="X7" s="15"/>
    </row>
    <row r="8" spans="1:24" ht="13.5" x14ac:dyDescent="0.25">
      <c r="G8" s="16" t="s">
        <v>143</v>
      </c>
      <c r="H8" s="17">
        <v>2022</v>
      </c>
      <c r="I8" s="17">
        <v>2027</v>
      </c>
      <c r="J8" s="17">
        <v>2023</v>
      </c>
      <c r="K8" s="17">
        <v>2028</v>
      </c>
      <c r="L8" s="17">
        <v>2023</v>
      </c>
      <c r="M8" s="17">
        <v>2028</v>
      </c>
      <c r="N8" s="17">
        <v>2024</v>
      </c>
      <c r="O8" s="17">
        <v>2029</v>
      </c>
      <c r="P8" s="17">
        <v>2024</v>
      </c>
      <c r="Q8" s="17">
        <v>2029</v>
      </c>
      <c r="R8" s="17">
        <v>2025</v>
      </c>
      <c r="S8" s="17">
        <v>2030</v>
      </c>
      <c r="T8" s="17">
        <v>2026</v>
      </c>
      <c r="U8" s="17">
        <v>2031</v>
      </c>
      <c r="V8" s="16"/>
      <c r="W8" s="16"/>
      <c r="X8" s="16"/>
    </row>
    <row r="9" spans="1:24" s="12" customFormat="1" ht="40.5" x14ac:dyDescent="0.25">
      <c r="B9" s="18" t="s">
        <v>144</v>
      </c>
      <c r="C9" s="18" t="s">
        <v>145</v>
      </c>
      <c r="D9" s="18"/>
      <c r="E9" s="18" t="s">
        <v>146</v>
      </c>
      <c r="F9" s="18" t="s">
        <v>147</v>
      </c>
      <c r="G9" s="13"/>
      <c r="H9" s="19">
        <v>44621</v>
      </c>
      <c r="I9" s="14" t="s">
        <v>148</v>
      </c>
      <c r="J9" s="19">
        <v>44805</v>
      </c>
      <c r="K9" s="14" t="s">
        <v>149</v>
      </c>
      <c r="L9" s="97">
        <v>44986</v>
      </c>
      <c r="M9" s="14" t="s">
        <v>149</v>
      </c>
      <c r="N9" s="19">
        <v>45170</v>
      </c>
      <c r="O9" s="14" t="s">
        <v>150</v>
      </c>
      <c r="P9" s="19">
        <v>45352</v>
      </c>
      <c r="Q9" s="14" t="s">
        <v>150</v>
      </c>
      <c r="R9" s="19">
        <v>45717</v>
      </c>
      <c r="S9" s="14" t="s">
        <v>151</v>
      </c>
      <c r="T9" s="19">
        <v>45901</v>
      </c>
      <c r="U9" s="14" t="s">
        <v>152</v>
      </c>
      <c r="V9" s="15"/>
      <c r="W9" s="15"/>
      <c r="X9" s="15"/>
    </row>
    <row r="10" spans="1:24" ht="15" x14ac:dyDescent="0.25">
      <c r="B10" s="8" t="str">
        <f t="shared" ref="B10:B16" si="0">F10&amp;"-"&amp;E10</f>
        <v>NR-ER</v>
      </c>
      <c r="C10" s="8" t="str">
        <f t="shared" ref="C10:C16" si="1">E10&amp;"-"&amp;F10</f>
        <v>ER-NR</v>
      </c>
      <c r="E10" s="8" t="s">
        <v>10</v>
      </c>
      <c r="F10" s="8" t="s">
        <v>12</v>
      </c>
      <c r="G10" s="20" t="s">
        <v>153</v>
      </c>
      <c r="H10" s="21">
        <v>22530</v>
      </c>
      <c r="I10" s="21">
        <v>22530</v>
      </c>
      <c r="J10" s="21">
        <v>22530</v>
      </c>
      <c r="K10" s="21">
        <v>22530</v>
      </c>
      <c r="L10" s="98">
        <v>22530</v>
      </c>
      <c r="M10" s="21">
        <v>22530</v>
      </c>
      <c r="N10" s="21">
        <v>22530</v>
      </c>
      <c r="O10" s="21">
        <v>22530</v>
      </c>
      <c r="P10" s="21">
        <v>22530</v>
      </c>
      <c r="Q10" s="21">
        <v>22530</v>
      </c>
      <c r="R10" s="21">
        <v>22530</v>
      </c>
      <c r="S10" s="21">
        <v>22530</v>
      </c>
      <c r="T10" s="21">
        <v>22530</v>
      </c>
      <c r="U10" s="21">
        <v>22530</v>
      </c>
      <c r="V10" s="22"/>
      <c r="W10" s="22"/>
      <c r="X10" s="22"/>
    </row>
    <row r="11" spans="1:24" ht="15" x14ac:dyDescent="0.25">
      <c r="B11" s="8" t="str">
        <f>F11&amp;"-"&amp;E11</f>
        <v>NR-WR</v>
      </c>
      <c r="C11" s="8" t="str">
        <f>E11&amp;"-"&amp;F11</f>
        <v>WR-NR</v>
      </c>
      <c r="E11" s="8" t="s">
        <v>11</v>
      </c>
      <c r="F11" s="8" t="s">
        <v>12</v>
      </c>
      <c r="G11" s="20" t="s">
        <v>158</v>
      </c>
      <c r="H11" s="21">
        <v>36720</v>
      </c>
      <c r="I11" s="21">
        <v>36720</v>
      </c>
      <c r="J11" s="21">
        <v>36720</v>
      </c>
      <c r="K11" s="21">
        <v>42520</v>
      </c>
      <c r="L11" s="98">
        <v>36720</v>
      </c>
      <c r="M11" s="21">
        <v>50920</v>
      </c>
      <c r="N11" s="21">
        <v>36720</v>
      </c>
      <c r="O11" s="27">
        <v>46720</v>
      </c>
      <c r="P11" s="21">
        <v>36720</v>
      </c>
      <c r="Q11" s="27">
        <v>46720</v>
      </c>
      <c r="R11" s="21">
        <v>38320</v>
      </c>
      <c r="S11" s="21">
        <v>50920</v>
      </c>
      <c r="T11" s="21">
        <v>38320</v>
      </c>
      <c r="U11" s="21">
        <v>61120</v>
      </c>
      <c r="V11" s="22"/>
      <c r="W11" s="22"/>
      <c r="X11" s="22"/>
    </row>
    <row r="12" spans="1:24" ht="15" x14ac:dyDescent="0.2">
      <c r="B12" s="8" t="str">
        <f>F12&amp;"-"&amp;E12</f>
        <v>NER-ER</v>
      </c>
      <c r="C12" s="8" t="str">
        <f>E12&amp;"-"&amp;F12</f>
        <v>ER-NER</v>
      </c>
      <c r="E12" s="8" t="s">
        <v>10</v>
      </c>
      <c r="F12" s="8" t="s">
        <v>9</v>
      </c>
      <c r="G12" s="20" t="s">
        <v>156</v>
      </c>
      <c r="H12" s="23">
        <v>2860</v>
      </c>
      <c r="I12" s="23">
        <v>3550</v>
      </c>
      <c r="J12" s="23">
        <v>2860</v>
      </c>
      <c r="K12" s="23">
        <v>3550</v>
      </c>
      <c r="L12" s="99">
        <v>2860</v>
      </c>
      <c r="M12" s="23">
        <v>3550</v>
      </c>
      <c r="N12" s="99">
        <v>2950</v>
      </c>
      <c r="O12" s="25">
        <v>2950</v>
      </c>
      <c r="P12" s="23">
        <v>2950</v>
      </c>
      <c r="Q12" s="26">
        <v>3550</v>
      </c>
      <c r="R12" s="23">
        <v>3550</v>
      </c>
      <c r="S12" s="23">
        <v>3550</v>
      </c>
      <c r="T12" s="23">
        <v>3550</v>
      </c>
      <c r="U12" s="23">
        <v>3550</v>
      </c>
      <c r="V12" s="24"/>
      <c r="W12" s="24"/>
      <c r="X12" s="24"/>
    </row>
    <row r="13" spans="1:24" ht="15" x14ac:dyDescent="0.25">
      <c r="B13" s="8" t="str">
        <f t="shared" si="0"/>
        <v>WR-ER</v>
      </c>
      <c r="C13" s="8" t="str">
        <f t="shared" si="1"/>
        <v>ER-WR</v>
      </c>
      <c r="E13" s="8" t="s">
        <v>10</v>
      </c>
      <c r="F13" s="8" t="s">
        <v>11</v>
      </c>
      <c r="G13" s="20" t="s">
        <v>154</v>
      </c>
      <c r="H13" s="21">
        <v>21190</v>
      </c>
      <c r="I13" s="21">
        <v>21190</v>
      </c>
      <c r="J13" s="21">
        <v>21190</v>
      </c>
      <c r="K13" s="21">
        <v>22790</v>
      </c>
      <c r="L13" s="98">
        <v>21190</v>
      </c>
      <c r="M13" s="21">
        <v>22790</v>
      </c>
      <c r="N13" s="21">
        <v>21190</v>
      </c>
      <c r="O13" s="21">
        <v>22790</v>
      </c>
      <c r="P13" s="21">
        <v>21190</v>
      </c>
      <c r="Q13" s="21">
        <v>22790</v>
      </c>
      <c r="R13" s="21">
        <v>21190</v>
      </c>
      <c r="S13" s="21">
        <v>22790</v>
      </c>
      <c r="T13" s="21">
        <v>22790</v>
      </c>
      <c r="U13" s="21">
        <v>26990</v>
      </c>
      <c r="V13" s="22"/>
      <c r="W13" s="22"/>
      <c r="X13" s="22"/>
    </row>
    <row r="14" spans="1:24" ht="15" x14ac:dyDescent="0.2">
      <c r="B14" s="8" t="str">
        <f>F14&amp;"-"&amp;E14</f>
        <v>SR-WR</v>
      </c>
      <c r="C14" s="8" t="str">
        <f>E14&amp;"-"&amp;F14</f>
        <v>WR-SR</v>
      </c>
      <c r="E14" s="8" t="s">
        <v>11</v>
      </c>
      <c r="F14" s="8" t="s">
        <v>8</v>
      </c>
      <c r="G14" s="20" t="s">
        <v>159</v>
      </c>
      <c r="H14" s="23">
        <v>18120</v>
      </c>
      <c r="I14" s="23">
        <v>23920</v>
      </c>
      <c r="J14" s="23">
        <v>18120</v>
      </c>
      <c r="K14" s="23">
        <v>28120</v>
      </c>
      <c r="L14" s="99">
        <v>18120</v>
      </c>
      <c r="M14" s="23">
        <v>28120</v>
      </c>
      <c r="N14" s="23">
        <v>18120</v>
      </c>
      <c r="O14" s="23">
        <v>28120</v>
      </c>
      <c r="P14" s="23">
        <v>22320</v>
      </c>
      <c r="Q14" s="23">
        <v>28120</v>
      </c>
      <c r="R14" s="23">
        <v>22320</v>
      </c>
      <c r="S14" s="23">
        <v>28120</v>
      </c>
      <c r="T14" s="23">
        <v>22320</v>
      </c>
      <c r="U14" s="23">
        <v>32320</v>
      </c>
      <c r="V14" s="24"/>
      <c r="W14" s="24"/>
      <c r="X14" s="24"/>
    </row>
    <row r="15" spans="1:24" ht="15" x14ac:dyDescent="0.2">
      <c r="B15" s="8" t="str">
        <f t="shared" si="0"/>
        <v>SR-ER</v>
      </c>
      <c r="C15" s="8" t="str">
        <f t="shared" si="1"/>
        <v>ER-SR</v>
      </c>
      <c r="E15" s="8" t="s">
        <v>10</v>
      </c>
      <c r="F15" s="8" t="s">
        <v>8</v>
      </c>
      <c r="G15" s="20" t="s">
        <v>155</v>
      </c>
      <c r="H15" s="23">
        <v>7830</v>
      </c>
      <c r="I15" s="23">
        <v>7830</v>
      </c>
      <c r="J15" s="23">
        <v>7830</v>
      </c>
      <c r="K15" s="23">
        <v>7830</v>
      </c>
      <c r="L15" s="99">
        <v>7830</v>
      </c>
      <c r="M15" s="23">
        <v>7830</v>
      </c>
      <c r="N15" s="23">
        <v>7830</v>
      </c>
      <c r="O15" s="23">
        <v>7830</v>
      </c>
      <c r="P15" s="23">
        <v>7830</v>
      </c>
      <c r="Q15" s="23">
        <v>7830</v>
      </c>
      <c r="R15" s="23">
        <v>7830</v>
      </c>
      <c r="S15" s="23">
        <v>7830</v>
      </c>
      <c r="T15" s="23">
        <v>7830</v>
      </c>
      <c r="U15" s="23">
        <v>12030</v>
      </c>
      <c r="V15" s="24"/>
      <c r="W15" s="24"/>
      <c r="X15" s="24"/>
    </row>
    <row r="16" spans="1:24" ht="15" x14ac:dyDescent="0.2">
      <c r="B16" s="8" t="str">
        <f t="shared" si="0"/>
        <v>NER-NR</v>
      </c>
      <c r="C16" s="8" t="str">
        <f t="shared" si="1"/>
        <v>NR-NER</v>
      </c>
      <c r="E16" s="8" t="s">
        <v>12</v>
      </c>
      <c r="F16" s="8" t="s">
        <v>9</v>
      </c>
      <c r="G16" s="20" t="s">
        <v>157</v>
      </c>
      <c r="H16" s="23">
        <v>3000</v>
      </c>
      <c r="I16" s="23">
        <v>3000</v>
      </c>
      <c r="J16" s="23">
        <v>3000</v>
      </c>
      <c r="K16" s="23">
        <v>3000</v>
      </c>
      <c r="L16" s="99">
        <v>3000</v>
      </c>
      <c r="M16" s="23">
        <v>3000</v>
      </c>
      <c r="N16" s="23">
        <v>3000</v>
      </c>
      <c r="O16" s="23">
        <v>3000</v>
      </c>
      <c r="P16" s="23">
        <v>3000</v>
      </c>
      <c r="Q16" s="23">
        <v>3000</v>
      </c>
      <c r="R16" s="23">
        <v>3000</v>
      </c>
      <c r="S16" s="23">
        <v>3000</v>
      </c>
      <c r="T16" s="23">
        <v>3000</v>
      </c>
      <c r="U16" s="23">
        <v>3000</v>
      </c>
      <c r="V16" s="24"/>
      <c r="W16" s="24"/>
      <c r="X16" s="24"/>
    </row>
    <row r="17" spans="3:24" ht="15" x14ac:dyDescent="0.2">
      <c r="G17" s="20" t="s">
        <v>160</v>
      </c>
      <c r="H17" s="28">
        <f t="shared" ref="H17:U17" si="2">SUM(H10:H16)</f>
        <v>112250</v>
      </c>
      <c r="I17" s="28">
        <f t="shared" si="2"/>
        <v>118740</v>
      </c>
      <c r="J17" s="28">
        <f t="shared" si="2"/>
        <v>112250</v>
      </c>
      <c r="K17" s="28">
        <f t="shared" si="2"/>
        <v>130340</v>
      </c>
      <c r="L17" s="28">
        <f t="shared" si="2"/>
        <v>112250</v>
      </c>
      <c r="M17" s="28">
        <f t="shared" si="2"/>
        <v>138740</v>
      </c>
      <c r="N17" s="28">
        <f t="shared" si="2"/>
        <v>112340</v>
      </c>
      <c r="O17" s="28">
        <f t="shared" si="2"/>
        <v>133940</v>
      </c>
      <c r="P17" s="28">
        <f t="shared" si="2"/>
        <v>116540</v>
      </c>
      <c r="Q17" s="28">
        <f t="shared" si="2"/>
        <v>134540</v>
      </c>
      <c r="R17" s="28">
        <f t="shared" si="2"/>
        <v>118740</v>
      </c>
      <c r="S17" s="28">
        <f t="shared" si="2"/>
        <v>138740</v>
      </c>
      <c r="T17" s="28">
        <f t="shared" si="2"/>
        <v>120340</v>
      </c>
      <c r="U17" s="28">
        <f t="shared" si="2"/>
        <v>161540</v>
      </c>
      <c r="V17" s="29"/>
      <c r="W17" s="29"/>
      <c r="X17" s="29"/>
    </row>
    <row r="18" spans="3:24" ht="15" x14ac:dyDescent="0.2">
      <c r="G18" s="30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</row>
    <row r="19" spans="3:24" ht="67.5" x14ac:dyDescent="0.25">
      <c r="E19" s="14" t="s">
        <v>146</v>
      </c>
      <c r="F19" s="14" t="s">
        <v>147</v>
      </c>
      <c r="G19" s="12"/>
      <c r="H19" s="12"/>
      <c r="I19" s="14" t="s">
        <v>161</v>
      </c>
      <c r="J19" s="12"/>
      <c r="K19" s="14" t="s">
        <v>162</v>
      </c>
      <c r="L19" s="12"/>
      <c r="M19" s="14" t="s">
        <v>163</v>
      </c>
      <c r="N19" s="12"/>
      <c r="O19" s="14" t="s">
        <v>164</v>
      </c>
      <c r="P19" s="12"/>
      <c r="Q19" s="14" t="s">
        <v>165</v>
      </c>
      <c r="R19" s="12"/>
      <c r="S19" s="14" t="s">
        <v>166</v>
      </c>
      <c r="T19" s="15"/>
      <c r="U19" s="14" t="s">
        <v>167</v>
      </c>
      <c r="V19" s="15"/>
      <c r="W19" s="15" t="str">
        <f t="shared" ref="W19:X33" si="3">E19</f>
        <v>From</v>
      </c>
      <c r="X19" s="15" t="str">
        <f t="shared" si="3"/>
        <v>To</v>
      </c>
    </row>
    <row r="20" spans="3:24" ht="15" x14ac:dyDescent="0.25">
      <c r="C20" s="8" t="str">
        <f t="shared" ref="C20:C33" si="4">E20&amp;"-"&amp;F20</f>
        <v>SR-WR</v>
      </c>
      <c r="D20" s="8">
        <v>1</v>
      </c>
      <c r="E20" s="31" t="s">
        <v>8</v>
      </c>
      <c r="F20" s="31" t="s">
        <v>11</v>
      </c>
      <c r="G20" s="32"/>
      <c r="H20" s="32"/>
      <c r="I20" s="33">
        <v>23920</v>
      </c>
      <c r="J20" s="32"/>
      <c r="K20" s="33">
        <v>28120</v>
      </c>
      <c r="L20" s="32"/>
      <c r="M20" s="34">
        <v>25120</v>
      </c>
      <c r="N20" s="35">
        <f>M20/MAX(M20:M21)</f>
        <v>0.89331436699857758</v>
      </c>
      <c r="O20" s="34">
        <v>25120</v>
      </c>
      <c r="P20" s="35">
        <f>O20/MAX(O20:O21)</f>
        <v>0.89331436699857758</v>
      </c>
      <c r="Q20" s="34">
        <v>25120</v>
      </c>
      <c r="R20" s="35">
        <f>Q20/MAX(Q20:Q21)</f>
        <v>0.89331436699857758</v>
      </c>
      <c r="S20" s="34">
        <v>25120</v>
      </c>
      <c r="T20" s="35">
        <f>S20/MAX(S20:S21)</f>
        <v>0.89331436699857758</v>
      </c>
      <c r="U20" s="34">
        <v>29320</v>
      </c>
      <c r="V20" s="35">
        <f>U20/MAX(U20:U21)</f>
        <v>0.90717821782178221</v>
      </c>
      <c r="W20" s="36" t="str">
        <f t="shared" si="3"/>
        <v>SR</v>
      </c>
      <c r="X20" s="36" t="str">
        <f t="shared" si="3"/>
        <v>WR</v>
      </c>
    </row>
    <row r="21" spans="3:24" ht="17.45" customHeight="1" x14ac:dyDescent="0.25">
      <c r="C21" s="8" t="str">
        <f t="shared" si="4"/>
        <v>WR-SR</v>
      </c>
      <c r="D21" s="8">
        <v>2</v>
      </c>
      <c r="E21" s="31" t="s">
        <v>11</v>
      </c>
      <c r="F21" s="31" t="s">
        <v>8</v>
      </c>
      <c r="G21" s="32"/>
      <c r="H21" s="32"/>
      <c r="I21" s="33">
        <v>23920</v>
      </c>
      <c r="J21" s="32"/>
      <c r="K21" s="33">
        <v>28120</v>
      </c>
      <c r="L21" s="32"/>
      <c r="M21" s="34">
        <v>28120</v>
      </c>
      <c r="N21" s="35">
        <f>M21/MAX(M21:M22)</f>
        <v>1</v>
      </c>
      <c r="O21" s="34">
        <v>28120</v>
      </c>
      <c r="P21" s="35">
        <f>O21/MAX(O21:O22)</f>
        <v>1</v>
      </c>
      <c r="Q21" s="34">
        <v>28120</v>
      </c>
      <c r="R21" s="35">
        <f>Q21/MAX(Q21:Q22)</f>
        <v>1</v>
      </c>
      <c r="S21" s="34">
        <v>28120</v>
      </c>
      <c r="T21" s="35">
        <f>S21/MAX(S21:S22)</f>
        <v>1</v>
      </c>
      <c r="U21" s="34">
        <v>32320</v>
      </c>
      <c r="V21" s="35">
        <f>U21/MAX(U21:U22)</f>
        <v>1</v>
      </c>
      <c r="W21" s="36" t="str">
        <f t="shared" si="3"/>
        <v>WR</v>
      </c>
      <c r="X21" s="36" t="str">
        <f t="shared" si="3"/>
        <v>SR</v>
      </c>
    </row>
    <row r="22" spans="3:24" ht="15" x14ac:dyDescent="0.25">
      <c r="C22" s="8" t="str">
        <f t="shared" si="4"/>
        <v>SR-ER</v>
      </c>
      <c r="D22" s="8">
        <v>3</v>
      </c>
      <c r="E22" s="20" t="s">
        <v>8</v>
      </c>
      <c r="F22" s="20" t="s">
        <v>10</v>
      </c>
      <c r="I22" s="37">
        <v>7830</v>
      </c>
      <c r="K22" s="37">
        <v>7830</v>
      </c>
      <c r="M22" s="38">
        <v>5830</v>
      </c>
      <c r="N22" s="39">
        <f>M22/MAX(M22:M23)</f>
        <v>0.7445721583652618</v>
      </c>
      <c r="O22" s="38">
        <v>5830</v>
      </c>
      <c r="P22" s="39">
        <f>O22/MAX(O22:O23)</f>
        <v>0.7445721583652618</v>
      </c>
      <c r="Q22" s="38">
        <v>5830</v>
      </c>
      <c r="R22" s="39">
        <f>Q22/MAX(Q22:Q23)</f>
        <v>0.7445721583652618</v>
      </c>
      <c r="S22" s="38">
        <v>5830</v>
      </c>
      <c r="T22" s="39">
        <f>S22/MAX(S22:S23)</f>
        <v>0.7445721583652618</v>
      </c>
      <c r="U22" s="38">
        <v>9530</v>
      </c>
      <c r="V22" s="39">
        <f>U22/MAX(U22:U23)</f>
        <v>0.79218620116375726</v>
      </c>
      <c r="W22" s="30" t="str">
        <f t="shared" si="3"/>
        <v>SR</v>
      </c>
      <c r="X22" s="30" t="str">
        <f t="shared" si="3"/>
        <v>ER</v>
      </c>
    </row>
    <row r="23" spans="3:24" ht="15" x14ac:dyDescent="0.25">
      <c r="C23" s="8" t="str">
        <f t="shared" si="4"/>
        <v>ER-SR</v>
      </c>
      <c r="D23" s="8">
        <v>4</v>
      </c>
      <c r="E23" s="20" t="s">
        <v>10</v>
      </c>
      <c r="F23" s="20" t="s">
        <v>8</v>
      </c>
      <c r="I23" s="37">
        <v>7830</v>
      </c>
      <c r="K23" s="37">
        <v>7830</v>
      </c>
      <c r="M23" s="38">
        <v>7830</v>
      </c>
      <c r="N23" s="39">
        <f>M23/MAX(M22:M23)</f>
        <v>1</v>
      </c>
      <c r="O23" s="38">
        <v>7830</v>
      </c>
      <c r="P23" s="39">
        <f>O23/MAX(O22:O23)</f>
        <v>1</v>
      </c>
      <c r="Q23" s="38">
        <v>7830</v>
      </c>
      <c r="R23" s="39">
        <f>Q23/MAX(Q22:Q23)</f>
        <v>1</v>
      </c>
      <c r="S23" s="38">
        <v>7830</v>
      </c>
      <c r="T23" s="39">
        <f>S23/MAX(S22:S23)</f>
        <v>1</v>
      </c>
      <c r="U23" s="38">
        <v>12030</v>
      </c>
      <c r="V23" s="39">
        <f>U23/MAX(U22:U23)</f>
        <v>1</v>
      </c>
      <c r="W23" s="30" t="str">
        <f t="shared" si="3"/>
        <v>ER</v>
      </c>
      <c r="X23" s="30" t="str">
        <f t="shared" si="3"/>
        <v>SR</v>
      </c>
    </row>
    <row r="24" spans="3:24" ht="15" x14ac:dyDescent="0.25">
      <c r="C24" s="8" t="str">
        <f t="shared" si="4"/>
        <v>WR-NR</v>
      </c>
      <c r="D24" s="8">
        <v>5</v>
      </c>
      <c r="E24" s="40" t="s">
        <v>11</v>
      </c>
      <c r="F24" s="40" t="s">
        <v>12</v>
      </c>
      <c r="G24" s="41"/>
      <c r="H24" s="41"/>
      <c r="I24" s="42">
        <v>36720</v>
      </c>
      <c r="J24" s="41"/>
      <c r="K24" s="42">
        <v>45520</v>
      </c>
      <c r="L24" s="41"/>
      <c r="M24" s="43">
        <v>45170</v>
      </c>
      <c r="N24" s="44">
        <f>M24/MAX(M24:M25)</f>
        <v>0.88707776904948943</v>
      </c>
      <c r="O24" s="42">
        <v>45170</v>
      </c>
      <c r="P24" s="44">
        <f>O24/MAX(O24:O25)</f>
        <v>0.88707776904948943</v>
      </c>
      <c r="Q24" s="45">
        <v>46720</v>
      </c>
      <c r="R24" s="44">
        <f>Q24/MAX(Q24:Q25)</f>
        <v>1</v>
      </c>
      <c r="S24" s="42">
        <v>50720</v>
      </c>
      <c r="T24" s="44">
        <f>S24/MAX(S24:S25)</f>
        <v>1</v>
      </c>
      <c r="U24" s="45">
        <v>61120</v>
      </c>
      <c r="V24" s="44">
        <f>U24/MAX(U24:U25)</f>
        <v>1</v>
      </c>
      <c r="W24" s="46" t="str">
        <f t="shared" si="3"/>
        <v>WR</v>
      </c>
      <c r="X24" s="46" t="str">
        <f t="shared" si="3"/>
        <v>NR</v>
      </c>
    </row>
    <row r="25" spans="3:24" ht="15" x14ac:dyDescent="0.25">
      <c r="C25" s="8" t="str">
        <f t="shared" si="4"/>
        <v>NR-WR</v>
      </c>
      <c r="D25" s="8">
        <v>6</v>
      </c>
      <c r="E25" s="40" t="s">
        <v>12</v>
      </c>
      <c r="F25" s="40" t="s">
        <v>11</v>
      </c>
      <c r="G25" s="41"/>
      <c r="H25" s="41"/>
      <c r="I25" s="42">
        <v>36720</v>
      </c>
      <c r="J25" s="41"/>
      <c r="K25" s="42">
        <v>45520</v>
      </c>
      <c r="L25" s="41"/>
      <c r="M25" s="43">
        <v>50920</v>
      </c>
      <c r="N25" s="44">
        <f>M25/MAX(M24:M25)</f>
        <v>1</v>
      </c>
      <c r="O25" s="42">
        <v>50920</v>
      </c>
      <c r="P25" s="44">
        <f>O25/MAX(O24:O25)</f>
        <v>1</v>
      </c>
      <c r="Q25" s="45">
        <v>40720</v>
      </c>
      <c r="R25" s="44">
        <f>Q25/MAX(Q24:Q25)</f>
        <v>0.87157534246575341</v>
      </c>
      <c r="S25" s="45">
        <v>44720</v>
      </c>
      <c r="T25" s="44">
        <f>S25/MAX(S24:S25)</f>
        <v>0.8817034700315457</v>
      </c>
      <c r="U25" s="45">
        <v>55120</v>
      </c>
      <c r="V25" s="44">
        <f>U25/MAX(U24:U25)</f>
        <v>0.90183246073298429</v>
      </c>
      <c r="W25" s="46" t="str">
        <f t="shared" si="3"/>
        <v>NR</v>
      </c>
      <c r="X25" s="46" t="str">
        <f t="shared" si="3"/>
        <v>WR</v>
      </c>
    </row>
    <row r="26" spans="3:24" ht="15" x14ac:dyDescent="0.25">
      <c r="C26" s="8" t="str">
        <f t="shared" si="4"/>
        <v>WR-ER</v>
      </c>
      <c r="D26" s="8">
        <v>7</v>
      </c>
      <c r="E26" s="20" t="s">
        <v>11</v>
      </c>
      <c r="F26" s="20" t="s">
        <v>10</v>
      </c>
      <c r="I26" s="37">
        <v>21190</v>
      </c>
      <c r="K26" s="38">
        <v>22790</v>
      </c>
      <c r="M26" s="38">
        <v>22790</v>
      </c>
      <c r="N26" s="39">
        <f>M26/MAX(M26:M27)</f>
        <v>1</v>
      </c>
      <c r="O26" s="38">
        <v>22790</v>
      </c>
      <c r="P26" s="39">
        <f>O26/MAX(O26:O27)</f>
        <v>1</v>
      </c>
      <c r="Q26" s="38">
        <v>22790</v>
      </c>
      <c r="R26" s="39">
        <f>Q26/MAX(Q26:Q27)</f>
        <v>1</v>
      </c>
      <c r="S26" s="38">
        <v>22790</v>
      </c>
      <c r="T26" s="39">
        <f>S26/MAX(S26:S27)</f>
        <v>1</v>
      </c>
      <c r="U26" s="38">
        <v>26990</v>
      </c>
      <c r="V26" s="39">
        <f>U26/MAX(U26:U27)</f>
        <v>1</v>
      </c>
      <c r="W26" s="30" t="str">
        <f t="shared" si="3"/>
        <v>WR</v>
      </c>
      <c r="X26" s="30" t="str">
        <f t="shared" si="3"/>
        <v>ER</v>
      </c>
    </row>
    <row r="27" spans="3:24" ht="15" x14ac:dyDescent="0.25">
      <c r="C27" s="8" t="str">
        <f t="shared" si="4"/>
        <v>ER-WR</v>
      </c>
      <c r="D27" s="8">
        <v>8</v>
      </c>
      <c r="E27" s="20" t="s">
        <v>10</v>
      </c>
      <c r="F27" s="20" t="s">
        <v>11</v>
      </c>
      <c r="I27" s="37">
        <v>21190</v>
      </c>
      <c r="K27" s="38">
        <v>22790</v>
      </c>
      <c r="M27" s="38">
        <v>22790</v>
      </c>
      <c r="N27" s="39">
        <f>M27/MAX(M26:M27)</f>
        <v>1</v>
      </c>
      <c r="O27" s="38">
        <v>22790</v>
      </c>
      <c r="P27" s="39">
        <f>O27/MAX(O26:O27)</f>
        <v>1</v>
      </c>
      <c r="Q27" s="38">
        <v>22790</v>
      </c>
      <c r="R27" s="39">
        <f>Q27/MAX(Q26:Q27)</f>
        <v>1</v>
      </c>
      <c r="S27" s="38">
        <v>22790</v>
      </c>
      <c r="T27" s="39">
        <f>S27/MAX(S26:S27)</f>
        <v>1</v>
      </c>
      <c r="U27" s="38">
        <v>26990</v>
      </c>
      <c r="V27" s="39">
        <f>U27/MAX(U26:U27)</f>
        <v>1</v>
      </c>
      <c r="W27" s="30" t="str">
        <f t="shared" si="3"/>
        <v>ER</v>
      </c>
      <c r="X27" s="30" t="str">
        <f t="shared" si="3"/>
        <v>WR</v>
      </c>
    </row>
    <row r="28" spans="3:24" ht="15" x14ac:dyDescent="0.25">
      <c r="C28" s="8" t="str">
        <f t="shared" si="4"/>
        <v>ER-NER</v>
      </c>
      <c r="D28" s="8">
        <v>9</v>
      </c>
      <c r="E28" s="47" t="s">
        <v>10</v>
      </c>
      <c r="F28" s="47" t="s">
        <v>9</v>
      </c>
      <c r="G28" s="48"/>
      <c r="H28" s="48"/>
      <c r="I28" s="49">
        <v>3550</v>
      </c>
      <c r="J28" s="48"/>
      <c r="K28" s="49">
        <v>3550</v>
      </c>
      <c r="L28" s="48"/>
      <c r="M28" s="49">
        <v>3550</v>
      </c>
      <c r="N28" s="50">
        <f>M28/MAX(M28:M29)</f>
        <v>1</v>
      </c>
      <c r="O28" s="49">
        <v>3550</v>
      </c>
      <c r="P28" s="50">
        <f>O28/MAX(O28:O29)</f>
        <v>1</v>
      </c>
      <c r="Q28" s="49">
        <v>3550</v>
      </c>
      <c r="R28" s="50">
        <f>Q28/MAX(Q28:Q29)</f>
        <v>1</v>
      </c>
      <c r="S28" s="49">
        <v>3550</v>
      </c>
      <c r="T28" s="50">
        <f>S28/MAX(S28:S29)</f>
        <v>1</v>
      </c>
      <c r="U28" s="49">
        <v>3550</v>
      </c>
      <c r="V28" s="50">
        <f>U28/MAX(U28:U29)</f>
        <v>1</v>
      </c>
      <c r="W28" s="51" t="str">
        <f t="shared" si="3"/>
        <v>ER</v>
      </c>
      <c r="X28" s="51" t="str">
        <f t="shared" si="3"/>
        <v>NER</v>
      </c>
    </row>
    <row r="29" spans="3:24" ht="15" x14ac:dyDescent="0.25">
      <c r="C29" s="8" t="str">
        <f t="shared" si="4"/>
        <v>NER-ER</v>
      </c>
      <c r="D29" s="8">
        <v>10</v>
      </c>
      <c r="E29" s="47" t="s">
        <v>9</v>
      </c>
      <c r="F29" s="47" t="s">
        <v>10</v>
      </c>
      <c r="G29" s="48"/>
      <c r="H29" s="48"/>
      <c r="I29" s="49">
        <v>3550</v>
      </c>
      <c r="J29" s="48"/>
      <c r="K29" s="49">
        <v>3550</v>
      </c>
      <c r="L29" s="48"/>
      <c r="M29" s="49">
        <v>3550</v>
      </c>
      <c r="N29" s="50">
        <f>M29/MAX(M28:M29)</f>
        <v>1</v>
      </c>
      <c r="O29" s="49">
        <v>3550</v>
      </c>
      <c r="P29" s="50">
        <f>O29/MAX(O28:O29)</f>
        <v>1</v>
      </c>
      <c r="Q29" s="49">
        <v>3550</v>
      </c>
      <c r="R29" s="50">
        <f>Q29/MAX(Q28:Q29)</f>
        <v>1</v>
      </c>
      <c r="S29" s="49">
        <v>3550</v>
      </c>
      <c r="T29" s="50">
        <f>S29/MAX(S28:S29)</f>
        <v>1</v>
      </c>
      <c r="U29" s="49">
        <v>3550</v>
      </c>
      <c r="V29" s="50">
        <f>U29/MAX(U28:U29)</f>
        <v>1</v>
      </c>
      <c r="W29" s="51" t="str">
        <f t="shared" si="3"/>
        <v>NER</v>
      </c>
      <c r="X29" s="51" t="str">
        <f t="shared" si="3"/>
        <v>ER</v>
      </c>
    </row>
    <row r="30" spans="3:24" ht="15" x14ac:dyDescent="0.25">
      <c r="C30" s="8" t="str">
        <f t="shared" si="4"/>
        <v>ER-NR</v>
      </c>
      <c r="D30" s="8">
        <v>11</v>
      </c>
      <c r="E30" s="20" t="s">
        <v>10</v>
      </c>
      <c r="F30" s="20" t="s">
        <v>12</v>
      </c>
      <c r="I30" s="37">
        <v>22530</v>
      </c>
      <c r="K30" s="37">
        <v>22530</v>
      </c>
      <c r="M30" s="38">
        <v>22530</v>
      </c>
      <c r="N30" s="39">
        <f>M30/MAX(M30:M31)</f>
        <v>1</v>
      </c>
      <c r="O30" s="38">
        <v>22530</v>
      </c>
      <c r="P30" s="39">
        <f>O30/MAX(O30:O31)</f>
        <v>1</v>
      </c>
      <c r="Q30" s="38">
        <v>22530</v>
      </c>
      <c r="R30" s="39">
        <f>Q30/MAX(Q30:Q31)</f>
        <v>1</v>
      </c>
      <c r="S30" s="38">
        <v>22630</v>
      </c>
      <c r="T30" s="39">
        <f>S30/MAX(S30:S31)</f>
        <v>1</v>
      </c>
      <c r="U30" s="38">
        <v>22530</v>
      </c>
      <c r="V30" s="39">
        <f>U30/MAX(U30:U31)</f>
        <v>1</v>
      </c>
      <c r="W30" s="30" t="str">
        <f t="shared" si="3"/>
        <v>ER</v>
      </c>
      <c r="X30" s="30" t="str">
        <f t="shared" si="3"/>
        <v>NR</v>
      </c>
    </row>
    <row r="31" spans="3:24" ht="15" x14ac:dyDescent="0.25">
      <c r="C31" s="8" t="str">
        <f t="shared" si="4"/>
        <v>NR-ER</v>
      </c>
      <c r="D31" s="8">
        <v>12</v>
      </c>
      <c r="E31" s="20" t="s">
        <v>12</v>
      </c>
      <c r="F31" s="20" t="s">
        <v>10</v>
      </c>
      <c r="I31" s="37">
        <v>22530</v>
      </c>
      <c r="K31" s="37">
        <v>22530</v>
      </c>
      <c r="M31" s="38">
        <v>19530</v>
      </c>
      <c r="N31" s="39">
        <f>M31/MAX(M30:M31)</f>
        <v>0.86684420772303594</v>
      </c>
      <c r="O31" s="38">
        <v>19530</v>
      </c>
      <c r="P31" s="39">
        <f>O31/MAX(O30:O31)</f>
        <v>0.86684420772303594</v>
      </c>
      <c r="Q31" s="38">
        <v>19530</v>
      </c>
      <c r="R31" s="39">
        <f>Q31/MAX(Q30:Q31)</f>
        <v>0.86684420772303594</v>
      </c>
      <c r="S31" s="38">
        <v>19530</v>
      </c>
      <c r="T31" s="39">
        <f>S31/MAX(S30:S31)</f>
        <v>0.86301369863013699</v>
      </c>
      <c r="U31" s="38">
        <v>19530</v>
      </c>
      <c r="V31" s="39">
        <f>U31/MAX(U30:U31)</f>
        <v>0.86684420772303594</v>
      </c>
      <c r="W31" s="30" t="str">
        <f t="shared" si="3"/>
        <v>NR</v>
      </c>
      <c r="X31" s="30" t="str">
        <f t="shared" si="3"/>
        <v>ER</v>
      </c>
    </row>
    <row r="32" spans="3:24" ht="15" x14ac:dyDescent="0.25">
      <c r="C32" s="8" t="str">
        <f t="shared" si="4"/>
        <v>NR-NER</v>
      </c>
      <c r="D32" s="8">
        <v>13</v>
      </c>
      <c r="E32" s="52" t="s">
        <v>12</v>
      </c>
      <c r="F32" s="52" t="s">
        <v>9</v>
      </c>
      <c r="G32" s="53"/>
      <c r="H32" s="53"/>
      <c r="I32" s="54">
        <v>3000</v>
      </c>
      <c r="J32" s="53"/>
      <c r="K32" s="54">
        <v>3000</v>
      </c>
      <c r="L32" s="53"/>
      <c r="M32" s="55">
        <v>1500</v>
      </c>
      <c r="N32" s="56">
        <f>M32/MAX(M32:M33)</f>
        <v>0.5</v>
      </c>
      <c r="O32" s="55">
        <v>1500</v>
      </c>
      <c r="P32" s="56">
        <f>O32/MAX(O32:O33)</f>
        <v>0.5</v>
      </c>
      <c r="Q32" s="55">
        <v>1500</v>
      </c>
      <c r="R32" s="56">
        <f>Q32/MAX(Q32:Q33)</f>
        <v>0.5</v>
      </c>
      <c r="S32" s="55">
        <v>1500</v>
      </c>
      <c r="T32" s="56">
        <f>S32/MAX(S32:S33)</f>
        <v>0.5</v>
      </c>
      <c r="U32" s="55">
        <v>1500</v>
      </c>
      <c r="V32" s="56">
        <f>U32/MAX(U32:U33)</f>
        <v>0.5</v>
      </c>
      <c r="W32" s="57" t="str">
        <f t="shared" si="3"/>
        <v>NR</v>
      </c>
      <c r="X32" s="57" t="str">
        <f t="shared" si="3"/>
        <v>NER</v>
      </c>
    </row>
    <row r="33" spans="3:24" ht="15" x14ac:dyDescent="0.25">
      <c r="C33" s="8" t="str">
        <f t="shared" si="4"/>
        <v>NER-NR</v>
      </c>
      <c r="D33" s="8">
        <v>14</v>
      </c>
      <c r="E33" s="52" t="s">
        <v>9</v>
      </c>
      <c r="F33" s="52" t="s">
        <v>12</v>
      </c>
      <c r="G33" s="53"/>
      <c r="H33" s="53"/>
      <c r="I33" s="54">
        <v>3000</v>
      </c>
      <c r="J33" s="53"/>
      <c r="K33" s="54">
        <v>3000</v>
      </c>
      <c r="L33" s="53"/>
      <c r="M33" s="55">
        <v>3000</v>
      </c>
      <c r="N33" s="56">
        <f>M33/MAX(M32:M33)</f>
        <v>1</v>
      </c>
      <c r="O33" s="55">
        <v>3000</v>
      </c>
      <c r="P33" s="56">
        <f>O33/MAX(O32:O33)</f>
        <v>1</v>
      </c>
      <c r="Q33" s="55">
        <v>3000</v>
      </c>
      <c r="R33" s="56">
        <f>Q33/MAX(Q32:Q33)</f>
        <v>1</v>
      </c>
      <c r="S33" s="55">
        <v>3000</v>
      </c>
      <c r="T33" s="56">
        <f>S33/MAX(S32:S33)</f>
        <v>1</v>
      </c>
      <c r="U33" s="55">
        <v>3000</v>
      </c>
      <c r="V33" s="56">
        <f>U33/MAX(U32:U33)</f>
        <v>1</v>
      </c>
      <c r="W33" s="57" t="str">
        <f t="shared" si="3"/>
        <v>NER</v>
      </c>
      <c r="X33" s="57" t="str">
        <f t="shared" si="3"/>
        <v>NR</v>
      </c>
    </row>
    <row r="34" spans="3:24" ht="15" x14ac:dyDescent="0.25">
      <c r="I34" s="58"/>
    </row>
    <row r="36" spans="3:24" ht="51" x14ac:dyDescent="0.2">
      <c r="I36" s="59" t="s">
        <v>168</v>
      </c>
      <c r="K36" s="59" t="s">
        <v>168</v>
      </c>
      <c r="O36" s="59" t="s">
        <v>169</v>
      </c>
      <c r="Q36" s="59" t="s">
        <v>169</v>
      </c>
      <c r="S36" s="59" t="s">
        <v>170</v>
      </c>
      <c r="U36" s="59" t="s">
        <v>171</v>
      </c>
    </row>
    <row r="40" spans="3:24" x14ac:dyDescent="0.2">
      <c r="G40" s="9" t="s">
        <v>172</v>
      </c>
    </row>
    <row r="41" spans="3:24" x14ac:dyDescent="0.2">
      <c r="H41" s="8" t="s">
        <v>173</v>
      </c>
    </row>
    <row r="42" spans="3:24" x14ac:dyDescent="0.2">
      <c r="H42" s="8" t="s">
        <v>174</v>
      </c>
    </row>
    <row r="43" spans="3:24" x14ac:dyDescent="0.2">
      <c r="H43" s="8" t="s">
        <v>175</v>
      </c>
    </row>
    <row r="44" spans="3:24" x14ac:dyDescent="0.2">
      <c r="H44" s="8" t="s">
        <v>176</v>
      </c>
    </row>
    <row r="45" spans="3:24" x14ac:dyDescent="0.2">
      <c r="H45" s="60" t="s">
        <v>177</v>
      </c>
    </row>
    <row r="48" spans="3:24" x14ac:dyDescent="0.2">
      <c r="F48" s="9" t="s">
        <v>178</v>
      </c>
    </row>
    <row r="49" spans="4:35" ht="13.5" thickBot="1" x14ac:dyDescent="0.25">
      <c r="H49" s="9"/>
      <c r="I49" s="9"/>
      <c r="J49" s="9"/>
      <c r="K49" s="9"/>
      <c r="L49" s="9"/>
      <c r="M49" s="9"/>
      <c r="N49" s="9"/>
      <c r="O49" s="9"/>
      <c r="P49" s="9"/>
    </row>
    <row r="50" spans="4:35" x14ac:dyDescent="0.2">
      <c r="F50" s="9" t="s">
        <v>179</v>
      </c>
      <c r="H50" s="61" t="s">
        <v>180</v>
      </c>
      <c r="I50" s="61"/>
      <c r="J50" s="61"/>
      <c r="K50" s="61"/>
      <c r="L50" s="61"/>
      <c r="M50" s="62" t="s">
        <v>181</v>
      </c>
      <c r="N50" s="62"/>
      <c r="O50" s="62"/>
      <c r="P50" s="62"/>
      <c r="Q50" s="62"/>
      <c r="R50" s="63" t="s">
        <v>182</v>
      </c>
      <c r="S50" s="64"/>
      <c r="T50" s="64"/>
      <c r="U50" s="64"/>
      <c r="V50" s="64"/>
      <c r="W50" s="64"/>
      <c r="X50" s="64"/>
      <c r="Y50" s="64"/>
      <c r="Z50" s="64"/>
      <c r="AA50" s="65"/>
      <c r="AF50" s="12"/>
      <c r="AG50" s="12"/>
      <c r="AH50" s="12"/>
    </row>
    <row r="51" spans="4:35" ht="38.25" x14ac:dyDescent="0.2">
      <c r="F51" s="66"/>
      <c r="G51" s="66" t="s">
        <v>143</v>
      </c>
      <c r="H51" s="66">
        <v>2022</v>
      </c>
      <c r="I51" s="66">
        <f t="shared" ref="I51:AA51" si="5">H51+1</f>
        <v>2023</v>
      </c>
      <c r="J51" s="66">
        <f t="shared" si="5"/>
        <v>2024</v>
      </c>
      <c r="K51" s="66">
        <f t="shared" si="5"/>
        <v>2025</v>
      </c>
      <c r="L51" s="66">
        <f t="shared" si="5"/>
        <v>2026</v>
      </c>
      <c r="M51" s="66">
        <f t="shared" si="5"/>
        <v>2027</v>
      </c>
      <c r="N51" s="66">
        <f t="shared" si="5"/>
        <v>2028</v>
      </c>
      <c r="O51" s="66">
        <f t="shared" si="5"/>
        <v>2029</v>
      </c>
      <c r="P51" s="66">
        <f t="shared" si="5"/>
        <v>2030</v>
      </c>
      <c r="Q51" s="67">
        <f t="shared" si="5"/>
        <v>2031</v>
      </c>
      <c r="R51" s="68">
        <f t="shared" si="5"/>
        <v>2032</v>
      </c>
      <c r="S51" s="66">
        <f t="shared" si="5"/>
        <v>2033</v>
      </c>
      <c r="T51" s="66">
        <f t="shared" si="5"/>
        <v>2034</v>
      </c>
      <c r="U51" s="66">
        <f t="shared" si="5"/>
        <v>2035</v>
      </c>
      <c r="V51" s="66">
        <f t="shared" si="5"/>
        <v>2036</v>
      </c>
      <c r="W51" s="66">
        <f t="shared" si="5"/>
        <v>2037</v>
      </c>
      <c r="X51" s="66">
        <f t="shared" si="5"/>
        <v>2038</v>
      </c>
      <c r="Y51" s="66">
        <f t="shared" si="5"/>
        <v>2039</v>
      </c>
      <c r="Z51" s="66">
        <f t="shared" si="5"/>
        <v>2040</v>
      </c>
      <c r="AA51" s="69">
        <f t="shared" si="5"/>
        <v>2041</v>
      </c>
      <c r="AE51" s="18" t="s">
        <v>183</v>
      </c>
      <c r="AF51" s="18" t="s">
        <v>184</v>
      </c>
      <c r="AG51" s="18" t="s">
        <v>185</v>
      </c>
      <c r="AH51" s="18"/>
      <c r="AI51" s="18" t="s">
        <v>186</v>
      </c>
    </row>
    <row r="52" spans="4:35" ht="15" x14ac:dyDescent="0.25">
      <c r="D52" s="8" t="str">
        <f t="shared" ref="D52:D65" si="6">F52&amp;"-"&amp;G52</f>
        <v>SR-WR</v>
      </c>
      <c r="F52" s="31" t="str">
        <f t="shared" ref="F52:G65" si="7">E20</f>
        <v>SR</v>
      </c>
      <c r="G52" s="31" t="str">
        <f t="shared" si="7"/>
        <v>WR</v>
      </c>
      <c r="H52" s="34">
        <f t="shared" ref="H52:H65" si="8">_xlfn.IFNA(INDEX($H$10:$H$16,MATCH(D52,$C$10:$C$16,0)),INDEX($H$10:$H$16,MATCH(D52,$B$10:$B$16,0)))*INDEX($N$20:$N$33,MATCH(D52,$C$20:$C$33,0))</f>
        <v>16186.856330014225</v>
      </c>
      <c r="I52" s="34">
        <f t="shared" ref="I52:I65" si="9">_xlfn.IFNA(INDEX($L$10:$L$16,MATCH(D52,$C$10:$C$16,0)),INDEX($L$10:$L$16,MATCH(D52,$B$10:$B$16,0)))*INDEX($N$20:$N$33,MATCH(D52,$C$20:$C$33,0))</f>
        <v>16186.856330014225</v>
      </c>
      <c r="J52" s="34">
        <f t="shared" ref="J52:J65" si="10">_xlfn.IFNA(INDEX($P$10:$P$16,MATCH(D52,$C$10:$C$16,0)),INDEX($P$10:$P$16,MATCH(D52,$B$10:$B$16,0)))*INDEX($N$20:$N$33,MATCH(D52,$C$20:$C$33,0))</f>
        <v>19938.77667140825</v>
      </c>
      <c r="K52" s="34">
        <f t="shared" ref="K52:K65" si="11">_xlfn.IFNA(INDEX($R$10:$R$16,MATCH(D52,$C$10:$C$16,0)),INDEX($R$10:$R$16,MATCH(D52,$B$10:$B$16,0)))*INDEX($N$20:$N$33,MATCH(D52,$C$20:$C$33,0))</f>
        <v>19938.77667140825</v>
      </c>
      <c r="L52" s="34">
        <f t="shared" ref="L52:L65" si="12">_xlfn.IFNA(INDEX($T$10:$T$16,MATCH(D52,$C$10:$C$16,0)),INDEX($T$10:$T$16,MATCH(D52,$B$10:$B$16,0)))*INDEX($N$20:$N$33,MATCH(D52,$C$20:$C$33,0))</f>
        <v>19938.77667140825</v>
      </c>
      <c r="M52" s="34">
        <f t="shared" ref="M52:M65" si="13">_xlfn.IFNA(INDEX($T$10:$T$16,MATCH(D52,$C$10:$C$16,0)),INDEX($T$10:$T$16,MATCH(D52,$B$10:$B$16,0)))*INDEX($N$20:$N$33,MATCH(D52,$C$20:$C$33,0))</f>
        <v>19938.77667140825</v>
      </c>
      <c r="N52" s="34">
        <f t="shared" ref="N52:N65" si="14">_xlfn.IFNA(INDEX($Q$10:$Q$16,MATCH(D52,$C$10:$C$16,0)),INDEX($Q$10:$Q$16,MATCH(D52,$B$10:$B$16,0)))*INDEX($R$20:$R$33,MATCH(D52,$C$20:$C$33,0))</f>
        <v>25120</v>
      </c>
      <c r="O52" s="34">
        <f t="shared" ref="O52:O65" si="15">_xlfn.IFNA(INDEX($Q$10:$Q$16,MATCH(D52,$C$10:$C$16,0)),INDEX($Q$10:$Q$16,MATCH(D52,$B$10:$B$16,0)))*INDEX($R$20:$R$33,MATCH(D52,$C$20:$C$33,0))</f>
        <v>25120</v>
      </c>
      <c r="P52" s="34">
        <f t="shared" ref="P52:P65" si="16">_xlfn.IFNA(INDEX($S$10:$S$16,MATCH(D52,$C$10:$C$16,0)),INDEX($Q$10:$Q$16,MATCH(D52,$B$10:$B$16,0)))*INDEX($T$20:$T$33,MATCH(D52,$C$20:$C$33,0))</f>
        <v>25120</v>
      </c>
      <c r="Q52" s="70">
        <f t="shared" ref="Q52:Q65" si="17">_xlfn.IFNA(INDEX($U$10:$U$16,MATCH(D52,$C$10:$C$16,0)),INDEX($Q$10:$Q$16,MATCH(D52,$B$10:$B$16,0)))*INDEX($V$20:$V$33,MATCH(D52,$C$20:$C$33,0))</f>
        <v>25509.851485148516</v>
      </c>
      <c r="R52" s="71">
        <f t="shared" ref="R52:AA65" si="18">Q52*(1+MAX($AG52,$AF$67))</f>
        <v>27026.40071880956</v>
      </c>
      <c r="S52" s="34">
        <f t="shared" si="18"/>
        <v>28633.10812447944</v>
      </c>
      <c r="T52" s="34">
        <f t="shared" si="18"/>
        <v>30335.33356506241</v>
      </c>
      <c r="U52" s="34">
        <f t="shared" si="18"/>
        <v>32138.755544909334</v>
      </c>
      <c r="V52" s="34">
        <f t="shared" si="18"/>
        <v>34049.390152908818</v>
      </c>
      <c r="W52" s="34">
        <f t="shared" si="18"/>
        <v>36073.611131736638</v>
      </c>
      <c r="X52" s="34">
        <f t="shared" si="18"/>
        <v>38218.171140213031</v>
      </c>
      <c r="Y52" s="34">
        <f t="shared" si="18"/>
        <v>40490.224279697599</v>
      </c>
      <c r="Z52" s="34">
        <f t="shared" si="18"/>
        <v>42897.349959668274</v>
      </c>
      <c r="AA52" s="72">
        <f t="shared" si="18"/>
        <v>45447.57818209831</v>
      </c>
      <c r="AB52" s="73"/>
      <c r="AC52" s="74" t="str">
        <f t="shared" ref="AC52:AC65" si="19">D52</f>
        <v>SR-WR</v>
      </c>
      <c r="AE52" s="75">
        <f t="shared" ref="AE52:AE65" si="20">IFERROR((L52/H52)^(1/(L$51-H$51)),1)-1</f>
        <v>5.3498688353770696E-2</v>
      </c>
      <c r="AF52" s="75">
        <f>IFERROR((P52/L52)^(1/(P$51-L$51)),1)-1</f>
        <v>5.9449551658266486E-2</v>
      </c>
      <c r="AG52" s="75">
        <f>AF52</f>
        <v>5.9449551658266486E-2</v>
      </c>
      <c r="AH52" s="75"/>
      <c r="AI52" s="75">
        <f t="shared" ref="AI52:AI65" si="21">(AA52/J52)^(1/($AA$51-$J$51))-1</f>
        <v>4.9657899704978137E-2</v>
      </c>
    </row>
    <row r="53" spans="4:35" ht="15" x14ac:dyDescent="0.25">
      <c r="D53" s="8" t="str">
        <f t="shared" si="6"/>
        <v>WR-SR</v>
      </c>
      <c r="F53" s="31" t="str">
        <f t="shared" si="7"/>
        <v>WR</v>
      </c>
      <c r="G53" s="31" t="str">
        <f t="shared" si="7"/>
        <v>SR</v>
      </c>
      <c r="H53" s="34">
        <f t="shared" si="8"/>
        <v>18120</v>
      </c>
      <c r="I53" s="34">
        <f t="shared" si="9"/>
        <v>18120</v>
      </c>
      <c r="J53" s="34">
        <f t="shared" si="10"/>
        <v>22320</v>
      </c>
      <c r="K53" s="34">
        <f t="shared" si="11"/>
        <v>22320</v>
      </c>
      <c r="L53" s="34">
        <f t="shared" si="12"/>
        <v>22320</v>
      </c>
      <c r="M53" s="34">
        <f t="shared" si="13"/>
        <v>22320</v>
      </c>
      <c r="N53" s="34">
        <f t="shared" si="14"/>
        <v>28120</v>
      </c>
      <c r="O53" s="34">
        <f t="shared" si="15"/>
        <v>28120</v>
      </c>
      <c r="P53" s="34">
        <f t="shared" si="16"/>
        <v>28120</v>
      </c>
      <c r="Q53" s="70">
        <f t="shared" si="17"/>
        <v>32320</v>
      </c>
      <c r="R53" s="71">
        <f t="shared" si="18"/>
        <v>34241.409509595171</v>
      </c>
      <c r="S53" s="34">
        <f t="shared" si="18"/>
        <v>36277.045953087705</v>
      </c>
      <c r="T53" s="34">
        <f t="shared" si="18"/>
        <v>38433.700070485102</v>
      </c>
      <c r="U53" s="34">
        <f t="shared" si="18"/>
        <v>40718.566308243724</v>
      </c>
      <c r="V53" s="34">
        <f t="shared" si="18"/>
        <v>43139.266819436212</v>
      </c>
      <c r="W53" s="34">
        <f t="shared" si="18"/>
        <v>45703.876890718027</v>
      </c>
      <c r="X53" s="34">
        <f t="shared" si="18"/>
        <v>48420.951880915818</v>
      </c>
      <c r="Y53" s="34">
        <f t="shared" si="18"/>
        <v>51299.555761102762</v>
      </c>
      <c r="Z53" s="34">
        <f t="shared" si="18"/>
        <v>54349.291351368563</v>
      </c>
      <c r="AA53" s="72">
        <f t="shared" si="18"/>
        <v>57580.332355151928</v>
      </c>
      <c r="AB53" s="73"/>
      <c r="AC53" s="74" t="str">
        <f t="shared" si="19"/>
        <v>WR-SR</v>
      </c>
      <c r="AE53" s="75">
        <f t="shared" si="20"/>
        <v>5.3498688353770918E-2</v>
      </c>
      <c r="AF53" s="75">
        <f>IFERROR((P53/L53)^(1/(P$51-L$51)),1)-1</f>
        <v>5.9449551658266486E-2</v>
      </c>
      <c r="AG53" s="75">
        <f>AF53</f>
        <v>5.9449551658266486E-2</v>
      </c>
      <c r="AH53" s="75"/>
      <c r="AI53" s="75">
        <f t="shared" si="21"/>
        <v>5.733007817825686E-2</v>
      </c>
    </row>
    <row r="54" spans="4:35" ht="15" x14ac:dyDescent="0.25">
      <c r="D54" s="8" t="str">
        <f t="shared" si="6"/>
        <v>SR-ER</v>
      </c>
      <c r="F54" s="20" t="str">
        <f t="shared" si="7"/>
        <v>SR</v>
      </c>
      <c r="G54" s="20" t="str">
        <f t="shared" si="7"/>
        <v>ER</v>
      </c>
      <c r="H54" s="38">
        <f t="shared" si="8"/>
        <v>5830</v>
      </c>
      <c r="I54" s="38">
        <f t="shared" si="9"/>
        <v>5830</v>
      </c>
      <c r="J54" s="38">
        <f t="shared" si="10"/>
        <v>5830</v>
      </c>
      <c r="K54" s="38">
        <f t="shared" si="11"/>
        <v>5830</v>
      </c>
      <c r="L54" s="38">
        <f t="shared" si="12"/>
        <v>5830</v>
      </c>
      <c r="M54" s="38">
        <f t="shared" si="13"/>
        <v>5830</v>
      </c>
      <c r="N54" s="38">
        <f t="shared" si="14"/>
        <v>5830</v>
      </c>
      <c r="O54" s="38">
        <f t="shared" si="15"/>
        <v>5830</v>
      </c>
      <c r="P54" s="38">
        <f t="shared" si="16"/>
        <v>5830</v>
      </c>
      <c r="Q54" s="76">
        <f t="shared" si="17"/>
        <v>6202.8179551122194</v>
      </c>
      <c r="R54" s="77">
        <f t="shared" si="18"/>
        <v>6427.4240888809409</v>
      </c>
      <c r="S54" s="38">
        <f t="shared" si="18"/>
        <v>6660.1632866363225</v>
      </c>
      <c r="T54" s="38">
        <f t="shared" si="18"/>
        <v>6901.3300493730667</v>
      </c>
      <c r="U54" s="38">
        <f t="shared" si="18"/>
        <v>7151.2295420663904</v>
      </c>
      <c r="V54" s="38">
        <f t="shared" si="18"/>
        <v>7410.1779798183634</v>
      </c>
      <c r="W54" s="38">
        <f t="shared" si="18"/>
        <v>7678.5030279867333</v>
      </c>
      <c r="X54" s="38">
        <f t="shared" si="18"/>
        <v>7956.5442168025538</v>
      </c>
      <c r="Y54" s="38">
        <f t="shared" si="18"/>
        <v>8244.6533710012554</v>
      </c>
      <c r="Z54" s="38">
        <f t="shared" si="18"/>
        <v>8543.1950550108013</v>
      </c>
      <c r="AA54" s="78">
        <f t="shared" si="18"/>
        <v>8852.5470342602584</v>
      </c>
      <c r="AB54" s="73"/>
      <c r="AC54" s="74" t="str">
        <f t="shared" si="19"/>
        <v>SR-ER</v>
      </c>
      <c r="AE54" s="75">
        <f t="shared" si="20"/>
        <v>0</v>
      </c>
      <c r="AF54" s="75">
        <f>IFERROR((P54/L54)^(1/(P$51-L$51)),1)-1</f>
        <v>0</v>
      </c>
      <c r="AG54" s="75">
        <f>AF54</f>
        <v>0</v>
      </c>
      <c r="AH54" s="75"/>
      <c r="AI54" s="75">
        <f t="shared" si="21"/>
        <v>2.4874222352317954E-2</v>
      </c>
    </row>
    <row r="55" spans="4:35" ht="15" x14ac:dyDescent="0.25">
      <c r="D55" s="8" t="str">
        <f t="shared" si="6"/>
        <v>ER-SR</v>
      </c>
      <c r="F55" s="20" t="str">
        <f t="shared" si="7"/>
        <v>ER</v>
      </c>
      <c r="G55" s="20" t="str">
        <f t="shared" si="7"/>
        <v>SR</v>
      </c>
      <c r="H55" s="38">
        <f t="shared" si="8"/>
        <v>7830</v>
      </c>
      <c r="I55" s="38">
        <f t="shared" si="9"/>
        <v>7830</v>
      </c>
      <c r="J55" s="38">
        <f t="shared" si="10"/>
        <v>7830</v>
      </c>
      <c r="K55" s="38">
        <f t="shared" si="11"/>
        <v>7830</v>
      </c>
      <c r="L55" s="38">
        <f t="shared" si="12"/>
        <v>7830</v>
      </c>
      <c r="M55" s="38">
        <f t="shared" si="13"/>
        <v>7830</v>
      </c>
      <c r="N55" s="38">
        <f t="shared" si="14"/>
        <v>7830</v>
      </c>
      <c r="O55" s="38">
        <f t="shared" si="15"/>
        <v>7830</v>
      </c>
      <c r="P55" s="38">
        <f t="shared" si="16"/>
        <v>7830</v>
      </c>
      <c r="Q55" s="76">
        <f t="shared" si="17"/>
        <v>12030</v>
      </c>
      <c r="R55" s="77">
        <f t="shared" si="18"/>
        <v>12465.610364320104</v>
      </c>
      <c r="S55" s="38">
        <f t="shared" si="18"/>
        <v>12916.994327102642</v>
      </c>
      <c r="T55" s="38">
        <f t="shared" si="18"/>
        <v>13384.723055677032</v>
      </c>
      <c r="U55" s="38">
        <f t="shared" si="18"/>
        <v>13869.388399534651</v>
      </c>
      <c r="V55" s="38">
        <f t="shared" si="18"/>
        <v>14371.603639236922</v>
      </c>
      <c r="W55" s="38">
        <f t="shared" si="18"/>
        <v>14892.004262441587</v>
      </c>
      <c r="X55" s="38">
        <f t="shared" si="18"/>
        <v>15431.248768029178</v>
      </c>
      <c r="Y55" s="38">
        <f t="shared" si="18"/>
        <v>15990.019499347161</v>
      </c>
      <c r="Z55" s="38">
        <f t="shared" si="18"/>
        <v>16569.023507626145</v>
      </c>
      <c r="AA55" s="78">
        <f t="shared" si="18"/>
        <v>17168.993446660676</v>
      </c>
      <c r="AB55" s="73"/>
      <c r="AC55" s="74" t="str">
        <f t="shared" si="19"/>
        <v>ER-SR</v>
      </c>
      <c r="AE55" s="75">
        <f t="shared" si="20"/>
        <v>0</v>
      </c>
      <c r="AF55" s="75">
        <f>IFERROR((P55/L55)^(1/(P$51-L$51)),1)-1</f>
        <v>0</v>
      </c>
      <c r="AG55" s="75">
        <f>AF55</f>
        <v>0</v>
      </c>
      <c r="AH55" s="75"/>
      <c r="AI55" s="75">
        <f t="shared" si="21"/>
        <v>4.7267986120691718E-2</v>
      </c>
    </row>
    <row r="56" spans="4:35" ht="15" x14ac:dyDescent="0.25">
      <c r="D56" s="8" t="str">
        <f t="shared" si="6"/>
        <v>WR-NR</v>
      </c>
      <c r="F56" s="40" t="str">
        <f t="shared" si="7"/>
        <v>WR</v>
      </c>
      <c r="G56" s="40" t="str">
        <f t="shared" si="7"/>
        <v>NR</v>
      </c>
      <c r="H56" s="45">
        <f t="shared" si="8"/>
        <v>32573.495679497253</v>
      </c>
      <c r="I56" s="45">
        <f t="shared" si="9"/>
        <v>32573.495679497253</v>
      </c>
      <c r="J56" s="45">
        <f t="shared" si="10"/>
        <v>32573.495679497253</v>
      </c>
      <c r="K56" s="45">
        <f t="shared" si="11"/>
        <v>33992.820109976434</v>
      </c>
      <c r="L56" s="45">
        <f t="shared" si="12"/>
        <v>33992.820109976434</v>
      </c>
      <c r="M56" s="45">
        <f t="shared" si="13"/>
        <v>33992.820109976434</v>
      </c>
      <c r="N56" s="45">
        <f t="shared" si="14"/>
        <v>46720</v>
      </c>
      <c r="O56" s="45">
        <f t="shared" si="15"/>
        <v>46720</v>
      </c>
      <c r="P56" s="45">
        <f t="shared" si="16"/>
        <v>50920</v>
      </c>
      <c r="Q56" s="79">
        <f t="shared" si="17"/>
        <v>61120</v>
      </c>
      <c r="R56" s="80">
        <f t="shared" si="18"/>
        <v>65364.756597353247</v>
      </c>
      <c r="S56" s="45">
        <f t="shared" si="18"/>
        <v>69904.309637291153</v>
      </c>
      <c r="T56" s="45">
        <f t="shared" si="18"/>
        <v>74759.132600581666</v>
      </c>
      <c r="U56" s="45">
        <f t="shared" si="18"/>
        <v>79951.120842052958</v>
      </c>
      <c r="V56" s="45">
        <f t="shared" si="18"/>
        <v>85503.690339109424</v>
      </c>
      <c r="W56" s="45">
        <f t="shared" si="18"/>
        <v>91441.883298287823</v>
      </c>
      <c r="X56" s="45">
        <f t="shared" si="18"/>
        <v>97792.481096141433</v>
      </c>
      <c r="Y56" s="45">
        <f t="shared" si="18"/>
        <v>104584.12506381796</v>
      </c>
      <c r="Z56" s="45">
        <f t="shared" si="18"/>
        <v>111847.44566007219</v>
      </c>
      <c r="AA56" s="81">
        <f t="shared" si="18"/>
        <v>119615.20061528652</v>
      </c>
      <c r="AB56" s="73"/>
      <c r="AC56" s="74" t="str">
        <f t="shared" si="19"/>
        <v>WR-NR</v>
      </c>
      <c r="AE56" s="75">
        <f t="shared" si="20"/>
        <v>1.0719644903137038E-2</v>
      </c>
      <c r="AF56" s="75">
        <f t="shared" ref="AF56:AF65" si="22">IFERROR((P56/L56)^(1/(P$51-L$51)),1)-1</f>
        <v>0.10630608145134435</v>
      </c>
      <c r="AG56" s="82">
        <f>AG52+1%</f>
        <v>6.9449551658266481E-2</v>
      </c>
      <c r="AH56" s="8" t="s">
        <v>187</v>
      </c>
      <c r="AI56" s="75">
        <f t="shared" si="21"/>
        <v>7.952003320526746E-2</v>
      </c>
    </row>
    <row r="57" spans="4:35" ht="15" x14ac:dyDescent="0.25">
      <c r="D57" s="8" t="str">
        <f t="shared" si="6"/>
        <v>NR-WR</v>
      </c>
      <c r="F57" s="40" t="str">
        <f t="shared" si="7"/>
        <v>NR</v>
      </c>
      <c r="G57" s="40" t="str">
        <f t="shared" si="7"/>
        <v>WR</v>
      </c>
      <c r="H57" s="45">
        <f t="shared" si="8"/>
        <v>36720</v>
      </c>
      <c r="I57" s="45">
        <f t="shared" si="9"/>
        <v>36720</v>
      </c>
      <c r="J57" s="45">
        <f t="shared" si="10"/>
        <v>36720</v>
      </c>
      <c r="K57" s="45">
        <f t="shared" si="11"/>
        <v>38320</v>
      </c>
      <c r="L57" s="45">
        <f t="shared" si="12"/>
        <v>38320</v>
      </c>
      <c r="M57" s="45">
        <f t="shared" si="13"/>
        <v>38320</v>
      </c>
      <c r="N57" s="45">
        <f t="shared" si="14"/>
        <v>40720</v>
      </c>
      <c r="O57" s="45">
        <f t="shared" si="15"/>
        <v>40720</v>
      </c>
      <c r="P57" s="45">
        <f t="shared" si="16"/>
        <v>41193.186119873812</v>
      </c>
      <c r="Q57" s="79">
        <f t="shared" si="17"/>
        <v>42133.612565445022</v>
      </c>
      <c r="R57" s="80">
        <f t="shared" si="18"/>
        <v>43659.284911226867</v>
      </c>
      <c r="S57" s="45">
        <f t="shared" si="18"/>
        <v>45240.202368095925</v>
      </c>
      <c r="T57" s="45">
        <f t="shared" si="18"/>
        <v>46878.365380189149</v>
      </c>
      <c r="U57" s="45">
        <f t="shared" si="18"/>
        <v>48575.846828401547</v>
      </c>
      <c r="V57" s="45">
        <f t="shared" si="18"/>
        <v>50334.794653345649</v>
      </c>
      <c r="W57" s="45">
        <f t="shared" si="18"/>
        <v>52157.434573289247</v>
      </c>
      <c r="X57" s="45">
        <f t="shared" si="18"/>
        <v>54046.072900510568</v>
      </c>
      <c r="Y57" s="45">
        <f t="shared" si="18"/>
        <v>56003.099459634614</v>
      </c>
      <c r="Z57" s="45">
        <f t="shared" si="18"/>
        <v>58030.990611643465</v>
      </c>
      <c r="AA57" s="81">
        <f t="shared" si="18"/>
        <v>60132.312387386984</v>
      </c>
      <c r="AB57" s="73"/>
      <c r="AC57" s="74" t="str">
        <f t="shared" si="19"/>
        <v>NR-WR</v>
      </c>
      <c r="AE57" s="75">
        <f t="shared" si="20"/>
        <v>1.0719644903137038E-2</v>
      </c>
      <c r="AF57" s="75">
        <f t="shared" si="22"/>
        <v>1.8239571633207774E-2</v>
      </c>
      <c r="AG57" s="75">
        <f t="shared" ref="AG57:AG65" si="23">AF57</f>
        <v>1.8239571633207774E-2</v>
      </c>
      <c r="AH57" s="75"/>
      <c r="AI57" s="75">
        <f t="shared" si="21"/>
        <v>2.9438266234494304E-2</v>
      </c>
    </row>
    <row r="58" spans="4:35" ht="15" x14ac:dyDescent="0.25">
      <c r="D58" s="8" t="str">
        <f t="shared" si="6"/>
        <v>WR-ER</v>
      </c>
      <c r="F58" s="20" t="str">
        <f t="shared" si="7"/>
        <v>WR</v>
      </c>
      <c r="G58" s="20" t="str">
        <f t="shared" si="7"/>
        <v>ER</v>
      </c>
      <c r="H58" s="38">
        <f t="shared" si="8"/>
        <v>21190</v>
      </c>
      <c r="I58" s="38">
        <f t="shared" si="9"/>
        <v>21190</v>
      </c>
      <c r="J58" s="38">
        <f t="shared" si="10"/>
        <v>21190</v>
      </c>
      <c r="K58" s="38">
        <f t="shared" si="11"/>
        <v>21190</v>
      </c>
      <c r="L58" s="38">
        <f t="shared" si="12"/>
        <v>22790</v>
      </c>
      <c r="M58" s="38">
        <f t="shared" si="13"/>
        <v>22790</v>
      </c>
      <c r="N58" s="38">
        <f t="shared" si="14"/>
        <v>22790</v>
      </c>
      <c r="O58" s="38">
        <f t="shared" si="15"/>
        <v>22790</v>
      </c>
      <c r="P58" s="38">
        <f t="shared" si="16"/>
        <v>22790</v>
      </c>
      <c r="Q58" s="76">
        <f t="shared" si="17"/>
        <v>22790</v>
      </c>
      <c r="R58" s="77">
        <f t="shared" si="18"/>
        <v>23615.233599572333</v>
      </c>
      <c r="S58" s="38">
        <f t="shared" si="18"/>
        <v>24470.349186589297</v>
      </c>
      <c r="T58" s="38">
        <f t="shared" si="18"/>
        <v>25356.428797911853</v>
      </c>
      <c r="U58" s="38">
        <f t="shared" si="18"/>
        <v>26274.593651321258</v>
      </c>
      <c r="V58" s="38">
        <f t="shared" si="18"/>
        <v>27226.005564273441</v>
      </c>
      <c r="W58" s="38">
        <f t="shared" si="18"/>
        <v>28211.868424026918</v>
      </c>
      <c r="X58" s="38">
        <f t="shared" si="18"/>
        <v>29233.429711004574</v>
      </c>
      <c r="Y58" s="38">
        <f t="shared" si="18"/>
        <v>30291.982077316865</v>
      </c>
      <c r="Z58" s="38">
        <f t="shared" si="18"/>
        <v>31388.864982443883</v>
      </c>
      <c r="AA58" s="78">
        <f t="shared" si="18"/>
        <v>32525.46638814604</v>
      </c>
      <c r="AB58" s="73"/>
      <c r="AC58" s="74" t="str">
        <f t="shared" si="19"/>
        <v>WR-ER</v>
      </c>
      <c r="AE58" s="75">
        <f t="shared" si="20"/>
        <v>1.8364712525147153E-2</v>
      </c>
      <c r="AF58" s="75">
        <f t="shared" si="22"/>
        <v>0</v>
      </c>
      <c r="AG58" s="75">
        <f t="shared" si="23"/>
        <v>0</v>
      </c>
      <c r="AH58" s="75"/>
      <c r="AI58" s="75">
        <f t="shared" si="21"/>
        <v>2.5525874075948751E-2</v>
      </c>
    </row>
    <row r="59" spans="4:35" ht="15" x14ac:dyDescent="0.25">
      <c r="D59" s="8" t="str">
        <f t="shared" si="6"/>
        <v>ER-WR</v>
      </c>
      <c r="F59" s="20" t="str">
        <f t="shared" si="7"/>
        <v>ER</v>
      </c>
      <c r="G59" s="20" t="str">
        <f t="shared" si="7"/>
        <v>WR</v>
      </c>
      <c r="H59" s="38">
        <f t="shared" si="8"/>
        <v>21190</v>
      </c>
      <c r="I59" s="38">
        <f t="shared" si="9"/>
        <v>21190</v>
      </c>
      <c r="J59" s="38">
        <f t="shared" si="10"/>
        <v>21190</v>
      </c>
      <c r="K59" s="38">
        <f t="shared" si="11"/>
        <v>21190</v>
      </c>
      <c r="L59" s="38">
        <f t="shared" si="12"/>
        <v>22790</v>
      </c>
      <c r="M59" s="38">
        <f t="shared" si="13"/>
        <v>22790</v>
      </c>
      <c r="N59" s="38">
        <f t="shared" si="14"/>
        <v>22790</v>
      </c>
      <c r="O59" s="38">
        <f t="shared" si="15"/>
        <v>22790</v>
      </c>
      <c r="P59" s="38">
        <f t="shared" si="16"/>
        <v>22790</v>
      </c>
      <c r="Q59" s="76">
        <f t="shared" si="17"/>
        <v>26990</v>
      </c>
      <c r="R59" s="77">
        <f t="shared" si="18"/>
        <v>27967.317018536956</v>
      </c>
      <c r="S59" s="38">
        <f t="shared" si="18"/>
        <v>28980.02301650044</v>
      </c>
      <c r="T59" s="38">
        <f t="shared" si="18"/>
        <v>30029.399440791607</v>
      </c>
      <c r="U59" s="38">
        <f t="shared" si="18"/>
        <v>31116.774139936839</v>
      </c>
      <c r="V59" s="38">
        <f t="shared" si="18"/>
        <v>32243.523044306272</v>
      </c>
      <c r="W59" s="38">
        <f t="shared" si="18"/>
        <v>33411.071907173595</v>
      </c>
      <c r="X59" s="38">
        <f t="shared" si="18"/>
        <v>34620.898108820234</v>
      </c>
      <c r="Y59" s="38">
        <f t="shared" si="18"/>
        <v>35874.53252596673</v>
      </c>
      <c r="Z59" s="38">
        <f t="shared" si="18"/>
        <v>37173.561468896885</v>
      </c>
      <c r="AA59" s="78">
        <f t="shared" si="18"/>
        <v>38519.62868872581</v>
      </c>
      <c r="AB59" s="73"/>
      <c r="AC59" s="74" t="str">
        <f t="shared" si="19"/>
        <v>ER-WR</v>
      </c>
      <c r="AE59" s="75">
        <f t="shared" si="20"/>
        <v>1.8364712525147153E-2</v>
      </c>
      <c r="AF59" s="75">
        <f t="shared" si="22"/>
        <v>0</v>
      </c>
      <c r="AG59" s="75">
        <f t="shared" si="23"/>
        <v>0</v>
      </c>
      <c r="AH59" s="75"/>
      <c r="AI59" s="75">
        <f t="shared" si="21"/>
        <v>3.5780460123902014E-2</v>
      </c>
    </row>
    <row r="60" spans="4:35" ht="15" x14ac:dyDescent="0.25">
      <c r="D60" s="8" t="str">
        <f t="shared" si="6"/>
        <v>ER-NER</v>
      </c>
      <c r="F60" s="47" t="str">
        <f t="shared" si="7"/>
        <v>ER</v>
      </c>
      <c r="G60" s="47" t="str">
        <f t="shared" si="7"/>
        <v>NER</v>
      </c>
      <c r="H60" s="49">
        <f t="shared" si="8"/>
        <v>2860</v>
      </c>
      <c r="I60" s="49">
        <f t="shared" si="9"/>
        <v>2860</v>
      </c>
      <c r="J60" s="49">
        <f t="shared" si="10"/>
        <v>2950</v>
      </c>
      <c r="K60" s="49">
        <f t="shared" si="11"/>
        <v>3550</v>
      </c>
      <c r="L60" s="49">
        <f t="shared" si="12"/>
        <v>3550</v>
      </c>
      <c r="M60" s="49">
        <f t="shared" si="13"/>
        <v>3550</v>
      </c>
      <c r="N60" s="49">
        <f t="shared" si="14"/>
        <v>3550</v>
      </c>
      <c r="O60" s="49">
        <f t="shared" si="15"/>
        <v>3550</v>
      </c>
      <c r="P60" s="49">
        <f t="shared" si="16"/>
        <v>3550</v>
      </c>
      <c r="Q60" s="83">
        <f t="shared" si="17"/>
        <v>3550</v>
      </c>
      <c r="R60" s="84">
        <f t="shared" si="18"/>
        <v>3678.5466993629566</v>
      </c>
      <c r="S60" s="49">
        <f t="shared" si="18"/>
        <v>3811.7481181391836</v>
      </c>
      <c r="T60" s="49">
        <f t="shared" si="18"/>
        <v>3949.7728052912266</v>
      </c>
      <c r="U60" s="49">
        <f t="shared" si="18"/>
        <v>4092.7954129965092</v>
      </c>
      <c r="V60" s="49">
        <f t="shared" si="18"/>
        <v>4240.9969176468048</v>
      </c>
      <c r="W60" s="49">
        <f t="shared" si="18"/>
        <v>4394.5648488501765</v>
      </c>
      <c r="X60" s="49">
        <f t="shared" si="18"/>
        <v>4553.6935267251511</v>
      </c>
      <c r="Y60" s="49">
        <f t="shared" si="18"/>
        <v>4718.5843077873988</v>
      </c>
      <c r="Z60" s="49">
        <f t="shared" si="18"/>
        <v>4889.4458397400504</v>
      </c>
      <c r="AA60" s="85">
        <f t="shared" si="18"/>
        <v>5066.4943254900572</v>
      </c>
      <c r="AB60" s="73"/>
      <c r="AC60" s="74" t="str">
        <f t="shared" si="19"/>
        <v>ER-NER</v>
      </c>
      <c r="AE60" s="75">
        <f t="shared" si="20"/>
        <v>5.5517844811347139E-2</v>
      </c>
      <c r="AF60" s="75">
        <f t="shared" si="22"/>
        <v>0</v>
      </c>
      <c r="AG60" s="75">
        <f t="shared" si="23"/>
        <v>0</v>
      </c>
      <c r="AH60" s="75"/>
      <c r="AI60" s="75">
        <f t="shared" si="21"/>
        <v>3.2325836437942179E-2</v>
      </c>
    </row>
    <row r="61" spans="4:35" ht="15" x14ac:dyDescent="0.25">
      <c r="D61" s="8" t="str">
        <f t="shared" si="6"/>
        <v>NER-ER</v>
      </c>
      <c r="F61" s="47" t="str">
        <f t="shared" si="7"/>
        <v>NER</v>
      </c>
      <c r="G61" s="47" t="str">
        <f t="shared" si="7"/>
        <v>ER</v>
      </c>
      <c r="H61" s="49">
        <f t="shared" si="8"/>
        <v>2860</v>
      </c>
      <c r="I61" s="49">
        <f t="shared" si="9"/>
        <v>2860</v>
      </c>
      <c r="J61" s="49">
        <f t="shared" si="10"/>
        <v>2950</v>
      </c>
      <c r="K61" s="49">
        <f t="shared" si="11"/>
        <v>3550</v>
      </c>
      <c r="L61" s="49">
        <f t="shared" si="12"/>
        <v>3550</v>
      </c>
      <c r="M61" s="49">
        <f t="shared" si="13"/>
        <v>3550</v>
      </c>
      <c r="N61" s="49">
        <f t="shared" si="14"/>
        <v>3550</v>
      </c>
      <c r="O61" s="49">
        <f t="shared" si="15"/>
        <v>3550</v>
      </c>
      <c r="P61" s="49">
        <f t="shared" si="16"/>
        <v>3550</v>
      </c>
      <c r="Q61" s="83">
        <f t="shared" si="17"/>
        <v>3550</v>
      </c>
      <c r="R61" s="84">
        <f t="shared" si="18"/>
        <v>3678.5466993629566</v>
      </c>
      <c r="S61" s="49">
        <f t="shared" si="18"/>
        <v>3811.7481181391836</v>
      </c>
      <c r="T61" s="49">
        <f t="shared" si="18"/>
        <v>3949.7728052912266</v>
      </c>
      <c r="U61" s="49">
        <f t="shared" si="18"/>
        <v>4092.7954129965092</v>
      </c>
      <c r="V61" s="49">
        <f t="shared" si="18"/>
        <v>4240.9969176468048</v>
      </c>
      <c r="W61" s="49">
        <f t="shared" si="18"/>
        <v>4394.5648488501765</v>
      </c>
      <c r="X61" s="49">
        <f t="shared" si="18"/>
        <v>4553.6935267251511</v>
      </c>
      <c r="Y61" s="49">
        <f t="shared" si="18"/>
        <v>4718.5843077873988</v>
      </c>
      <c r="Z61" s="49">
        <f t="shared" si="18"/>
        <v>4889.4458397400504</v>
      </c>
      <c r="AA61" s="85">
        <f t="shared" si="18"/>
        <v>5066.4943254900572</v>
      </c>
      <c r="AB61" s="73"/>
      <c r="AC61" s="74" t="str">
        <f t="shared" si="19"/>
        <v>NER-ER</v>
      </c>
      <c r="AE61" s="75">
        <f t="shared" si="20"/>
        <v>5.5517844811347139E-2</v>
      </c>
      <c r="AF61" s="75">
        <f t="shared" si="22"/>
        <v>0</v>
      </c>
      <c r="AG61" s="75">
        <f t="shared" si="23"/>
        <v>0</v>
      </c>
      <c r="AH61" s="75"/>
      <c r="AI61" s="75">
        <f t="shared" si="21"/>
        <v>3.2325836437942179E-2</v>
      </c>
    </row>
    <row r="62" spans="4:35" ht="15" x14ac:dyDescent="0.25">
      <c r="D62" s="8" t="str">
        <f t="shared" si="6"/>
        <v>ER-NR</v>
      </c>
      <c r="F62" s="20" t="str">
        <f t="shared" si="7"/>
        <v>ER</v>
      </c>
      <c r="G62" s="20" t="str">
        <f t="shared" si="7"/>
        <v>NR</v>
      </c>
      <c r="H62" s="38">
        <f t="shared" si="8"/>
        <v>22530</v>
      </c>
      <c r="I62" s="38">
        <f t="shared" si="9"/>
        <v>22530</v>
      </c>
      <c r="J62" s="38">
        <f t="shared" si="10"/>
        <v>22530</v>
      </c>
      <c r="K62" s="38">
        <f t="shared" si="11"/>
        <v>22530</v>
      </c>
      <c r="L62" s="38">
        <f t="shared" si="12"/>
        <v>22530</v>
      </c>
      <c r="M62" s="38">
        <f t="shared" si="13"/>
        <v>22530</v>
      </c>
      <c r="N62" s="38">
        <f t="shared" si="14"/>
        <v>22530</v>
      </c>
      <c r="O62" s="38">
        <f t="shared" si="15"/>
        <v>22530</v>
      </c>
      <c r="P62" s="38">
        <f t="shared" si="16"/>
        <v>22530</v>
      </c>
      <c r="Q62" s="76">
        <f t="shared" si="17"/>
        <v>22530</v>
      </c>
      <c r="R62" s="77">
        <f t="shared" si="18"/>
        <v>23345.818911731665</v>
      </c>
      <c r="S62" s="38">
        <f t="shared" si="18"/>
        <v>24191.17890188051</v>
      </c>
      <c r="T62" s="38">
        <f t="shared" si="18"/>
        <v>25067.149662876436</v>
      </c>
      <c r="U62" s="38">
        <f t="shared" si="18"/>
        <v>25974.839621073625</v>
      </c>
      <c r="V62" s="38">
        <f t="shared" si="18"/>
        <v>26915.397339319024</v>
      </c>
      <c r="W62" s="38">
        <f t="shared" si="18"/>
        <v>27890.012970308311</v>
      </c>
      <c r="X62" s="38">
        <f t="shared" si="18"/>
        <v>28899.919762568363</v>
      </c>
      <c r="Y62" s="38">
        <f t="shared" si="18"/>
        <v>29946.395620971867</v>
      </c>
      <c r="Z62" s="38">
        <f t="shared" si="18"/>
        <v>31030.764723758693</v>
      </c>
      <c r="AA62" s="78">
        <f t="shared" si="18"/>
        <v>32154.399198110143</v>
      </c>
      <c r="AB62" s="73"/>
      <c r="AC62" s="74" t="str">
        <f t="shared" si="19"/>
        <v>ER-NR</v>
      </c>
      <c r="AE62" s="75">
        <f t="shared" si="20"/>
        <v>0</v>
      </c>
      <c r="AF62" s="75">
        <f t="shared" si="22"/>
        <v>0</v>
      </c>
      <c r="AG62" s="75">
        <f t="shared" si="23"/>
        <v>0</v>
      </c>
      <c r="AH62" s="75"/>
      <c r="AI62" s="75">
        <f t="shared" si="21"/>
        <v>2.1144052499428856E-2</v>
      </c>
    </row>
    <row r="63" spans="4:35" ht="15" x14ac:dyDescent="0.25">
      <c r="D63" s="8" t="str">
        <f t="shared" si="6"/>
        <v>NR-ER</v>
      </c>
      <c r="F63" s="20" t="str">
        <f t="shared" si="7"/>
        <v>NR</v>
      </c>
      <c r="G63" s="20" t="str">
        <f t="shared" si="7"/>
        <v>ER</v>
      </c>
      <c r="H63" s="38">
        <f t="shared" si="8"/>
        <v>19530</v>
      </c>
      <c r="I63" s="38">
        <f t="shared" si="9"/>
        <v>19530</v>
      </c>
      <c r="J63" s="38">
        <f t="shared" si="10"/>
        <v>19530</v>
      </c>
      <c r="K63" s="38">
        <f t="shared" si="11"/>
        <v>19530</v>
      </c>
      <c r="L63" s="38">
        <f t="shared" si="12"/>
        <v>19530</v>
      </c>
      <c r="M63" s="38">
        <f t="shared" si="13"/>
        <v>19530</v>
      </c>
      <c r="N63" s="38">
        <f t="shared" si="14"/>
        <v>19530</v>
      </c>
      <c r="O63" s="38">
        <f t="shared" si="15"/>
        <v>19530</v>
      </c>
      <c r="P63" s="38">
        <f t="shared" si="16"/>
        <v>19443.698630136987</v>
      </c>
      <c r="Q63" s="76">
        <f t="shared" si="17"/>
        <v>19530</v>
      </c>
      <c r="R63" s="77">
        <f t="shared" si="18"/>
        <v>20237.187898185504</v>
      </c>
      <c r="S63" s="38">
        <f t="shared" si="18"/>
        <v>20969.983309086834</v>
      </c>
      <c r="T63" s="38">
        <f t="shared" si="18"/>
        <v>21729.31348939089</v>
      </c>
      <c r="U63" s="38">
        <f t="shared" si="18"/>
        <v>22516.139272062486</v>
      </c>
      <c r="V63" s="38">
        <f t="shared" si="18"/>
        <v>23331.456282152707</v>
      </c>
      <c r="W63" s="38">
        <f t="shared" si="18"/>
        <v>24176.296196632102</v>
      </c>
      <c r="X63" s="38">
        <f t="shared" si="18"/>
        <v>25051.728049842881</v>
      </c>
      <c r="Y63" s="38">
        <f t="shared" si="18"/>
        <v>25958.859586221952</v>
      </c>
      <c r="Z63" s="38">
        <f t="shared" si="18"/>
        <v>26898.838662006536</v>
      </c>
      <c r="AA63" s="78">
        <f t="shared" si="18"/>
        <v>27872.85469769601</v>
      </c>
      <c r="AB63" s="73"/>
      <c r="AC63" s="74" t="str">
        <f t="shared" si="19"/>
        <v>NR-ER</v>
      </c>
      <c r="AE63" s="75">
        <f t="shared" si="20"/>
        <v>0</v>
      </c>
      <c r="AF63" s="75">
        <f t="shared" si="22"/>
        <v>-1.1065636067839613E-3</v>
      </c>
      <c r="AG63" s="75">
        <f t="shared" si="23"/>
        <v>-1.1065636067839613E-3</v>
      </c>
      <c r="AH63" s="75"/>
      <c r="AI63" s="75">
        <f t="shared" si="21"/>
        <v>2.1144052499428856E-2</v>
      </c>
    </row>
    <row r="64" spans="4:35" ht="15" x14ac:dyDescent="0.25">
      <c r="D64" s="8" t="str">
        <f t="shared" si="6"/>
        <v>NR-NER</v>
      </c>
      <c r="F64" s="52" t="str">
        <f t="shared" si="7"/>
        <v>NR</v>
      </c>
      <c r="G64" s="52" t="str">
        <f t="shared" si="7"/>
        <v>NER</v>
      </c>
      <c r="H64" s="55">
        <f t="shared" si="8"/>
        <v>1500</v>
      </c>
      <c r="I64" s="55">
        <f t="shared" si="9"/>
        <v>1500</v>
      </c>
      <c r="J64" s="55">
        <f t="shared" si="10"/>
        <v>1500</v>
      </c>
      <c r="K64" s="55">
        <f t="shared" si="11"/>
        <v>1500</v>
      </c>
      <c r="L64" s="55">
        <f t="shared" si="12"/>
        <v>1500</v>
      </c>
      <c r="M64" s="55">
        <f t="shared" si="13"/>
        <v>1500</v>
      </c>
      <c r="N64" s="55">
        <f t="shared" si="14"/>
        <v>1500</v>
      </c>
      <c r="O64" s="55">
        <f t="shared" si="15"/>
        <v>1500</v>
      </c>
      <c r="P64" s="55">
        <f t="shared" si="16"/>
        <v>1500</v>
      </c>
      <c r="Q64" s="86">
        <f t="shared" si="17"/>
        <v>1500</v>
      </c>
      <c r="R64" s="87">
        <f t="shared" si="18"/>
        <v>1554.3155067730802</v>
      </c>
      <c r="S64" s="55">
        <f t="shared" si="18"/>
        <v>1610.5977963968382</v>
      </c>
      <c r="T64" s="55">
        <f t="shared" si="18"/>
        <v>1668.9180867427719</v>
      </c>
      <c r="U64" s="55">
        <f t="shared" si="18"/>
        <v>1729.3501745055673</v>
      </c>
      <c r="V64" s="55">
        <f t="shared" si="18"/>
        <v>1791.9705285831571</v>
      </c>
      <c r="W64" s="55">
        <f t="shared" si="18"/>
        <v>1856.8583868381029</v>
      </c>
      <c r="X64" s="55">
        <f t="shared" si="18"/>
        <v>1924.0958563627401</v>
      </c>
      <c r="Y64" s="55">
        <f t="shared" si="18"/>
        <v>1993.7680173749575</v>
      </c>
      <c r="Z64" s="55">
        <f t="shared" si="18"/>
        <v>2065.9630308760779</v>
      </c>
      <c r="AA64" s="88">
        <f t="shared" si="18"/>
        <v>2140.7722502070665</v>
      </c>
      <c r="AB64" s="73"/>
      <c r="AC64" s="74" t="str">
        <f t="shared" si="19"/>
        <v>NR-NER</v>
      </c>
      <c r="AE64" s="75">
        <f t="shared" si="20"/>
        <v>0</v>
      </c>
      <c r="AF64" s="75">
        <f t="shared" si="22"/>
        <v>0</v>
      </c>
      <c r="AG64" s="75">
        <f t="shared" si="23"/>
        <v>0</v>
      </c>
      <c r="AH64" s="75"/>
      <c r="AI64" s="75">
        <f t="shared" si="21"/>
        <v>2.1144052499428856E-2</v>
      </c>
    </row>
    <row r="65" spans="4:35" ht="15.75" thickBot="1" x14ac:dyDescent="0.3">
      <c r="D65" s="8" t="str">
        <f t="shared" si="6"/>
        <v>NER-NR</v>
      </c>
      <c r="F65" s="52" t="str">
        <f t="shared" si="7"/>
        <v>NER</v>
      </c>
      <c r="G65" s="52" t="str">
        <f t="shared" si="7"/>
        <v>NR</v>
      </c>
      <c r="H65" s="55">
        <f t="shared" si="8"/>
        <v>3000</v>
      </c>
      <c r="I65" s="55">
        <f t="shared" si="9"/>
        <v>3000</v>
      </c>
      <c r="J65" s="55">
        <f t="shared" si="10"/>
        <v>3000</v>
      </c>
      <c r="K65" s="55">
        <f t="shared" si="11"/>
        <v>3000</v>
      </c>
      <c r="L65" s="55">
        <f t="shared" si="12"/>
        <v>3000</v>
      </c>
      <c r="M65" s="55">
        <f t="shared" si="13"/>
        <v>3000</v>
      </c>
      <c r="N65" s="55">
        <f t="shared" si="14"/>
        <v>3000</v>
      </c>
      <c r="O65" s="55">
        <f t="shared" si="15"/>
        <v>3000</v>
      </c>
      <c r="P65" s="55">
        <f t="shared" si="16"/>
        <v>3000</v>
      </c>
      <c r="Q65" s="86">
        <f t="shared" si="17"/>
        <v>3000</v>
      </c>
      <c r="R65" s="89">
        <f t="shared" si="18"/>
        <v>3108.6310135461604</v>
      </c>
      <c r="S65" s="90">
        <f t="shared" si="18"/>
        <v>3221.1955927936765</v>
      </c>
      <c r="T65" s="90">
        <f t="shared" si="18"/>
        <v>3337.8361734855439</v>
      </c>
      <c r="U65" s="90">
        <f t="shared" si="18"/>
        <v>3458.7003490111347</v>
      </c>
      <c r="V65" s="90">
        <f t="shared" si="18"/>
        <v>3583.9410571663143</v>
      </c>
      <c r="W65" s="90">
        <f t="shared" si="18"/>
        <v>3713.7167736762058</v>
      </c>
      <c r="X65" s="90">
        <f t="shared" si="18"/>
        <v>3848.1917127254801</v>
      </c>
      <c r="Y65" s="90">
        <f t="shared" si="18"/>
        <v>3987.536034749915</v>
      </c>
      <c r="Z65" s="90">
        <f t="shared" si="18"/>
        <v>4131.9260617521559</v>
      </c>
      <c r="AA65" s="91">
        <f t="shared" si="18"/>
        <v>4281.5445004141329</v>
      </c>
      <c r="AB65" s="73"/>
      <c r="AC65" s="74" t="str">
        <f t="shared" si="19"/>
        <v>NER-NR</v>
      </c>
      <c r="AE65" s="75">
        <f t="shared" si="20"/>
        <v>0</v>
      </c>
      <c r="AF65" s="75">
        <f t="shared" si="22"/>
        <v>0</v>
      </c>
      <c r="AG65" s="75">
        <f t="shared" si="23"/>
        <v>0</v>
      </c>
      <c r="AH65" s="75"/>
      <c r="AI65" s="75">
        <f t="shared" si="21"/>
        <v>2.1144052499428856E-2</v>
      </c>
    </row>
    <row r="66" spans="4:35" ht="15" x14ac:dyDescent="0.25">
      <c r="H66" s="92"/>
      <c r="AE66" s="75"/>
      <c r="AF66" s="75"/>
      <c r="AG66" s="75"/>
      <c r="AH66" s="75"/>
      <c r="AI66" s="75"/>
    </row>
    <row r="67" spans="4:35" ht="15" x14ac:dyDescent="0.25">
      <c r="F67" s="47"/>
      <c r="G67" s="93" t="s">
        <v>188</v>
      </c>
      <c r="H67" s="93">
        <f t="shared" ref="H67:AA67" si="24">MAX(H52:H53)+MAX(H54:H55)+MAX(H56:H57)+MAX(H58:H59)+MAX(H60:H61)+MAX(H62:H63)+MAX(H64:H65)</f>
        <v>112250</v>
      </c>
      <c r="I67" s="93">
        <f t="shared" si="24"/>
        <v>112250</v>
      </c>
      <c r="J67" s="93">
        <f t="shared" si="24"/>
        <v>116540</v>
      </c>
      <c r="K67" s="93">
        <f t="shared" si="24"/>
        <v>118740</v>
      </c>
      <c r="L67" s="93">
        <f t="shared" si="24"/>
        <v>120340</v>
      </c>
      <c r="M67" s="93">
        <f t="shared" si="24"/>
        <v>120340</v>
      </c>
      <c r="N67" s="93">
        <f t="shared" si="24"/>
        <v>134540</v>
      </c>
      <c r="O67" s="93">
        <f t="shared" si="24"/>
        <v>134540</v>
      </c>
      <c r="P67" s="93">
        <f t="shared" si="24"/>
        <v>138740</v>
      </c>
      <c r="Q67" s="93">
        <f t="shared" si="24"/>
        <v>161540</v>
      </c>
      <c r="R67" s="93">
        <f t="shared" si="24"/>
        <v>170172.09011444627</v>
      </c>
      <c r="S67" s="93">
        <f t="shared" si="24"/>
        <v>179302.49554679531</v>
      </c>
      <c r="T67" s="93">
        <f t="shared" si="24"/>
        <v>188961.71380918863</v>
      </c>
      <c r="U67" s="93">
        <f t="shared" si="24"/>
        <v>199182.18507284945</v>
      </c>
      <c r="V67" s="93">
        <f t="shared" si="24"/>
        <v>209998.41915622097</v>
      </c>
      <c r="W67" s="93">
        <f t="shared" si="24"/>
        <v>221447.13095145574</v>
      </c>
      <c r="X67" s="93">
        <f t="shared" si="24"/>
        <v>233567.38485592566</v>
      </c>
      <c r="Y67" s="93">
        <f t="shared" si="24"/>
        <v>246400.74881374379</v>
      </c>
      <c r="Z67" s="93">
        <f t="shared" si="24"/>
        <v>259991.45861321469</v>
      </c>
      <c r="AA67" s="93">
        <f t="shared" si="24"/>
        <v>274386.59312983922</v>
      </c>
      <c r="AE67" s="75">
        <f>IFERROR((L67/H67)^(1/(L$51-H$51)),1)-1</f>
        <v>1.7550364909816984E-2</v>
      </c>
      <c r="AF67" s="75">
        <f>IFERROR((P67/L67)^(1/(P$51-L$51)),1)-1</f>
        <v>3.6210337848720187E-2</v>
      </c>
      <c r="AG67" s="75"/>
      <c r="AH67" s="75"/>
      <c r="AI67" s="75">
        <f>(AA67/J67)^(1/($AA$51-$J$51))-1</f>
        <v>5.1660972189224941E-2</v>
      </c>
    </row>
    <row r="68" spans="4:35" x14ac:dyDescent="0.2">
      <c r="H68" s="94">
        <f t="shared" ref="H68:Z68" si="25">SUM(H52:H65)</f>
        <v>211920.35200951149</v>
      </c>
      <c r="I68" s="94">
        <f t="shared" si="25"/>
        <v>211920.35200951149</v>
      </c>
      <c r="J68" s="94">
        <f t="shared" si="25"/>
        <v>220052.27235090552</v>
      </c>
      <c r="K68" s="94">
        <f t="shared" si="25"/>
        <v>224271.59678138469</v>
      </c>
      <c r="L68" s="94">
        <f t="shared" si="25"/>
        <v>227471.59678138469</v>
      </c>
      <c r="M68" s="94">
        <f t="shared" si="25"/>
        <v>227471.59678138469</v>
      </c>
      <c r="N68" s="94">
        <f t="shared" si="25"/>
        <v>253580</v>
      </c>
      <c r="O68" s="94">
        <f t="shared" si="25"/>
        <v>253580</v>
      </c>
      <c r="P68" s="94">
        <f t="shared" si="25"/>
        <v>258166.88475001079</v>
      </c>
      <c r="Q68" s="94">
        <f t="shared" si="25"/>
        <v>282756.28200570575</v>
      </c>
      <c r="R68" s="94">
        <f t="shared" si="25"/>
        <v>296370.48353725747</v>
      </c>
      <c r="S68" s="94">
        <f t="shared" si="25"/>
        <v>310698.64773621911</v>
      </c>
      <c r="T68" s="94">
        <f t="shared" si="25"/>
        <v>325781.17598315002</v>
      </c>
      <c r="U68" s="94">
        <f t="shared" si="25"/>
        <v>341660.89549911249</v>
      </c>
      <c r="V68" s="94">
        <f t="shared" si="25"/>
        <v>358383.21123494988</v>
      </c>
      <c r="W68" s="94">
        <f t="shared" si="25"/>
        <v>375996.26754081569</v>
      </c>
      <c r="X68" s="94">
        <f t="shared" si="25"/>
        <v>394551.12025738723</v>
      </c>
      <c r="Y68" s="94">
        <f t="shared" si="25"/>
        <v>414101.91991277848</v>
      </c>
      <c r="Z68" s="94">
        <f t="shared" si="25"/>
        <v>434706.10675460368</v>
      </c>
      <c r="AA68" s="94">
        <f>SUM(AA52:AA65)</f>
        <v>456424.61839512398</v>
      </c>
    </row>
    <row r="70" spans="4:35" ht="15" x14ac:dyDescent="0.25">
      <c r="I70" s="95"/>
      <c r="J70" s="95"/>
      <c r="K70" s="95"/>
      <c r="L70" s="95"/>
      <c r="M70" s="95"/>
      <c r="N70" s="95"/>
      <c r="O70" s="95"/>
      <c r="P70" s="95"/>
      <c r="Q70" s="95"/>
      <c r="R70" s="96"/>
    </row>
    <row r="71" spans="4:35" ht="15" x14ac:dyDescent="0.25">
      <c r="I71" s="95"/>
      <c r="J71" s="95"/>
      <c r="K71" s="95"/>
      <c r="L71" s="95"/>
      <c r="M71" s="95"/>
      <c r="N71" s="95"/>
      <c r="O71" s="95"/>
      <c r="P71" s="95"/>
      <c r="Q71" s="95"/>
      <c r="R71" s="96"/>
    </row>
    <row r="72" spans="4:35" ht="15" x14ac:dyDescent="0.25">
      <c r="I72" s="95"/>
      <c r="J72" s="95"/>
      <c r="K72" s="95"/>
      <c r="L72" s="95"/>
      <c r="M72" s="95"/>
      <c r="N72" s="95"/>
      <c r="O72" s="95"/>
      <c r="P72" s="95"/>
      <c r="Q72" s="95"/>
      <c r="R72" s="96"/>
    </row>
    <row r="73" spans="4:35" ht="15" x14ac:dyDescent="0.25">
      <c r="I73" s="95"/>
      <c r="J73" s="95"/>
      <c r="K73" s="95"/>
      <c r="L73" s="95"/>
      <c r="M73" s="95"/>
      <c r="N73" s="95"/>
      <c r="O73" s="95"/>
      <c r="P73" s="95"/>
      <c r="Q73" s="95"/>
      <c r="R73" s="96"/>
    </row>
    <row r="74" spans="4:35" ht="15" x14ac:dyDescent="0.25">
      <c r="I74" s="95"/>
      <c r="J74" s="95"/>
      <c r="K74" s="95"/>
      <c r="L74" s="95"/>
      <c r="M74" s="95"/>
      <c r="N74" s="95"/>
      <c r="O74" s="95"/>
      <c r="P74" s="95"/>
      <c r="Q74" s="95"/>
      <c r="R74" s="96"/>
    </row>
    <row r="75" spans="4:35" ht="15" x14ac:dyDescent="0.25">
      <c r="I75" s="95"/>
      <c r="J75" s="95"/>
      <c r="K75" s="95"/>
      <c r="L75" s="95"/>
      <c r="M75" s="95"/>
      <c r="N75" s="95"/>
      <c r="O75" s="95"/>
      <c r="P75" s="95"/>
      <c r="Q75" s="95"/>
      <c r="R75" s="96"/>
    </row>
    <row r="76" spans="4:35" ht="15" x14ac:dyDescent="0.25">
      <c r="I76" s="95"/>
      <c r="J76" s="95"/>
      <c r="K76" s="95"/>
      <c r="L76" s="95"/>
      <c r="M76" s="95"/>
      <c r="N76" s="95"/>
      <c r="O76" s="95"/>
      <c r="P76" s="95"/>
      <c r="Q76" s="95"/>
      <c r="R76" s="96"/>
    </row>
    <row r="77" spans="4:35" ht="15" x14ac:dyDescent="0.25">
      <c r="I77" s="95"/>
      <c r="J77" s="95"/>
      <c r="K77" s="95"/>
      <c r="L77" s="95"/>
      <c r="M77" s="95"/>
      <c r="N77" s="95"/>
      <c r="O77" s="95"/>
      <c r="P77" s="95"/>
      <c r="Q77" s="95"/>
      <c r="R77" s="96"/>
    </row>
    <row r="78" spans="4:35" ht="15" x14ac:dyDescent="0.25">
      <c r="I78" s="95"/>
      <c r="J78" s="95"/>
      <c r="K78" s="95"/>
      <c r="L78" s="95"/>
      <c r="M78" s="95"/>
      <c r="N78" s="95"/>
      <c r="O78" s="95"/>
      <c r="P78" s="95"/>
      <c r="Q78" s="95"/>
      <c r="R78" s="96"/>
    </row>
    <row r="79" spans="4:35" ht="15" x14ac:dyDescent="0.25">
      <c r="I79" s="95"/>
      <c r="J79" s="95"/>
      <c r="K79" s="95"/>
      <c r="L79" s="95"/>
      <c r="M79" s="95"/>
      <c r="N79" s="95"/>
      <c r="O79" s="95"/>
      <c r="P79" s="95"/>
      <c r="Q79" s="95"/>
      <c r="R79" s="96"/>
    </row>
    <row r="80" spans="4:35" ht="15" x14ac:dyDescent="0.25">
      <c r="I80" s="95"/>
      <c r="J80" s="95"/>
      <c r="K80" s="95"/>
      <c r="L80" s="95"/>
      <c r="M80" s="95"/>
      <c r="N80" s="95"/>
      <c r="O80" s="95"/>
      <c r="P80" s="95"/>
      <c r="Q80" s="95"/>
      <c r="R80" s="96"/>
    </row>
    <row r="81" spans="9:18" ht="15" x14ac:dyDescent="0.25">
      <c r="I81" s="95"/>
      <c r="J81" s="95"/>
      <c r="K81" s="95"/>
      <c r="L81" s="95"/>
      <c r="M81" s="95"/>
      <c r="N81" s="95"/>
      <c r="O81" s="95"/>
      <c r="P81" s="95"/>
      <c r="Q81" s="95"/>
      <c r="R81" s="96"/>
    </row>
  </sheetData>
  <mergeCells count="7">
    <mergeCell ref="T7:U7"/>
    <mergeCell ref="H7:I7"/>
    <mergeCell ref="J7:K7"/>
    <mergeCell ref="L7:M7"/>
    <mergeCell ref="N7:O7"/>
    <mergeCell ref="P7:Q7"/>
    <mergeCell ref="R7:S7"/>
  </mergeCells>
  <hyperlinks>
    <hyperlink ref="A7" r:id="rId1" xr:uid="{C8289B5D-69A5-4783-A6CF-977390109921}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PeriodMap</vt:lpstr>
      <vt:lpstr>assets_gen_p1</vt:lpstr>
      <vt:lpstr>assets_gen_p2</vt:lpstr>
      <vt:lpstr>assets_stor_p1</vt:lpstr>
      <vt:lpstr>assets_stor_p2</vt:lpstr>
      <vt:lpstr>Nodes_P1</vt:lpstr>
      <vt:lpstr>Nodes_P2</vt:lpstr>
      <vt:lpstr>Capacity</vt:lpstr>
      <vt:lpstr>CarriersTech_characteristics</vt:lpstr>
      <vt:lpstr>Conversions</vt:lpstr>
      <vt:lpstr>Transmission</vt:lpstr>
      <vt:lpstr>Tx-CTU-rollingplans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C. Pascale</dc:creator>
  <cp:lastModifiedBy>Andrew C. Pascale</cp:lastModifiedBy>
  <dcterms:created xsi:type="dcterms:W3CDTF">2026-03-25T23:01:35Z</dcterms:created>
  <dcterms:modified xsi:type="dcterms:W3CDTF">2026-05-08T04:19:38Z</dcterms:modified>
</cp:coreProperties>
</file>