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48F51FA1-78AF-4E21-8222-02A305F4EF93}" xr6:coauthVersionLast="47" xr6:coauthVersionMax="47" xr10:uidLastSave="{00000000-0000-0000-0000-000000000000}"/>
  <bookViews>
    <workbookView xWindow="-120" yWindow="-120" windowWidth="29040" windowHeight="15720" tabRatio="815" firstSheet="1" activeTab="6" xr2:uid="{0C04E4D0-5751-44E6-BC3B-AD203EDB8BF9}"/>
  </bookViews>
  <sheets>
    <sheet name="PeriodMap" sheetId="15" r:id="rId1"/>
    <sheet name="assets_gen_p1" sheetId="1" r:id="rId2"/>
    <sheet name="assets_gen_p2" sheetId="17" r:id="rId3"/>
    <sheet name="assets_stor_p1" sheetId="20" r:id="rId4"/>
    <sheet name="assets_stor_p2" sheetId="21" r:id="rId5"/>
    <sheet name="nodes_p1" sheetId="10" r:id="rId6"/>
    <sheet name="nodes_p2" sheetId="19" r:id="rId7"/>
    <sheet name="transmission_p1" sheetId="3" r:id="rId8"/>
    <sheet name="transmission_p2" sheetId="25" r:id="rId9"/>
    <sheet name="CarriersTech_characteristics" sheetId="4" r:id="rId10"/>
    <sheet name="Conversions" sheetId="11" r:id="rId11"/>
    <sheet name="Capacity" sheetId="14" r:id="rId12"/>
    <sheet name="EC_Transfers" sheetId="22" r:id="rId13"/>
  </sheets>
  <externalReferences>
    <externalReference r:id="rId14"/>
  </externalReferences>
  <definedNames>
    <definedName name="_xlnm._FilterDatabase" localSheetId="1" hidden="1">assets_gen_p1!#REF!</definedName>
    <definedName name="_xlnm._FilterDatabase" localSheetId="2" hidden="1">assets_gen_p2!#REF!</definedName>
    <definedName name="_xlnm._FilterDatabase" localSheetId="3" hidden="1">assets_stor_p1!#REF!</definedName>
    <definedName name="_xlnm._FilterDatabase" localSheetId="4" hidden="1">assets_stor_p2!#REF!</definedName>
    <definedName name="_xlnm._FilterDatabase" localSheetId="12" hidden="1">EC_Transfers!$A$1:$I$1999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6" i="3" l="1"/>
  <c r="K75" i="3"/>
  <c r="K74" i="3"/>
  <c r="K73" i="3"/>
  <c r="K72" i="3"/>
  <c r="K71" i="3"/>
  <c r="K70" i="3"/>
  <c r="K69" i="3"/>
  <c r="K68" i="3"/>
  <c r="K67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52" i="3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A11" i="25"/>
  <c r="A10" i="25"/>
  <c r="A9" i="25"/>
  <c r="A8" i="25"/>
  <c r="A7" i="25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A11" i="3"/>
  <c r="A10" i="3"/>
  <c r="A9" i="3"/>
  <c r="A8" i="3"/>
  <c r="A7" i="3"/>
  <c r="M29" i="3"/>
  <c r="L29" i="3"/>
  <c r="M13" i="3"/>
  <c r="L13" i="3"/>
  <c r="M31" i="3"/>
  <c r="L31" i="3"/>
  <c r="M15" i="3"/>
  <c r="L16" i="3"/>
  <c r="L15" i="3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1" i="25"/>
  <c r="K10" i="25"/>
  <c r="K9" i="25"/>
  <c r="K8" i="25"/>
  <c r="K7" i="25"/>
  <c r="L14" i="3"/>
  <c r="M14" i="3"/>
  <c r="M16" i="3"/>
  <c r="L17" i="3"/>
  <c r="M17" i="3"/>
  <c r="L18" i="3"/>
  <c r="M18" i="3"/>
  <c r="L19" i="3"/>
  <c r="M19" i="3"/>
  <c r="L20" i="3"/>
  <c r="M20" i="3"/>
  <c r="L21" i="3"/>
  <c r="M21" i="3"/>
  <c r="L22" i="3"/>
  <c r="M22" i="3"/>
  <c r="L23" i="3"/>
  <c r="M23" i="3"/>
  <c r="L24" i="3"/>
  <c r="M24" i="3"/>
  <c r="L25" i="3"/>
  <c r="M25" i="3"/>
  <c r="L26" i="3"/>
  <c r="M26" i="3"/>
  <c r="L27" i="3"/>
  <c r="M27" i="3"/>
  <c r="L28" i="3"/>
  <c r="M28" i="3"/>
  <c r="L30" i="3"/>
  <c r="M30" i="3"/>
  <c r="M12" i="3"/>
  <c r="L12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7" i="3"/>
  <c r="U9" i="21"/>
  <c r="U10" i="21"/>
  <c r="U11" i="21"/>
  <c r="U12" i="21"/>
  <c r="U13" i="21"/>
  <c r="U14" i="21"/>
  <c r="U15" i="21"/>
  <c r="U16" i="21"/>
  <c r="U17" i="21"/>
  <c r="U18" i="21"/>
  <c r="U19" i="21"/>
  <c r="U20" i="21"/>
  <c r="U21" i="21"/>
  <c r="U22" i="21"/>
  <c r="U23" i="21"/>
  <c r="U24" i="21"/>
  <c r="U25" i="21"/>
  <c r="U26" i="21"/>
  <c r="U27" i="21"/>
  <c r="U8" i="21"/>
  <c r="U28" i="21" s="1"/>
  <c r="T9" i="21"/>
  <c r="T10" i="21"/>
  <c r="T11" i="21"/>
  <c r="T12" i="21"/>
  <c r="T13" i="21"/>
  <c r="T14" i="21"/>
  <c r="T15" i="21"/>
  <c r="T16" i="21"/>
  <c r="T17" i="21"/>
  <c r="T18" i="21"/>
  <c r="T19" i="21"/>
  <c r="T20" i="21"/>
  <c r="T21" i="21"/>
  <c r="T22" i="21"/>
  <c r="T23" i="21"/>
  <c r="T24" i="21"/>
  <c r="T25" i="21"/>
  <c r="T26" i="21"/>
  <c r="T27" i="21"/>
  <c r="T8" i="21"/>
  <c r="T28" i="21" s="1"/>
  <c r="S29" i="21"/>
  <c r="T29" i="21"/>
  <c r="U29" i="21"/>
  <c r="S30" i="21"/>
  <c r="T30" i="21"/>
  <c r="U30" i="21"/>
  <c r="S31" i="21"/>
  <c r="T31" i="21"/>
  <c r="U31" i="21"/>
  <c r="R11" i="21"/>
  <c r="R10" i="21"/>
  <c r="R9" i="21"/>
  <c r="R8" i="21"/>
  <c r="R11" i="20"/>
  <c r="R10" i="20"/>
  <c r="R9" i="20"/>
  <c r="R8" i="20"/>
  <c r="Q9" i="21"/>
  <c r="Q10" i="21"/>
  <c r="Q11" i="21"/>
  <c r="Q8" i="21"/>
  <c r="W31" i="21"/>
  <c r="V31" i="21"/>
  <c r="W30" i="21"/>
  <c r="V30" i="21"/>
  <c r="P30" i="21"/>
  <c r="W29" i="21"/>
  <c r="V29" i="21"/>
  <c r="P29" i="21"/>
  <c r="W28" i="21"/>
  <c r="V28" i="21"/>
  <c r="S28" i="21"/>
  <c r="P28" i="21"/>
  <c r="Y27" i="21"/>
  <c r="Z27" i="21" s="1"/>
  <c r="S27" i="21"/>
  <c r="AA27" i="21"/>
  <c r="AB27" i="21" s="1"/>
  <c r="AA26" i="21"/>
  <c r="AB26" i="21" s="1"/>
  <c r="Y26" i="21"/>
  <c r="Z26" i="21" s="1"/>
  <c r="AA25" i="21"/>
  <c r="AB25" i="21" s="1"/>
  <c r="Y25" i="21"/>
  <c r="Z25" i="21" s="1"/>
  <c r="AA24" i="21"/>
  <c r="AB24" i="21" s="1"/>
  <c r="Y24" i="21"/>
  <c r="Z24" i="21" s="1"/>
  <c r="Y23" i="21"/>
  <c r="Z23" i="21" s="1"/>
  <c r="S23" i="21"/>
  <c r="AA23" i="21"/>
  <c r="AB23" i="21" s="1"/>
  <c r="AA22" i="21"/>
  <c r="AB22" i="21" s="1"/>
  <c r="Y22" i="21"/>
  <c r="Z22" i="21" s="1"/>
  <c r="AA21" i="21"/>
  <c r="AB21" i="21" s="1"/>
  <c r="Y21" i="21"/>
  <c r="Z21" i="21" s="1"/>
  <c r="AA20" i="21"/>
  <c r="AB20" i="21" s="1"/>
  <c r="Y20" i="21"/>
  <c r="Z20" i="21" s="1"/>
  <c r="Y19" i="21"/>
  <c r="Z19" i="21" s="1"/>
  <c r="S19" i="21"/>
  <c r="AA19" i="21"/>
  <c r="AB19" i="21" s="1"/>
  <c r="AA18" i="21"/>
  <c r="AB18" i="21" s="1"/>
  <c r="Y18" i="21"/>
  <c r="Z18" i="21" s="1"/>
  <c r="AA17" i="21"/>
  <c r="AB17" i="21" s="1"/>
  <c r="Y17" i="21"/>
  <c r="Z17" i="21" s="1"/>
  <c r="AA16" i="21"/>
  <c r="AB16" i="21" s="1"/>
  <c r="Y16" i="21"/>
  <c r="Z16" i="21" s="1"/>
  <c r="Y15" i="21"/>
  <c r="Z15" i="21" s="1"/>
  <c r="S15" i="21"/>
  <c r="AA15" i="21"/>
  <c r="AB15" i="21" s="1"/>
  <c r="AA14" i="21"/>
  <c r="AB14" i="21" s="1"/>
  <c r="Y14" i="21"/>
  <c r="Z14" i="21" s="1"/>
  <c r="AA13" i="21"/>
  <c r="AB13" i="21" s="1"/>
  <c r="Y13" i="21"/>
  <c r="Z13" i="21" s="1"/>
  <c r="AA12" i="21"/>
  <c r="AB12" i="21" s="1"/>
  <c r="Y12" i="21"/>
  <c r="Z12" i="21" s="1"/>
  <c r="Y11" i="21"/>
  <c r="S11" i="21"/>
  <c r="AA10" i="21"/>
  <c r="Y10" i="21"/>
  <c r="AA9" i="21"/>
  <c r="Y9" i="21"/>
  <c r="AA8" i="21"/>
  <c r="Y8" i="21"/>
  <c r="T9" i="20"/>
  <c r="U9" i="20"/>
  <c r="T10" i="20"/>
  <c r="U10" i="20"/>
  <c r="T12" i="20"/>
  <c r="U12" i="20"/>
  <c r="T13" i="20"/>
  <c r="U13" i="20"/>
  <c r="T14" i="20"/>
  <c r="U14" i="20"/>
  <c r="T16" i="20"/>
  <c r="U16" i="20"/>
  <c r="T17" i="20"/>
  <c r="U17" i="20"/>
  <c r="T18" i="20"/>
  <c r="U18" i="20"/>
  <c r="T20" i="20"/>
  <c r="U20" i="20"/>
  <c r="T21" i="20"/>
  <c r="U21" i="20"/>
  <c r="T22" i="20"/>
  <c r="U22" i="20"/>
  <c r="T24" i="20"/>
  <c r="U24" i="20"/>
  <c r="T25" i="20"/>
  <c r="U25" i="20"/>
  <c r="T26" i="20"/>
  <c r="U26" i="20"/>
  <c r="U8" i="20"/>
  <c r="T8" i="20"/>
  <c r="AJ8" i="17"/>
  <c r="AA8" i="20"/>
  <c r="AI8" i="17"/>
  <c r="AA9" i="20"/>
  <c r="AA10" i="20"/>
  <c r="AA12" i="20"/>
  <c r="AB12" i="20" s="1"/>
  <c r="AA13" i="20"/>
  <c r="AB13" i="20" s="1"/>
  <c r="AA14" i="20"/>
  <c r="AB14" i="20" s="1"/>
  <c r="AA16" i="20"/>
  <c r="AB16" i="20" s="1"/>
  <c r="AA17" i="20"/>
  <c r="AB17" i="20" s="1"/>
  <c r="AA18" i="20"/>
  <c r="AB18" i="20" s="1"/>
  <c r="AA20" i="20"/>
  <c r="AB20" i="20" s="1"/>
  <c r="AA21" i="20"/>
  <c r="AB21" i="20" s="1"/>
  <c r="AA22" i="20"/>
  <c r="AB22" i="20" s="1"/>
  <c r="AA24" i="20"/>
  <c r="AB24" i="20" s="1"/>
  <c r="AA25" i="20"/>
  <c r="AB25" i="20" s="1"/>
  <c r="AA26" i="20"/>
  <c r="AB26" i="20" s="1"/>
  <c r="AK32" i="17"/>
  <c r="AI67" i="17"/>
  <c r="AI66" i="17"/>
  <c r="AI65" i="17"/>
  <c r="AI64" i="17"/>
  <c r="AI63" i="17"/>
  <c r="AI62" i="17"/>
  <c r="AI61" i="17"/>
  <c r="AI60" i="17"/>
  <c r="AI59" i="17"/>
  <c r="AI58" i="17"/>
  <c r="AI57" i="17"/>
  <c r="AI56" i="17"/>
  <c r="AI55" i="17"/>
  <c r="AJ55" i="17" s="1"/>
  <c r="AK55" i="17" s="1"/>
  <c r="AI54" i="17"/>
  <c r="AJ54" i="17" s="1"/>
  <c r="AK54" i="17" s="1"/>
  <c r="AI53" i="17"/>
  <c r="AJ53" i="17" s="1"/>
  <c r="AK53" i="17" s="1"/>
  <c r="AI52" i="17"/>
  <c r="AJ52" i="17" s="1"/>
  <c r="AK52" i="17" s="1"/>
  <c r="AI51" i="17"/>
  <c r="AJ51" i="17" s="1"/>
  <c r="AK51" i="17" s="1"/>
  <c r="AI50" i="17"/>
  <c r="AJ50" i="17" s="1"/>
  <c r="AI49" i="17"/>
  <c r="AJ49" i="17" s="1"/>
  <c r="AI48" i="17"/>
  <c r="AJ48" i="17" s="1"/>
  <c r="AK48" i="17" s="1"/>
  <c r="AI47" i="17"/>
  <c r="AJ47" i="17" s="1"/>
  <c r="AK47" i="17" s="1"/>
  <c r="AI46" i="17"/>
  <c r="AJ46" i="17" s="1"/>
  <c r="AK46" i="17" s="1"/>
  <c r="AI45" i="17"/>
  <c r="AJ45" i="17" s="1"/>
  <c r="AI44" i="17"/>
  <c r="AJ44" i="17" s="1"/>
  <c r="AK44" i="17" s="1"/>
  <c r="AI43" i="17"/>
  <c r="AJ43" i="17" s="1"/>
  <c r="AK43" i="17" s="1"/>
  <c r="AI42" i="17"/>
  <c r="AJ42" i="17" s="1"/>
  <c r="AK42" i="17" s="1"/>
  <c r="AI41" i="17"/>
  <c r="AJ41" i="17" s="1"/>
  <c r="AK41" i="17" s="1"/>
  <c r="AI40" i="17"/>
  <c r="AJ40" i="17" s="1"/>
  <c r="AI39" i="17"/>
  <c r="AJ39" i="17" s="1"/>
  <c r="AK39" i="17" s="1"/>
  <c r="AI38" i="17"/>
  <c r="AJ38" i="17" s="1"/>
  <c r="AI37" i="17"/>
  <c r="AJ37" i="17" s="1"/>
  <c r="AK37" i="17" s="1"/>
  <c r="AI36" i="17"/>
  <c r="AJ36" i="17" s="1"/>
  <c r="AI35" i="17"/>
  <c r="AJ35" i="17" s="1"/>
  <c r="AK35" i="17" s="1"/>
  <c r="AI34" i="17"/>
  <c r="AJ34" i="17" s="1"/>
  <c r="AK34" i="17" s="1"/>
  <c r="AI33" i="17"/>
  <c r="AJ33" i="17" s="1"/>
  <c r="AK33" i="17" s="1"/>
  <c r="AI32" i="17"/>
  <c r="AJ32" i="17" s="1"/>
  <c r="AI31" i="17"/>
  <c r="AI30" i="17"/>
  <c r="AI29" i="17"/>
  <c r="AI28" i="17"/>
  <c r="AI27" i="17"/>
  <c r="AI26" i="17"/>
  <c r="AI25" i="17"/>
  <c r="AI24" i="17"/>
  <c r="AI23" i="17"/>
  <c r="AI22" i="17"/>
  <c r="AI21" i="17"/>
  <c r="AI20" i="17"/>
  <c r="AI19" i="17"/>
  <c r="AJ19" i="17" s="1"/>
  <c r="AK19" i="17" s="1"/>
  <c r="AI9" i="17"/>
  <c r="AI10" i="17"/>
  <c r="AI11" i="17"/>
  <c r="AI12" i="17"/>
  <c r="AI13" i="17"/>
  <c r="AI14" i="17"/>
  <c r="AI15" i="17"/>
  <c r="AI16" i="17"/>
  <c r="AI17" i="17"/>
  <c r="AI18" i="17"/>
  <c r="AK8" i="17"/>
  <c r="Y9" i="20"/>
  <c r="Y10" i="20"/>
  <c r="Y11" i="20"/>
  <c r="Y12" i="20"/>
  <c r="Z12" i="20" s="1"/>
  <c r="Y13" i="20"/>
  <c r="Z13" i="20" s="1"/>
  <c r="Y14" i="20"/>
  <c r="Z14" i="20" s="1"/>
  <c r="Y15" i="20"/>
  <c r="Z15" i="20" s="1"/>
  <c r="Y16" i="20"/>
  <c r="Z16" i="20" s="1"/>
  <c r="Y17" i="20"/>
  <c r="Z17" i="20" s="1"/>
  <c r="Y18" i="20"/>
  <c r="Z18" i="20" s="1"/>
  <c r="Y19" i="20"/>
  <c r="Z19" i="20" s="1"/>
  <c r="Y20" i="20"/>
  <c r="Z20" i="20"/>
  <c r="Y21" i="20"/>
  <c r="Z21" i="20" s="1"/>
  <c r="Y22" i="20"/>
  <c r="Z22" i="20" s="1"/>
  <c r="Y23" i="20"/>
  <c r="Z23" i="20" s="1"/>
  <c r="Y24" i="20"/>
  <c r="Z24" i="20" s="1"/>
  <c r="Y25" i="20"/>
  <c r="Z25" i="20"/>
  <c r="Y26" i="20"/>
  <c r="Z26" i="20" s="1"/>
  <c r="Y27" i="20"/>
  <c r="Z27" i="20"/>
  <c r="Y8" i="20"/>
  <c r="V29" i="20"/>
  <c r="W29" i="20"/>
  <c r="V30" i="20"/>
  <c r="W30" i="20"/>
  <c r="V31" i="20"/>
  <c r="W31" i="20"/>
  <c r="W28" i="20"/>
  <c r="V28" i="20"/>
  <c r="Q28" i="20"/>
  <c r="Q29" i="20"/>
  <c r="Q30" i="20"/>
  <c r="Q27" i="20"/>
  <c r="Q23" i="20"/>
  <c r="Q19" i="20"/>
  <c r="Q15" i="20"/>
  <c r="Q11" i="20"/>
  <c r="P29" i="20"/>
  <c r="P30" i="20"/>
  <c r="P28" i="20"/>
  <c r="P27" i="20"/>
  <c r="AA27" i="20" s="1"/>
  <c r="AB27" i="20" s="1"/>
  <c r="P23" i="20"/>
  <c r="AA23" i="20" s="1"/>
  <c r="AB23" i="20" s="1"/>
  <c r="P19" i="20"/>
  <c r="AA19" i="20" s="1"/>
  <c r="P15" i="20"/>
  <c r="AA15" i="20" s="1"/>
  <c r="AB15" i="20" s="1"/>
  <c r="P11" i="20"/>
  <c r="S27" i="20"/>
  <c r="S23" i="20"/>
  <c r="S19" i="20"/>
  <c r="S15" i="20"/>
  <c r="S11" i="20"/>
  <c r="R16" i="19"/>
  <c r="P16" i="19"/>
  <c r="S15" i="19"/>
  <c r="R15" i="19"/>
  <c r="Q15" i="19"/>
  <c r="P15" i="19"/>
  <c r="S14" i="19"/>
  <c r="R14" i="19"/>
  <c r="Q14" i="19"/>
  <c r="P14" i="19"/>
  <c r="S13" i="19"/>
  <c r="R13" i="19"/>
  <c r="Q13" i="19"/>
  <c r="P13" i="19"/>
  <c r="S12" i="19"/>
  <c r="R12" i="19"/>
  <c r="Q12" i="19"/>
  <c r="P12" i="19"/>
  <c r="S11" i="19"/>
  <c r="S16" i="19" s="1"/>
  <c r="R11" i="19"/>
  <c r="Q11" i="19"/>
  <c r="Q16" i="19" s="1"/>
  <c r="P11" i="19"/>
  <c r="S10" i="19"/>
  <c r="R10" i="19"/>
  <c r="Q10" i="19"/>
  <c r="P10" i="19"/>
  <c r="S9" i="19"/>
  <c r="R9" i="19"/>
  <c r="Q9" i="19"/>
  <c r="P9" i="19"/>
  <c r="S8" i="19"/>
  <c r="R8" i="19"/>
  <c r="Q8" i="19"/>
  <c r="P8" i="19"/>
  <c r="Y68" i="17"/>
  <c r="Y56" i="17"/>
  <c r="Y44" i="17"/>
  <c r="Y32" i="17"/>
  <c r="Y20" i="17"/>
  <c r="Y8" i="17"/>
  <c r="Y68" i="1"/>
  <c r="Y56" i="1"/>
  <c r="Y44" i="1"/>
  <c r="Y32" i="1"/>
  <c r="Y20" i="1"/>
  <c r="Y8" i="1"/>
  <c r="S10" i="10"/>
  <c r="Q10" i="10"/>
  <c r="Q14" i="10"/>
  <c r="S14" i="10"/>
  <c r="Q11" i="10"/>
  <c r="S11" i="10"/>
  <c r="Q15" i="10"/>
  <c r="S15" i="10"/>
  <c r="Q12" i="10"/>
  <c r="S12" i="10"/>
  <c r="S13" i="10"/>
  <c r="Q13" i="10"/>
  <c r="S9" i="10"/>
  <c r="Q9" i="10"/>
  <c r="S8" i="10"/>
  <c r="Q8" i="10"/>
  <c r="P14" i="10"/>
  <c r="R14" i="10"/>
  <c r="P11" i="10"/>
  <c r="R11" i="10"/>
  <c r="P15" i="10"/>
  <c r="R15" i="10"/>
  <c r="P12" i="10"/>
  <c r="R12" i="10"/>
  <c r="R13" i="10"/>
  <c r="P13" i="10"/>
  <c r="P9" i="10"/>
  <c r="R10" i="10"/>
  <c r="R9" i="10"/>
  <c r="R8" i="10"/>
  <c r="P10" i="10"/>
  <c r="P8" i="10"/>
  <c r="N79" i="17"/>
  <c r="N78" i="17"/>
  <c r="M78" i="17"/>
  <c r="N77" i="17"/>
  <c r="M77" i="17"/>
  <c r="N76" i="17"/>
  <c r="M76" i="17"/>
  <c r="AC75" i="17"/>
  <c r="Y75" i="17"/>
  <c r="X75" i="17"/>
  <c r="N75" i="17"/>
  <c r="M75" i="17"/>
  <c r="AD74" i="17"/>
  <c r="N74" i="17"/>
  <c r="M74" i="17"/>
  <c r="AD73" i="17"/>
  <c r="N73" i="17"/>
  <c r="M73" i="17"/>
  <c r="AC72" i="17"/>
  <c r="N72" i="17"/>
  <c r="AC71" i="17"/>
  <c r="N71" i="17"/>
  <c r="M71" i="17"/>
  <c r="AC70" i="17"/>
  <c r="Y70" i="17"/>
  <c r="X70" i="17"/>
  <c r="N70" i="17"/>
  <c r="M70" i="17"/>
  <c r="AC69" i="17"/>
  <c r="Y69" i="17"/>
  <c r="X69" i="17"/>
  <c r="N69" i="17"/>
  <c r="M69" i="17"/>
  <c r="AC68" i="17"/>
  <c r="X68" i="17"/>
  <c r="N68" i="17"/>
  <c r="AJ67" i="17"/>
  <c r="AG67" i="17"/>
  <c r="W67" i="17"/>
  <c r="V67" i="17"/>
  <c r="U67" i="17"/>
  <c r="T67" i="17"/>
  <c r="N67" i="17"/>
  <c r="M67" i="17"/>
  <c r="AH67" i="17" s="1"/>
  <c r="AK67" i="17" s="1"/>
  <c r="AJ66" i="17"/>
  <c r="AG66" i="17"/>
  <c r="W66" i="17"/>
  <c r="V66" i="17"/>
  <c r="U66" i="17"/>
  <c r="T66" i="17"/>
  <c r="N66" i="17"/>
  <c r="M66" i="17"/>
  <c r="AH66" i="17" s="1"/>
  <c r="AK66" i="17" s="1"/>
  <c r="AJ65" i="17"/>
  <c r="AG65" i="17"/>
  <c r="W65" i="17"/>
  <c r="V65" i="17"/>
  <c r="U65" i="17"/>
  <c r="T65" i="17"/>
  <c r="AL65" i="17" s="1"/>
  <c r="N65" i="17"/>
  <c r="M65" i="17"/>
  <c r="AH65" i="17" s="1"/>
  <c r="AK65" i="17" s="1"/>
  <c r="AJ64" i="17"/>
  <c r="AG64" i="17"/>
  <c r="W64" i="17"/>
  <c r="V64" i="17"/>
  <c r="U64" i="17"/>
  <c r="T64" i="17"/>
  <c r="AL64" i="17" s="1"/>
  <c r="N64" i="17"/>
  <c r="M64" i="17"/>
  <c r="AH64" i="17" s="1"/>
  <c r="AK64" i="17" s="1"/>
  <c r="AJ63" i="17"/>
  <c r="AG63" i="17"/>
  <c r="AC63" i="17"/>
  <c r="Y63" i="17"/>
  <c r="X63" i="17"/>
  <c r="W63" i="17"/>
  <c r="V63" i="17"/>
  <c r="U63" i="17"/>
  <c r="T63" i="17"/>
  <c r="AL63" i="17" s="1"/>
  <c r="N63" i="17"/>
  <c r="M63" i="17"/>
  <c r="AH63" i="17" s="1"/>
  <c r="AK63" i="17" s="1"/>
  <c r="AJ62" i="17"/>
  <c r="AD62" i="17"/>
  <c r="Z62" i="17"/>
  <c r="AG62" i="17" s="1"/>
  <c r="W62" i="17"/>
  <c r="V62" i="17"/>
  <c r="U62" i="17"/>
  <c r="T62" i="17"/>
  <c r="N62" i="17"/>
  <c r="M62" i="17"/>
  <c r="AH62" i="17" s="1"/>
  <c r="AJ61" i="17"/>
  <c r="AG61" i="17"/>
  <c r="AD61" i="17"/>
  <c r="W61" i="17"/>
  <c r="V61" i="17"/>
  <c r="U61" i="17"/>
  <c r="T61" i="17"/>
  <c r="N61" i="17"/>
  <c r="M61" i="17"/>
  <c r="AH61" i="17" s="1"/>
  <c r="AK61" i="17" s="1"/>
  <c r="AJ60" i="17"/>
  <c r="AG60" i="17"/>
  <c r="AC60" i="17"/>
  <c r="W60" i="17"/>
  <c r="V60" i="17"/>
  <c r="U60" i="17"/>
  <c r="T60" i="17"/>
  <c r="AL60" i="17" s="1"/>
  <c r="N60" i="17"/>
  <c r="M60" i="17" s="1"/>
  <c r="AH60" i="17" s="1"/>
  <c r="AK60" i="17" s="1"/>
  <c r="AJ59" i="17"/>
  <c r="AG59" i="17"/>
  <c r="AC59" i="17"/>
  <c r="W59" i="17"/>
  <c r="V59" i="17"/>
  <c r="U59" i="17"/>
  <c r="T59" i="17"/>
  <c r="N59" i="17"/>
  <c r="M59" i="17"/>
  <c r="AH59" i="17" s="1"/>
  <c r="AK59" i="17" s="1"/>
  <c r="AJ58" i="17"/>
  <c r="AG58" i="17"/>
  <c r="AC58" i="17"/>
  <c r="Y58" i="17"/>
  <c r="X58" i="17"/>
  <c r="W58" i="17"/>
  <c r="V58" i="17"/>
  <c r="U58" i="17"/>
  <c r="T58" i="17"/>
  <c r="N58" i="17"/>
  <c r="M58" i="17"/>
  <c r="AH58" i="17" s="1"/>
  <c r="AK58" i="17" s="1"/>
  <c r="AJ57" i="17"/>
  <c r="AG57" i="17"/>
  <c r="AC57" i="17"/>
  <c r="Y57" i="17"/>
  <c r="X57" i="17"/>
  <c r="W57" i="17"/>
  <c r="V57" i="17"/>
  <c r="U57" i="17"/>
  <c r="T57" i="17"/>
  <c r="AL57" i="17" s="1"/>
  <c r="N57" i="17"/>
  <c r="M57" i="17"/>
  <c r="AH57" i="17" s="1"/>
  <c r="AK57" i="17" s="1"/>
  <c r="AJ56" i="17"/>
  <c r="AG56" i="17"/>
  <c r="AC56" i="17"/>
  <c r="AF56" i="17" s="1"/>
  <c r="X56" i="17"/>
  <c r="W56" i="17"/>
  <c r="V56" i="17"/>
  <c r="U56" i="17"/>
  <c r="T56" i="17"/>
  <c r="N56" i="17"/>
  <c r="M56" i="17"/>
  <c r="AH56" i="17" s="1"/>
  <c r="AK56" i="17" s="1"/>
  <c r="AG55" i="17"/>
  <c r="W55" i="17"/>
  <c r="V55" i="17"/>
  <c r="U55" i="17"/>
  <c r="T55" i="17"/>
  <c r="N55" i="17"/>
  <c r="M55" i="17" s="1"/>
  <c r="AH55" i="17" s="1"/>
  <c r="AG54" i="17"/>
  <c r="W54" i="17"/>
  <c r="V54" i="17"/>
  <c r="U54" i="17"/>
  <c r="T54" i="17"/>
  <c r="AL54" i="17" s="1"/>
  <c r="N54" i="17"/>
  <c r="M54" i="17"/>
  <c r="AH54" i="17" s="1"/>
  <c r="AG53" i="17"/>
  <c r="W53" i="17"/>
  <c r="V53" i="17"/>
  <c r="U53" i="17"/>
  <c r="T53" i="17"/>
  <c r="N53" i="17"/>
  <c r="M53" i="17"/>
  <c r="AH53" i="17" s="1"/>
  <c r="AG52" i="17"/>
  <c r="W52" i="17"/>
  <c r="V52" i="17"/>
  <c r="U52" i="17"/>
  <c r="T52" i="17"/>
  <c r="N52" i="17"/>
  <c r="M52" i="17"/>
  <c r="AH52" i="17" s="1"/>
  <c r="AG51" i="17"/>
  <c r="AC51" i="17"/>
  <c r="Y51" i="17"/>
  <c r="X51" i="17"/>
  <c r="W51" i="17"/>
  <c r="V51" i="17"/>
  <c r="U51" i="17"/>
  <c r="T51" i="17"/>
  <c r="N51" i="17"/>
  <c r="M51" i="17"/>
  <c r="AH51" i="17" s="1"/>
  <c r="AD50" i="17"/>
  <c r="Z50" i="17"/>
  <c r="AG50" i="17" s="1"/>
  <c r="W50" i="17"/>
  <c r="V50" i="17"/>
  <c r="U50" i="17"/>
  <c r="T50" i="17"/>
  <c r="N50" i="17"/>
  <c r="M50" i="17"/>
  <c r="AG49" i="17"/>
  <c r="AD49" i="17"/>
  <c r="W49" i="17"/>
  <c r="V49" i="17"/>
  <c r="U49" i="17"/>
  <c r="T49" i="17"/>
  <c r="N49" i="17"/>
  <c r="M49" i="17"/>
  <c r="AH49" i="17" s="1"/>
  <c r="AG48" i="17"/>
  <c r="AC48" i="17"/>
  <c r="W48" i="17"/>
  <c r="V48" i="17"/>
  <c r="U48" i="17"/>
  <c r="T48" i="17"/>
  <c r="AL48" i="17" s="1"/>
  <c r="N48" i="17"/>
  <c r="M48" i="17"/>
  <c r="AH48" i="17" s="1"/>
  <c r="AG47" i="17"/>
  <c r="AC47" i="17"/>
  <c r="W47" i="17"/>
  <c r="V47" i="17"/>
  <c r="U47" i="17"/>
  <c r="T47" i="17"/>
  <c r="AL47" i="17" s="1"/>
  <c r="N47" i="17"/>
  <c r="M47" i="17"/>
  <c r="AH47" i="17" s="1"/>
  <c r="AG46" i="17"/>
  <c r="AC46" i="17"/>
  <c r="Y46" i="17"/>
  <c r="X46" i="17"/>
  <c r="W46" i="17"/>
  <c r="V46" i="17"/>
  <c r="U46" i="17"/>
  <c r="T46" i="17"/>
  <c r="N46" i="17"/>
  <c r="M46" i="17"/>
  <c r="AH46" i="17" s="1"/>
  <c r="AG45" i="17"/>
  <c r="AC45" i="17"/>
  <c r="Y45" i="17"/>
  <c r="X45" i="17"/>
  <c r="W45" i="17"/>
  <c r="V45" i="17"/>
  <c r="U45" i="17"/>
  <c r="T45" i="17"/>
  <c r="N45" i="17"/>
  <c r="M45" i="17"/>
  <c r="AH45" i="17" s="1"/>
  <c r="AG44" i="17"/>
  <c r="AC44" i="17"/>
  <c r="AF44" i="17" s="1"/>
  <c r="X44" i="17"/>
  <c r="W44" i="17"/>
  <c r="V44" i="17"/>
  <c r="U44" i="17"/>
  <c r="T44" i="17"/>
  <c r="N44" i="17"/>
  <c r="M44" i="17"/>
  <c r="AH44" i="17" s="1"/>
  <c r="AG43" i="17"/>
  <c r="W43" i="17"/>
  <c r="V43" i="17"/>
  <c r="U43" i="17"/>
  <c r="T43" i="17"/>
  <c r="N43" i="17"/>
  <c r="M43" i="17"/>
  <c r="AH43" i="17" s="1"/>
  <c r="AG42" i="17"/>
  <c r="W42" i="17"/>
  <c r="V42" i="17"/>
  <c r="U42" i="17"/>
  <c r="T42" i="17"/>
  <c r="N42" i="17"/>
  <c r="M42" i="17"/>
  <c r="AH42" i="17" s="1"/>
  <c r="AG41" i="17"/>
  <c r="W41" i="17"/>
  <c r="V41" i="17"/>
  <c r="U41" i="17"/>
  <c r="T41" i="17"/>
  <c r="N41" i="17"/>
  <c r="M41" i="17"/>
  <c r="AH41" i="17" s="1"/>
  <c r="AG40" i="17"/>
  <c r="W40" i="17"/>
  <c r="V40" i="17"/>
  <c r="U40" i="17"/>
  <c r="T40" i="17"/>
  <c r="N40" i="17"/>
  <c r="M40" i="17"/>
  <c r="AH40" i="17" s="1"/>
  <c r="AG39" i="17"/>
  <c r="AC39" i="17"/>
  <c r="Y39" i="17"/>
  <c r="X39" i="17"/>
  <c r="W39" i="17"/>
  <c r="V39" i="17"/>
  <c r="U39" i="17"/>
  <c r="T39" i="17"/>
  <c r="N39" i="17"/>
  <c r="M39" i="17"/>
  <c r="AH39" i="17" s="1"/>
  <c r="AD38" i="17"/>
  <c r="Z38" i="17"/>
  <c r="AG38" i="17" s="1"/>
  <c r="W38" i="17"/>
  <c r="V38" i="17"/>
  <c r="U38" i="17"/>
  <c r="T38" i="17"/>
  <c r="N38" i="17"/>
  <c r="M38" i="17"/>
  <c r="AG37" i="17"/>
  <c r="AD37" i="17"/>
  <c r="W37" i="17"/>
  <c r="V37" i="17"/>
  <c r="U37" i="17"/>
  <c r="T37" i="17"/>
  <c r="N37" i="17"/>
  <c r="M37" i="17"/>
  <c r="AH37" i="17" s="1"/>
  <c r="AG36" i="17"/>
  <c r="AC36" i="17"/>
  <c r="W36" i="17"/>
  <c r="V36" i="17"/>
  <c r="U36" i="17"/>
  <c r="T36" i="17"/>
  <c r="N36" i="17"/>
  <c r="M36" i="17"/>
  <c r="AH36" i="17" s="1"/>
  <c r="AG35" i="17"/>
  <c r="AC35" i="17"/>
  <c r="W35" i="17"/>
  <c r="V35" i="17"/>
  <c r="U35" i="17"/>
  <c r="T35" i="17"/>
  <c r="N35" i="17"/>
  <c r="M35" i="17"/>
  <c r="AH35" i="17" s="1"/>
  <c r="AG34" i="17"/>
  <c r="AC34" i="17"/>
  <c r="Y34" i="17"/>
  <c r="X34" i="17"/>
  <c r="W34" i="17"/>
  <c r="V34" i="17"/>
  <c r="U34" i="17"/>
  <c r="T34" i="17"/>
  <c r="N34" i="17"/>
  <c r="M34" i="17"/>
  <c r="AH34" i="17" s="1"/>
  <c r="AG33" i="17"/>
  <c r="AC33" i="17"/>
  <c r="Y33" i="17"/>
  <c r="X33" i="17"/>
  <c r="W33" i="17"/>
  <c r="V33" i="17"/>
  <c r="U33" i="17"/>
  <c r="T33" i="17"/>
  <c r="AL33" i="17" s="1"/>
  <c r="N33" i="17"/>
  <c r="M33" i="17"/>
  <c r="AH33" i="17" s="1"/>
  <c r="AG32" i="17"/>
  <c r="AC32" i="17"/>
  <c r="AF32" i="17" s="1"/>
  <c r="X32" i="17"/>
  <c r="W32" i="17"/>
  <c r="V32" i="17"/>
  <c r="U32" i="17"/>
  <c r="T32" i="17"/>
  <c r="N32" i="17"/>
  <c r="M32" i="17"/>
  <c r="AJ31" i="17"/>
  <c r="AG31" i="17"/>
  <c r="W31" i="17"/>
  <c r="V31" i="17"/>
  <c r="U31" i="17"/>
  <c r="T31" i="17"/>
  <c r="N31" i="17"/>
  <c r="M31" i="17"/>
  <c r="AH31" i="17" s="1"/>
  <c r="AK31" i="17" s="1"/>
  <c r="AJ30" i="17"/>
  <c r="AG30" i="17"/>
  <c r="W30" i="17"/>
  <c r="V30" i="17"/>
  <c r="U30" i="17"/>
  <c r="T30" i="17"/>
  <c r="N30" i="17"/>
  <c r="M30" i="17"/>
  <c r="AH30" i="17" s="1"/>
  <c r="AJ29" i="17"/>
  <c r="AG29" i="17"/>
  <c r="W29" i="17"/>
  <c r="V29" i="17"/>
  <c r="U29" i="17"/>
  <c r="T29" i="17"/>
  <c r="N29" i="17"/>
  <c r="M29" i="17"/>
  <c r="AH29" i="17" s="1"/>
  <c r="AK29" i="17" s="1"/>
  <c r="AJ28" i="17"/>
  <c r="AG28" i="17"/>
  <c r="W28" i="17"/>
  <c r="V28" i="17"/>
  <c r="U28" i="17"/>
  <c r="T28" i="17"/>
  <c r="AL28" i="17" s="1"/>
  <c r="N28" i="17"/>
  <c r="M28" i="17"/>
  <c r="AH28" i="17" s="1"/>
  <c r="AJ27" i="17"/>
  <c r="AG27" i="17"/>
  <c r="AC27" i="17"/>
  <c r="Y27" i="17"/>
  <c r="X27" i="17"/>
  <c r="W27" i="17"/>
  <c r="V27" i="17"/>
  <c r="U27" i="17"/>
  <c r="T27" i="17"/>
  <c r="N27" i="17"/>
  <c r="M27" i="17"/>
  <c r="AH27" i="17" s="1"/>
  <c r="AK27" i="17" s="1"/>
  <c r="AJ26" i="17"/>
  <c r="AD26" i="17"/>
  <c r="Z26" i="17"/>
  <c r="AG26" i="17" s="1"/>
  <c r="W26" i="17"/>
  <c r="V26" i="17"/>
  <c r="U26" i="17"/>
  <c r="T26" i="17"/>
  <c r="N26" i="17"/>
  <c r="M26" i="17"/>
  <c r="AH26" i="17" s="1"/>
  <c r="AK26" i="17" s="1"/>
  <c r="AJ25" i="17"/>
  <c r="AG25" i="17"/>
  <c r="AD25" i="17"/>
  <c r="W25" i="17"/>
  <c r="V25" i="17"/>
  <c r="U25" i="17"/>
  <c r="T25" i="17"/>
  <c r="AL25" i="17" s="1"/>
  <c r="N25" i="17"/>
  <c r="M25" i="17"/>
  <c r="AH25" i="17" s="1"/>
  <c r="AK25" i="17" s="1"/>
  <c r="AJ24" i="17"/>
  <c r="AG24" i="17"/>
  <c r="AC24" i="17"/>
  <c r="W24" i="17"/>
  <c r="V24" i="17"/>
  <c r="U24" i="17"/>
  <c r="T24" i="17"/>
  <c r="AL24" i="17" s="1"/>
  <c r="N24" i="17"/>
  <c r="M24" i="17"/>
  <c r="AH24" i="17" s="1"/>
  <c r="AJ23" i="17"/>
  <c r="AG23" i="17"/>
  <c r="AC23" i="17"/>
  <c r="W23" i="17"/>
  <c r="V23" i="17"/>
  <c r="U23" i="17"/>
  <c r="T23" i="17"/>
  <c r="AL23" i="17" s="1"/>
  <c r="N23" i="17"/>
  <c r="M23" i="17"/>
  <c r="AH23" i="17" s="1"/>
  <c r="AK23" i="17" s="1"/>
  <c r="AJ22" i="17"/>
  <c r="AG22" i="17"/>
  <c r="AC22" i="17"/>
  <c r="Y22" i="17"/>
  <c r="X22" i="17"/>
  <c r="W22" i="17"/>
  <c r="V22" i="17"/>
  <c r="U22" i="17"/>
  <c r="T22" i="17"/>
  <c r="N22" i="17"/>
  <c r="M22" i="17"/>
  <c r="AH22" i="17" s="1"/>
  <c r="AK22" i="17" s="1"/>
  <c r="AJ21" i="17"/>
  <c r="AG21" i="17"/>
  <c r="AC21" i="17"/>
  <c r="Y21" i="17"/>
  <c r="X21" i="17"/>
  <c r="W21" i="17"/>
  <c r="V21" i="17"/>
  <c r="U21" i="17"/>
  <c r="T21" i="17"/>
  <c r="N21" i="17"/>
  <c r="M21" i="17"/>
  <c r="AH21" i="17" s="1"/>
  <c r="AK21" i="17" s="1"/>
  <c r="AJ20" i="17"/>
  <c r="AG20" i="17"/>
  <c r="AC20" i="17"/>
  <c r="AF20" i="17" s="1"/>
  <c r="X20" i="17"/>
  <c r="W20" i="17"/>
  <c r="V20" i="17"/>
  <c r="U20" i="17"/>
  <c r="T20" i="17"/>
  <c r="N20" i="17"/>
  <c r="M20" i="17"/>
  <c r="AH20" i="17" s="1"/>
  <c r="AK20" i="17" s="1"/>
  <c r="AG19" i="17"/>
  <c r="W19" i="17"/>
  <c r="V19" i="17"/>
  <c r="U19" i="17"/>
  <c r="T19" i="17"/>
  <c r="N19" i="17"/>
  <c r="M19" i="17"/>
  <c r="AH19" i="17" s="1"/>
  <c r="AJ18" i="17"/>
  <c r="AG18" i="17"/>
  <c r="W18" i="17"/>
  <c r="V18" i="17"/>
  <c r="U18" i="17"/>
  <c r="T18" i="17"/>
  <c r="N18" i="17"/>
  <c r="M18" i="17"/>
  <c r="AH18" i="17" s="1"/>
  <c r="AJ17" i="17"/>
  <c r="AG17" i="17"/>
  <c r="W17" i="17"/>
  <c r="V17" i="17"/>
  <c r="U17" i="17"/>
  <c r="T17" i="17"/>
  <c r="N17" i="17"/>
  <c r="M17" i="17"/>
  <c r="AH17" i="17" s="1"/>
  <c r="AJ16" i="17"/>
  <c r="AG16" i="17"/>
  <c r="W16" i="17"/>
  <c r="V16" i="17"/>
  <c r="U16" i="17"/>
  <c r="T16" i="17"/>
  <c r="N16" i="17"/>
  <c r="M16" i="17"/>
  <c r="AH16" i="17" s="1"/>
  <c r="AK16" i="17" s="1"/>
  <c r="AJ15" i="17"/>
  <c r="AG15" i="17"/>
  <c r="AC15" i="17"/>
  <c r="Y15" i="17"/>
  <c r="X15" i="17"/>
  <c r="W15" i="17"/>
  <c r="V15" i="17"/>
  <c r="U15" i="17"/>
  <c r="T15" i="17"/>
  <c r="N15" i="17"/>
  <c r="M15" i="17"/>
  <c r="AH15" i="17" s="1"/>
  <c r="AK15" i="17" s="1"/>
  <c r="AJ14" i="17"/>
  <c r="AD14" i="17"/>
  <c r="Z14" i="17"/>
  <c r="AG14" i="17" s="1"/>
  <c r="W14" i="17"/>
  <c r="V14" i="17"/>
  <c r="U14" i="17"/>
  <c r="T14" i="17"/>
  <c r="N14" i="17"/>
  <c r="M14" i="17"/>
  <c r="AH14" i="17" s="1"/>
  <c r="AK14" i="17" s="1"/>
  <c r="AJ13" i="17"/>
  <c r="AG13" i="17"/>
  <c r="AD13" i="17"/>
  <c r="W13" i="17"/>
  <c r="V13" i="17"/>
  <c r="U13" i="17"/>
  <c r="T13" i="17"/>
  <c r="N13" i="17"/>
  <c r="M13" i="17"/>
  <c r="AH13" i="17" s="1"/>
  <c r="AK13" i="17" s="1"/>
  <c r="AJ12" i="17"/>
  <c r="AG12" i="17"/>
  <c r="AC12" i="17"/>
  <c r="W12" i="17"/>
  <c r="V12" i="17"/>
  <c r="U12" i="17"/>
  <c r="T12" i="17"/>
  <c r="N12" i="17"/>
  <c r="M12" i="17" s="1"/>
  <c r="AH12" i="17" s="1"/>
  <c r="AJ11" i="17"/>
  <c r="AG11" i="17"/>
  <c r="AC11" i="17"/>
  <c r="W11" i="17"/>
  <c r="V11" i="17"/>
  <c r="U11" i="17"/>
  <c r="T11" i="17"/>
  <c r="N11" i="17"/>
  <c r="M11" i="17"/>
  <c r="AH11" i="17" s="1"/>
  <c r="AK11" i="17" s="1"/>
  <c r="AJ10" i="17"/>
  <c r="AG10" i="17"/>
  <c r="AC10" i="17"/>
  <c r="Y10" i="17"/>
  <c r="X10" i="17"/>
  <c r="W10" i="17"/>
  <c r="V10" i="17"/>
  <c r="U10" i="17"/>
  <c r="T10" i="17"/>
  <c r="N10" i="17"/>
  <c r="M10" i="17"/>
  <c r="AH10" i="17" s="1"/>
  <c r="AK10" i="17" s="1"/>
  <c r="AJ9" i="17"/>
  <c r="AG9" i="17"/>
  <c r="AC9" i="17"/>
  <c r="Y9" i="17"/>
  <c r="X9" i="17"/>
  <c r="W9" i="17"/>
  <c r="V9" i="17"/>
  <c r="U9" i="17"/>
  <c r="T9" i="17"/>
  <c r="N9" i="17"/>
  <c r="M9" i="17"/>
  <c r="AH9" i="17" s="1"/>
  <c r="AG8" i="17"/>
  <c r="AC8" i="17"/>
  <c r="X8" i="17"/>
  <c r="AF8" i="17" s="1"/>
  <c r="W8" i="17"/>
  <c r="V8" i="17"/>
  <c r="U8" i="17"/>
  <c r="T8" i="17"/>
  <c r="N8" i="17"/>
  <c r="M8" i="17"/>
  <c r="AH8" i="17" s="1"/>
  <c r="T57" i="1"/>
  <c r="AL57" i="1" s="1"/>
  <c r="T58" i="1"/>
  <c r="AL58" i="1" s="1"/>
  <c r="T59" i="1"/>
  <c r="AL59" i="1" s="1"/>
  <c r="T60" i="1"/>
  <c r="AL60" i="1" s="1"/>
  <c r="T61" i="1"/>
  <c r="AL61" i="1" s="1"/>
  <c r="T62" i="1"/>
  <c r="AL62" i="1" s="1"/>
  <c r="T63" i="1"/>
  <c r="AL63" i="1" s="1"/>
  <c r="T64" i="1"/>
  <c r="AL64" i="1" s="1"/>
  <c r="T65" i="1"/>
  <c r="AL65" i="1" s="1"/>
  <c r="T66" i="1"/>
  <c r="AL66" i="1" s="1"/>
  <c r="T67" i="1"/>
  <c r="AL67" i="1" s="1"/>
  <c r="T56" i="1"/>
  <c r="AL56" i="1" s="1"/>
  <c r="T45" i="1"/>
  <c r="AL45" i="1" s="1"/>
  <c r="T46" i="1"/>
  <c r="AL46" i="1" s="1"/>
  <c r="T47" i="1"/>
  <c r="AL47" i="1" s="1"/>
  <c r="T48" i="1"/>
  <c r="AL48" i="1" s="1"/>
  <c r="T49" i="1"/>
  <c r="AL49" i="1" s="1"/>
  <c r="T50" i="1"/>
  <c r="AL50" i="1" s="1"/>
  <c r="T51" i="1"/>
  <c r="AL51" i="1" s="1"/>
  <c r="T52" i="1"/>
  <c r="AL52" i="1" s="1"/>
  <c r="T53" i="1"/>
  <c r="AL53" i="1" s="1"/>
  <c r="T54" i="1"/>
  <c r="AL54" i="1" s="1"/>
  <c r="U78" i="1"/>
  <c r="T55" i="1"/>
  <c r="AL55" i="1" s="1"/>
  <c r="U79" i="1"/>
  <c r="T44" i="1"/>
  <c r="AL44" i="1" s="1"/>
  <c r="T33" i="1"/>
  <c r="T34" i="1"/>
  <c r="T35" i="1"/>
  <c r="T36" i="1"/>
  <c r="T37" i="1"/>
  <c r="T38" i="1"/>
  <c r="AL38" i="1" s="1"/>
  <c r="T39" i="1"/>
  <c r="AL39" i="1" s="1"/>
  <c r="T40" i="1"/>
  <c r="AL40" i="1" s="1"/>
  <c r="T41" i="1"/>
  <c r="AL41" i="1" s="1"/>
  <c r="T42" i="1"/>
  <c r="AL42" i="1" s="1"/>
  <c r="T43" i="1"/>
  <c r="AL43" i="1" s="1"/>
  <c r="T32" i="1"/>
  <c r="AL32" i="1" s="1"/>
  <c r="T21" i="1"/>
  <c r="T22" i="1"/>
  <c r="T23" i="1"/>
  <c r="T24" i="1"/>
  <c r="T25" i="1"/>
  <c r="T26" i="1"/>
  <c r="T27" i="1"/>
  <c r="AL27" i="1" s="1"/>
  <c r="T28" i="1"/>
  <c r="T29" i="1"/>
  <c r="T30" i="1"/>
  <c r="AL30" i="1" s="1"/>
  <c r="T31" i="1"/>
  <c r="T20" i="1"/>
  <c r="T9" i="1"/>
  <c r="AL9" i="1" s="1"/>
  <c r="T10" i="1"/>
  <c r="T11" i="1"/>
  <c r="T12" i="1"/>
  <c r="T13" i="1"/>
  <c r="AL13" i="1" s="1"/>
  <c r="T14" i="1"/>
  <c r="T15" i="1"/>
  <c r="AL15" i="1" s="1"/>
  <c r="T16" i="1"/>
  <c r="T17" i="1"/>
  <c r="T18" i="1"/>
  <c r="T19" i="1"/>
  <c r="T8" i="1"/>
  <c r="AL10" i="1"/>
  <c r="AL11" i="1"/>
  <c r="AL12" i="1"/>
  <c r="AL14" i="1"/>
  <c r="AL16" i="1"/>
  <c r="AL17" i="1"/>
  <c r="AL18" i="1"/>
  <c r="AL19" i="1"/>
  <c r="AL20" i="1"/>
  <c r="AL21" i="1"/>
  <c r="AL22" i="1"/>
  <c r="AL23" i="1"/>
  <c r="AL24" i="1"/>
  <c r="AL25" i="1"/>
  <c r="AL26" i="1"/>
  <c r="AL28" i="1"/>
  <c r="AL29" i="1"/>
  <c r="AL31" i="1"/>
  <c r="AL33" i="1"/>
  <c r="AL34" i="1"/>
  <c r="AL35" i="1"/>
  <c r="AL36" i="1"/>
  <c r="AL37" i="1"/>
  <c r="AI67" i="1"/>
  <c r="AJ67" i="1" s="1"/>
  <c r="AG67" i="1"/>
  <c r="AI66" i="1"/>
  <c r="AJ66" i="1" s="1"/>
  <c r="AG66" i="1"/>
  <c r="AI65" i="1"/>
  <c r="AJ65" i="1" s="1"/>
  <c r="AG65" i="1"/>
  <c r="AI64" i="1"/>
  <c r="AJ64" i="1" s="1"/>
  <c r="AG64" i="1"/>
  <c r="AI63" i="1"/>
  <c r="AJ63" i="1" s="1"/>
  <c r="AG63" i="1"/>
  <c r="AI62" i="1"/>
  <c r="AJ62" i="1" s="1"/>
  <c r="Z62" i="1"/>
  <c r="AG62" i="1" s="1"/>
  <c r="AI61" i="1"/>
  <c r="AJ61" i="1" s="1"/>
  <c r="AG61" i="1"/>
  <c r="AI60" i="1"/>
  <c r="AJ60" i="1" s="1"/>
  <c r="AG60" i="1"/>
  <c r="AI59" i="1"/>
  <c r="AJ59" i="1" s="1"/>
  <c r="AG59" i="1"/>
  <c r="AI58" i="1"/>
  <c r="AJ58" i="1" s="1"/>
  <c r="AG58" i="1"/>
  <c r="AI57" i="1"/>
  <c r="AJ57" i="1" s="1"/>
  <c r="AG57" i="1"/>
  <c r="AI56" i="1"/>
  <c r="AJ56" i="1" s="1"/>
  <c r="AG56" i="1"/>
  <c r="AI55" i="1"/>
  <c r="AJ55" i="1" s="1"/>
  <c r="AG55" i="1"/>
  <c r="AI54" i="1"/>
  <c r="AJ54" i="1" s="1"/>
  <c r="AG54" i="1"/>
  <c r="AI53" i="1"/>
  <c r="AJ53" i="1" s="1"/>
  <c r="AG53" i="1"/>
  <c r="AI52" i="1"/>
  <c r="AJ52" i="1" s="1"/>
  <c r="AG52" i="1"/>
  <c r="AI51" i="1"/>
  <c r="AJ51" i="1" s="1"/>
  <c r="AG51" i="1"/>
  <c r="AI50" i="1"/>
  <c r="AJ50" i="1" s="1"/>
  <c r="Z50" i="1"/>
  <c r="AG50" i="1" s="1"/>
  <c r="AI49" i="1"/>
  <c r="AJ49" i="1" s="1"/>
  <c r="AG49" i="1"/>
  <c r="AI48" i="1"/>
  <c r="AJ48" i="1" s="1"/>
  <c r="AG48" i="1"/>
  <c r="AI47" i="1"/>
  <c r="AJ47" i="1" s="1"/>
  <c r="AG47" i="1"/>
  <c r="AI46" i="1"/>
  <c r="AJ46" i="1" s="1"/>
  <c r="AG46" i="1"/>
  <c r="AI45" i="1"/>
  <c r="AJ45" i="1" s="1"/>
  <c r="AG45" i="1"/>
  <c r="AI44" i="1"/>
  <c r="AJ44" i="1" s="1"/>
  <c r="AG44" i="1"/>
  <c r="AI43" i="1"/>
  <c r="AJ43" i="1" s="1"/>
  <c r="AG43" i="1"/>
  <c r="AI42" i="1"/>
  <c r="AJ42" i="1" s="1"/>
  <c r="AG42" i="1"/>
  <c r="AI41" i="1"/>
  <c r="AJ41" i="1" s="1"/>
  <c r="AG41" i="1"/>
  <c r="AI40" i="1"/>
  <c r="AJ40" i="1" s="1"/>
  <c r="AG40" i="1"/>
  <c r="AI39" i="1"/>
  <c r="AJ39" i="1" s="1"/>
  <c r="AG39" i="1"/>
  <c r="AI38" i="1"/>
  <c r="AJ38" i="1" s="1"/>
  <c r="Z38" i="1"/>
  <c r="AG38" i="1" s="1"/>
  <c r="AI37" i="1"/>
  <c r="AJ37" i="1" s="1"/>
  <c r="AG37" i="1"/>
  <c r="AI36" i="1"/>
  <c r="AJ36" i="1" s="1"/>
  <c r="AG36" i="1"/>
  <c r="AI35" i="1"/>
  <c r="AJ35" i="1" s="1"/>
  <c r="AG35" i="1"/>
  <c r="AI34" i="1"/>
  <c r="AJ34" i="1" s="1"/>
  <c r="AG34" i="1"/>
  <c r="AI33" i="1"/>
  <c r="AJ33" i="1" s="1"/>
  <c r="AG33" i="1"/>
  <c r="AI32" i="1"/>
  <c r="AJ32" i="1" s="1"/>
  <c r="AG32" i="1"/>
  <c r="AI31" i="1"/>
  <c r="AJ31" i="1" s="1"/>
  <c r="AG31" i="1"/>
  <c r="AI30" i="1"/>
  <c r="AJ30" i="1" s="1"/>
  <c r="AG30" i="1"/>
  <c r="AI29" i="1"/>
  <c r="AJ29" i="1" s="1"/>
  <c r="AG29" i="1"/>
  <c r="AI28" i="1"/>
  <c r="AJ28" i="1" s="1"/>
  <c r="AG28" i="1"/>
  <c r="AI27" i="1"/>
  <c r="AJ27" i="1" s="1"/>
  <c r="AG27" i="1"/>
  <c r="AI26" i="1"/>
  <c r="AJ26" i="1" s="1"/>
  <c r="Z26" i="1"/>
  <c r="AG26" i="1" s="1"/>
  <c r="AI25" i="1"/>
  <c r="AJ25" i="1" s="1"/>
  <c r="AG25" i="1"/>
  <c r="AI24" i="1"/>
  <c r="AJ24" i="1" s="1"/>
  <c r="AG24" i="1"/>
  <c r="AI23" i="1"/>
  <c r="AJ23" i="1" s="1"/>
  <c r="AG23" i="1"/>
  <c r="AI22" i="1"/>
  <c r="AJ22" i="1" s="1"/>
  <c r="AG22" i="1"/>
  <c r="AI21" i="1"/>
  <c r="AJ21" i="1" s="1"/>
  <c r="AG21" i="1"/>
  <c r="AI20" i="1"/>
  <c r="AJ20" i="1" s="1"/>
  <c r="AG20" i="1"/>
  <c r="AI9" i="1"/>
  <c r="AJ9" i="1" s="1"/>
  <c r="AI10" i="1"/>
  <c r="AJ10" i="1" s="1"/>
  <c r="AI11" i="1"/>
  <c r="AJ11" i="1" s="1"/>
  <c r="AI12" i="1"/>
  <c r="AJ12" i="1" s="1"/>
  <c r="AI13" i="1"/>
  <c r="AJ13" i="1" s="1"/>
  <c r="AI14" i="1"/>
  <c r="AJ14" i="1" s="1"/>
  <c r="AI15" i="1"/>
  <c r="AJ15" i="1" s="1"/>
  <c r="AI16" i="1"/>
  <c r="AJ16" i="1" s="1"/>
  <c r="AI17" i="1"/>
  <c r="AJ17" i="1" s="1"/>
  <c r="AI18" i="1"/>
  <c r="AJ18" i="1" s="1"/>
  <c r="AI19" i="1"/>
  <c r="AJ19" i="1" s="1"/>
  <c r="AI8" i="1"/>
  <c r="AJ8" i="1" s="1"/>
  <c r="AG9" i="1"/>
  <c r="AG10" i="1"/>
  <c r="AG11" i="1"/>
  <c r="AG12" i="1"/>
  <c r="AG13" i="1"/>
  <c r="AG15" i="1"/>
  <c r="AG16" i="1"/>
  <c r="AG17" i="1"/>
  <c r="AG18" i="1"/>
  <c r="AG19" i="1"/>
  <c r="AG8" i="1"/>
  <c r="N12" i="1"/>
  <c r="M12" i="1" s="1"/>
  <c r="Y75" i="1"/>
  <c r="X75" i="1"/>
  <c r="AC75" i="1"/>
  <c r="AD74" i="1"/>
  <c r="AD73" i="1"/>
  <c r="AC72" i="1"/>
  <c r="AC71" i="1"/>
  <c r="Y70" i="1"/>
  <c r="X70" i="1"/>
  <c r="AC70" i="1"/>
  <c r="Y69" i="1"/>
  <c r="X69" i="1"/>
  <c r="AC69" i="1"/>
  <c r="X68" i="1"/>
  <c r="AC68" i="1"/>
  <c r="Y63" i="1"/>
  <c r="X63" i="1"/>
  <c r="AC63" i="1"/>
  <c r="AD62" i="1"/>
  <c r="AD61" i="1"/>
  <c r="AC60" i="1"/>
  <c r="AC59" i="1"/>
  <c r="Y58" i="1"/>
  <c r="X58" i="1"/>
  <c r="AC58" i="1"/>
  <c r="Y57" i="1"/>
  <c r="X57" i="1"/>
  <c r="AC57" i="1"/>
  <c r="X56" i="1"/>
  <c r="AC56" i="1"/>
  <c r="Y51" i="1"/>
  <c r="X51" i="1"/>
  <c r="AC51" i="1"/>
  <c r="AD50" i="1"/>
  <c r="AD49" i="1"/>
  <c r="AC48" i="1"/>
  <c r="AC47" i="1"/>
  <c r="Y46" i="1"/>
  <c r="X46" i="1"/>
  <c r="AC46" i="1"/>
  <c r="Y45" i="1"/>
  <c r="X45" i="1"/>
  <c r="AC45" i="1"/>
  <c r="X44" i="1"/>
  <c r="AC44" i="1"/>
  <c r="Y39" i="1"/>
  <c r="X39" i="1"/>
  <c r="AC39" i="1"/>
  <c r="AD38" i="1"/>
  <c r="AD37" i="1"/>
  <c r="AC36" i="1"/>
  <c r="AC35" i="1"/>
  <c r="Y34" i="1"/>
  <c r="X34" i="1"/>
  <c r="AC34" i="1"/>
  <c r="Y33" i="1"/>
  <c r="X33" i="1"/>
  <c r="AC33" i="1"/>
  <c r="X32" i="1"/>
  <c r="AC32" i="1"/>
  <c r="Y27" i="1"/>
  <c r="X27" i="1"/>
  <c r="AC27" i="1"/>
  <c r="AD26" i="1"/>
  <c r="AD25" i="1"/>
  <c r="AC24" i="1"/>
  <c r="AC23" i="1"/>
  <c r="Y22" i="1"/>
  <c r="X22" i="1"/>
  <c r="AC22" i="1"/>
  <c r="Y21" i="1"/>
  <c r="X21" i="1"/>
  <c r="AC21" i="1"/>
  <c r="X20" i="1"/>
  <c r="AC20" i="1"/>
  <c r="X15" i="1"/>
  <c r="AC9" i="1"/>
  <c r="Y15" i="1"/>
  <c r="AE15" i="1" s="1"/>
  <c r="Y10" i="1"/>
  <c r="Y9" i="1"/>
  <c r="X10" i="1"/>
  <c r="X9" i="1"/>
  <c r="X8" i="1"/>
  <c r="AD13" i="1"/>
  <c r="AC8" i="1"/>
  <c r="N79" i="1"/>
  <c r="N67" i="1"/>
  <c r="M67" i="1" s="1"/>
  <c r="N55" i="1"/>
  <c r="M55" i="1" s="1"/>
  <c r="N43" i="1"/>
  <c r="M43" i="1" s="1"/>
  <c r="N31" i="1"/>
  <c r="M31" i="1" s="1"/>
  <c r="N78" i="1"/>
  <c r="M78" i="1"/>
  <c r="N66" i="1"/>
  <c r="M66" i="1"/>
  <c r="N54" i="1"/>
  <c r="M54" i="1"/>
  <c r="N42" i="1"/>
  <c r="M42" i="1"/>
  <c r="N30" i="1"/>
  <c r="M30" i="1"/>
  <c r="N77" i="1"/>
  <c r="M77" i="1"/>
  <c r="N65" i="1"/>
  <c r="M65" i="1"/>
  <c r="N53" i="1"/>
  <c r="M53" i="1"/>
  <c r="N41" i="1"/>
  <c r="M41" i="1"/>
  <c r="N29" i="1"/>
  <c r="M29" i="1"/>
  <c r="N76" i="1"/>
  <c r="M76" i="1"/>
  <c r="N64" i="1"/>
  <c r="M64" i="1"/>
  <c r="N52" i="1"/>
  <c r="M52" i="1"/>
  <c r="N40" i="1"/>
  <c r="M40" i="1"/>
  <c r="N28" i="1"/>
  <c r="M28" i="1"/>
  <c r="N75" i="1"/>
  <c r="M75" i="1"/>
  <c r="N63" i="1"/>
  <c r="M63" i="1"/>
  <c r="N51" i="1"/>
  <c r="M51" i="1"/>
  <c r="N39" i="1"/>
  <c r="M39" i="1"/>
  <c r="N27" i="1"/>
  <c r="M27" i="1"/>
  <c r="N74" i="1"/>
  <c r="M74" i="1"/>
  <c r="N62" i="1"/>
  <c r="M62" i="1"/>
  <c r="N50" i="1"/>
  <c r="M50" i="1"/>
  <c r="N38" i="1"/>
  <c r="M38" i="1"/>
  <c r="N26" i="1"/>
  <c r="M26" i="1"/>
  <c r="N73" i="1"/>
  <c r="M73" i="1"/>
  <c r="N61" i="1"/>
  <c r="M61" i="1"/>
  <c r="N49" i="1"/>
  <c r="M49" i="1"/>
  <c r="N37" i="1"/>
  <c r="M37" i="1"/>
  <c r="N25" i="1"/>
  <c r="M25" i="1"/>
  <c r="N72" i="1"/>
  <c r="N60" i="1"/>
  <c r="M60" i="1" s="1"/>
  <c r="N48" i="1"/>
  <c r="M48" i="1" s="1"/>
  <c r="N36" i="1"/>
  <c r="M36" i="1" s="1"/>
  <c r="N24" i="1"/>
  <c r="M24" i="1" s="1"/>
  <c r="N71" i="1"/>
  <c r="M71" i="1"/>
  <c r="N59" i="1"/>
  <c r="M59" i="1"/>
  <c r="N47" i="1"/>
  <c r="M47" i="1"/>
  <c r="N35" i="1"/>
  <c r="M35" i="1"/>
  <c r="N23" i="1"/>
  <c r="M23" i="1"/>
  <c r="N70" i="1"/>
  <c r="M70" i="1"/>
  <c r="N58" i="1"/>
  <c r="M58" i="1"/>
  <c r="N46" i="1"/>
  <c r="M46" i="1"/>
  <c r="N34" i="1"/>
  <c r="M34" i="1"/>
  <c r="N22" i="1"/>
  <c r="M22" i="1"/>
  <c r="N69" i="1"/>
  <c r="M69" i="1"/>
  <c r="N57" i="1"/>
  <c r="M57" i="1"/>
  <c r="N45" i="1"/>
  <c r="M45" i="1"/>
  <c r="N33" i="1"/>
  <c r="M33" i="1"/>
  <c r="N21" i="1"/>
  <c r="M21" i="1"/>
  <c r="N8" i="11"/>
  <c r="N9" i="11"/>
  <c r="N10" i="11"/>
  <c r="N11" i="11"/>
  <c r="N12" i="11"/>
  <c r="N13" i="11"/>
  <c r="N14" i="11"/>
  <c r="N15" i="11"/>
  <c r="N16" i="11"/>
  <c r="N17" i="11"/>
  <c r="N18" i="11"/>
  <c r="N7" i="11"/>
  <c r="N19" i="1"/>
  <c r="M19" i="1" s="1"/>
  <c r="N18" i="1"/>
  <c r="N17" i="1"/>
  <c r="N16" i="1"/>
  <c r="N15" i="1"/>
  <c r="N14" i="1"/>
  <c r="N13" i="1"/>
  <c r="N11" i="1"/>
  <c r="N10" i="1"/>
  <c r="N9" i="1"/>
  <c r="N32" i="1"/>
  <c r="N44" i="1"/>
  <c r="N56" i="1"/>
  <c r="N68" i="1"/>
  <c r="N20" i="1"/>
  <c r="N8" i="1"/>
  <c r="M18" i="1"/>
  <c r="M17" i="1"/>
  <c r="M16" i="1"/>
  <c r="M15" i="1"/>
  <c r="M14" i="1"/>
  <c r="M13" i="1"/>
  <c r="M11" i="1"/>
  <c r="M10" i="1"/>
  <c r="M9" i="1"/>
  <c r="M56" i="1"/>
  <c r="M44" i="1"/>
  <c r="M32" i="1"/>
  <c r="M20" i="1"/>
  <c r="M8" i="1"/>
  <c r="Z14" i="1"/>
  <c r="AG14" i="1" s="1"/>
  <c r="AL20" i="17" l="1"/>
  <c r="AL44" i="17"/>
  <c r="AL32" i="17"/>
  <c r="AL66" i="17"/>
  <c r="AL61" i="17"/>
  <c r="AL56" i="17"/>
  <c r="AL22" i="17"/>
  <c r="AL30" i="17"/>
  <c r="AL59" i="17"/>
  <c r="AL40" i="17"/>
  <c r="AL46" i="17"/>
  <c r="R27" i="21"/>
  <c r="AC27" i="21" s="1"/>
  <c r="R23" i="21"/>
  <c r="AC23" i="21" s="1"/>
  <c r="R19" i="21"/>
  <c r="AC19" i="21" s="1"/>
  <c r="R15" i="21"/>
  <c r="R26" i="21"/>
  <c r="AC26" i="21" s="1"/>
  <c r="R18" i="21"/>
  <c r="AC18" i="21" s="1"/>
  <c r="R22" i="21"/>
  <c r="AC22" i="21" s="1"/>
  <c r="R14" i="21"/>
  <c r="R21" i="21"/>
  <c r="AC21" i="21" s="1"/>
  <c r="R13" i="21"/>
  <c r="R25" i="21"/>
  <c r="AC25" i="21" s="1"/>
  <c r="R17" i="21"/>
  <c r="AC17" i="21" s="1"/>
  <c r="R24" i="21"/>
  <c r="AC24" i="21" s="1"/>
  <c r="R20" i="21"/>
  <c r="AC20" i="21" s="1"/>
  <c r="R16" i="21"/>
  <c r="AC16" i="21" s="1"/>
  <c r="R12" i="21"/>
  <c r="R15" i="20"/>
  <c r="AC15" i="20" s="1"/>
  <c r="R19" i="20"/>
  <c r="R23" i="20"/>
  <c r="AC23" i="20" s="1"/>
  <c r="R27" i="20"/>
  <c r="AC27" i="20" s="1"/>
  <c r="R31" i="20"/>
  <c r="R14" i="20"/>
  <c r="AC14" i="20" s="1"/>
  <c r="R22" i="20"/>
  <c r="AC22" i="20" s="1"/>
  <c r="R18" i="20"/>
  <c r="R26" i="20"/>
  <c r="AC26" i="20" s="1"/>
  <c r="R13" i="20"/>
  <c r="R17" i="20"/>
  <c r="AC17" i="20" s="1"/>
  <c r="R21" i="20"/>
  <c r="AC21" i="20" s="1"/>
  <c r="R25" i="20"/>
  <c r="AC25" i="20" s="1"/>
  <c r="R16" i="20"/>
  <c r="AC16" i="20" s="1"/>
  <c r="R12" i="20"/>
  <c r="AC12" i="20" s="1"/>
  <c r="R20" i="20"/>
  <c r="R24" i="20"/>
  <c r="AC24" i="20" s="1"/>
  <c r="Q17" i="21"/>
  <c r="Q13" i="21"/>
  <c r="Q21" i="21"/>
  <c r="Q25" i="21"/>
  <c r="Q26" i="21"/>
  <c r="Q18" i="21"/>
  <c r="Q22" i="21"/>
  <c r="Q14" i="21"/>
  <c r="Q15" i="21"/>
  <c r="Q19" i="21"/>
  <c r="Q23" i="21"/>
  <c r="Q27" i="21"/>
  <c r="Q16" i="21"/>
  <c r="Q20" i="21"/>
  <c r="Q12" i="21"/>
  <c r="Q24" i="21"/>
  <c r="AL21" i="17"/>
  <c r="AL39" i="17"/>
  <c r="AL67" i="17"/>
  <c r="AL45" i="17"/>
  <c r="AL43" i="17"/>
  <c r="AL37" i="17"/>
  <c r="AL27" i="17"/>
  <c r="AL51" i="17"/>
  <c r="AL53" i="17"/>
  <c r="AL35" i="17"/>
  <c r="AL42" i="17"/>
  <c r="AL29" i="17"/>
  <c r="U77" i="17"/>
  <c r="W76" i="17"/>
  <c r="V76" i="17"/>
  <c r="U76" i="17"/>
  <c r="W75" i="17"/>
  <c r="U75" i="17"/>
  <c r="W74" i="17"/>
  <c r="V74" i="17"/>
  <c r="U74" i="17"/>
  <c r="W73" i="17"/>
  <c r="V73" i="17"/>
  <c r="U73" i="17"/>
  <c r="W72" i="17"/>
  <c r="V72" i="17"/>
  <c r="U72" i="17"/>
  <c r="W71" i="17"/>
  <c r="V71" i="17"/>
  <c r="U71" i="17"/>
  <c r="W70" i="17"/>
  <c r="V70" i="17"/>
  <c r="U70" i="17"/>
  <c r="W69" i="17"/>
  <c r="V69" i="17"/>
  <c r="U69" i="17"/>
  <c r="W68" i="17"/>
  <c r="V68" i="17"/>
  <c r="U68" i="17"/>
  <c r="AL41" i="17"/>
  <c r="AL49" i="17"/>
  <c r="AL26" i="17"/>
  <c r="V75" i="17"/>
  <c r="AL52" i="17"/>
  <c r="AL38" i="17"/>
  <c r="AL36" i="17"/>
  <c r="AL31" i="17"/>
  <c r="Z11" i="21"/>
  <c r="Z31" i="21" s="1"/>
  <c r="Y31" i="21"/>
  <c r="P31" i="21"/>
  <c r="AA11" i="21"/>
  <c r="AA30" i="21"/>
  <c r="AB10" i="21"/>
  <c r="Y30" i="21"/>
  <c r="Z10" i="21"/>
  <c r="Z30" i="21" s="1"/>
  <c r="AB9" i="21"/>
  <c r="AA29" i="21"/>
  <c r="Y29" i="21"/>
  <c r="Z9" i="21"/>
  <c r="Z29" i="21" s="1"/>
  <c r="AB8" i="21"/>
  <c r="AA28" i="21"/>
  <c r="Z8" i="21"/>
  <c r="Z28" i="21" s="1"/>
  <c r="Y28" i="21"/>
  <c r="AA28" i="20"/>
  <c r="AB8" i="20"/>
  <c r="AC8" i="20" s="1"/>
  <c r="AB9" i="20"/>
  <c r="AC9" i="20" s="1"/>
  <c r="AA29" i="20"/>
  <c r="AB10" i="20"/>
  <c r="AC10" i="20" s="1"/>
  <c r="AA30" i="20"/>
  <c r="P31" i="20"/>
  <c r="AA11" i="20"/>
  <c r="T27" i="20"/>
  <c r="U27" i="20"/>
  <c r="T23" i="20"/>
  <c r="U23" i="20"/>
  <c r="T19" i="20"/>
  <c r="U19" i="20"/>
  <c r="T15" i="20"/>
  <c r="U15" i="20"/>
  <c r="T11" i="20"/>
  <c r="U11" i="20"/>
  <c r="AB19" i="20"/>
  <c r="AB29" i="20"/>
  <c r="AB30" i="20"/>
  <c r="AB28" i="20"/>
  <c r="AK17" i="17"/>
  <c r="Q31" i="20"/>
  <c r="Z9" i="20"/>
  <c r="Z29" i="20" s="1"/>
  <c r="Y29" i="20"/>
  <c r="Z10" i="20"/>
  <c r="Z30" i="20" s="1"/>
  <c r="Y30" i="20"/>
  <c r="Z11" i="20"/>
  <c r="Z31" i="20" s="1"/>
  <c r="Y31" i="20"/>
  <c r="Y28" i="20"/>
  <c r="Z8" i="20"/>
  <c r="Z28" i="20" s="1"/>
  <c r="AL58" i="17"/>
  <c r="AL62" i="17"/>
  <c r="V79" i="17"/>
  <c r="W78" i="17"/>
  <c r="W77" i="17"/>
  <c r="W79" i="17"/>
  <c r="U79" i="17"/>
  <c r="V78" i="17"/>
  <c r="U78" i="17"/>
  <c r="V77" i="17"/>
  <c r="S31" i="20"/>
  <c r="S30" i="20"/>
  <c r="S29" i="20"/>
  <c r="S28" i="20"/>
  <c r="Q16" i="10"/>
  <c r="S16" i="10"/>
  <c r="AE68" i="17"/>
  <c r="AE51" i="17"/>
  <c r="AE32" i="17"/>
  <c r="AE21" i="17"/>
  <c r="AE15" i="17"/>
  <c r="AE10" i="17"/>
  <c r="AE9" i="17"/>
  <c r="AE75" i="17"/>
  <c r="AE70" i="17"/>
  <c r="AE69" i="17"/>
  <c r="AE63" i="17"/>
  <c r="AK62" i="17"/>
  <c r="AE58" i="17"/>
  <c r="AE57" i="17"/>
  <c r="AL55" i="17"/>
  <c r="AL34" i="17"/>
  <c r="AE20" i="17"/>
  <c r="AE56" i="17"/>
  <c r="AH50" i="17"/>
  <c r="AK50" i="17" s="1"/>
  <c r="AL50" i="17"/>
  <c r="AE34" i="17"/>
  <c r="AE8" i="17"/>
  <c r="AK49" i="17"/>
  <c r="AE46" i="17"/>
  <c r="AE45" i="17"/>
  <c r="AE44" i="17"/>
  <c r="AE39" i="17"/>
  <c r="AH38" i="17"/>
  <c r="AE33" i="17"/>
  <c r="AK18" i="17"/>
  <c r="AK9" i="17"/>
  <c r="AH32" i="17"/>
  <c r="AE27" i="17"/>
  <c r="AE22" i="17"/>
  <c r="AH48" i="1"/>
  <c r="AK48" i="1" s="1"/>
  <c r="AH9" i="1"/>
  <c r="AK9" i="1" s="1"/>
  <c r="T79" i="17"/>
  <c r="AL19" i="17"/>
  <c r="AL18" i="17"/>
  <c r="T78" i="17"/>
  <c r="AL17" i="17"/>
  <c r="T77" i="17"/>
  <c r="T76" i="17"/>
  <c r="AL16" i="17"/>
  <c r="AL15" i="17"/>
  <c r="T75" i="17"/>
  <c r="AL14" i="17"/>
  <c r="T74" i="17"/>
  <c r="T73" i="17"/>
  <c r="AL13" i="17"/>
  <c r="AL12" i="17"/>
  <c r="T72" i="17"/>
  <c r="T71" i="17"/>
  <c r="AL11" i="17"/>
  <c r="T70" i="17"/>
  <c r="AL10" i="17"/>
  <c r="T69" i="17"/>
  <c r="AL9" i="17"/>
  <c r="AL8" i="17"/>
  <c r="T68" i="17"/>
  <c r="AK45" i="17"/>
  <c r="AK40" i="17"/>
  <c r="AK38" i="17"/>
  <c r="AK36" i="17"/>
  <c r="AK30" i="17"/>
  <c r="AK28" i="17"/>
  <c r="AK24" i="17"/>
  <c r="AK12" i="17"/>
  <c r="U69" i="1"/>
  <c r="U70" i="1"/>
  <c r="U71" i="1"/>
  <c r="U72" i="1"/>
  <c r="U74" i="1"/>
  <c r="U75" i="1"/>
  <c r="U76" i="1"/>
  <c r="U77" i="1"/>
  <c r="U73" i="1"/>
  <c r="V68" i="1"/>
  <c r="AL8" i="1"/>
  <c r="U68" i="1"/>
  <c r="T68" i="1"/>
  <c r="AH67" i="1"/>
  <c r="AK67" i="1" s="1"/>
  <c r="AH60" i="1"/>
  <c r="AK60" i="1" s="1"/>
  <c r="AH17" i="1"/>
  <c r="AK17" i="1" s="1"/>
  <c r="AH16" i="1"/>
  <c r="AK16" i="1" s="1"/>
  <c r="AH15" i="1"/>
  <c r="AK15" i="1" s="1"/>
  <c r="AH13" i="1"/>
  <c r="AK13" i="1" s="1"/>
  <c r="AH11" i="1"/>
  <c r="AK11" i="1" s="1"/>
  <c r="AH8" i="1"/>
  <c r="AK8" i="1" s="1"/>
  <c r="AH42" i="1"/>
  <c r="AK42" i="1" s="1"/>
  <c r="AH23" i="1"/>
  <c r="AK23" i="1" s="1"/>
  <c r="AH22" i="1"/>
  <c r="AK22" i="1" s="1"/>
  <c r="AH21" i="1"/>
  <c r="AK21" i="1" s="1"/>
  <c r="T79" i="1"/>
  <c r="AH40" i="1"/>
  <c r="AK40" i="1" s="1"/>
  <c r="AH39" i="1"/>
  <c r="AK39" i="1" s="1"/>
  <c r="AH38" i="1"/>
  <c r="AK38" i="1" s="1"/>
  <c r="AH37" i="1"/>
  <c r="AK37" i="1" s="1"/>
  <c r="AH35" i="1"/>
  <c r="AK35" i="1" s="1"/>
  <c r="AH34" i="1"/>
  <c r="AH33" i="1"/>
  <c r="AK33" i="1" s="1"/>
  <c r="AH29" i="1"/>
  <c r="AK29" i="1" s="1"/>
  <c r="AH28" i="1"/>
  <c r="AK28" i="1" s="1"/>
  <c r="AH27" i="1"/>
  <c r="AK27" i="1" s="1"/>
  <c r="AH26" i="1"/>
  <c r="AK26" i="1" s="1"/>
  <c r="AH25" i="1"/>
  <c r="AK25" i="1" s="1"/>
  <c r="AH20" i="1"/>
  <c r="AH10" i="1"/>
  <c r="AK10" i="1" s="1"/>
  <c r="AH18" i="1"/>
  <c r="AK18" i="1" s="1"/>
  <c r="AH12" i="1"/>
  <c r="AK12" i="1" s="1"/>
  <c r="AH14" i="1"/>
  <c r="AK14" i="1" s="1"/>
  <c r="AH64" i="1"/>
  <c r="AK64" i="1" s="1"/>
  <c r="AH63" i="1"/>
  <c r="AK63" i="1" s="1"/>
  <c r="AH62" i="1"/>
  <c r="AK62" i="1" s="1"/>
  <c r="AH61" i="1"/>
  <c r="AK61" i="1" s="1"/>
  <c r="AH52" i="1"/>
  <c r="AK52" i="1" s="1"/>
  <c r="AH50" i="1"/>
  <c r="AK50" i="1" s="1"/>
  <c r="AH49" i="1"/>
  <c r="AK49" i="1" s="1"/>
  <c r="AH47" i="1"/>
  <c r="AK47" i="1" s="1"/>
  <c r="AH46" i="1"/>
  <c r="AK46" i="1" s="1"/>
  <c r="AH45" i="1"/>
  <c r="AK45" i="1" s="1"/>
  <c r="AH32" i="1"/>
  <c r="AK32" i="1" s="1"/>
  <c r="AH55" i="1"/>
  <c r="AK55" i="1" s="1"/>
  <c r="AH43" i="1"/>
  <c r="AK43" i="1" s="1"/>
  <c r="AH31" i="1"/>
  <c r="AK31" i="1" s="1"/>
  <c r="AH36" i="1"/>
  <c r="AK36" i="1" s="1"/>
  <c r="AH24" i="1"/>
  <c r="AK24" i="1" s="1"/>
  <c r="AH59" i="1"/>
  <c r="AK59" i="1" s="1"/>
  <c r="AH58" i="1"/>
  <c r="AK58" i="1" s="1"/>
  <c r="AH57" i="1"/>
  <c r="AK57" i="1" s="1"/>
  <c r="AH56" i="1"/>
  <c r="AK56" i="1" s="1"/>
  <c r="AH54" i="1"/>
  <c r="AK54" i="1" s="1"/>
  <c r="AH53" i="1"/>
  <c r="AK53" i="1" s="1"/>
  <c r="AH44" i="1"/>
  <c r="AK44" i="1" s="1"/>
  <c r="AK34" i="1"/>
  <c r="AK20" i="1"/>
  <c r="AF8" i="1"/>
  <c r="AH51" i="1"/>
  <c r="AK51" i="1" s="1"/>
  <c r="AH41" i="1"/>
  <c r="AK41" i="1" s="1"/>
  <c r="AH65" i="1"/>
  <c r="AK65" i="1" s="1"/>
  <c r="AH66" i="1"/>
  <c r="AK66" i="1" s="1"/>
  <c r="AH30" i="1"/>
  <c r="AK30" i="1" s="1"/>
  <c r="AH19" i="1"/>
  <c r="AK19" i="1" s="1"/>
  <c r="AE75" i="1"/>
  <c r="AE70" i="1"/>
  <c r="AE69" i="1"/>
  <c r="AE68" i="1"/>
  <c r="AE45" i="1"/>
  <c r="AE10" i="1"/>
  <c r="AE9" i="1"/>
  <c r="AE63" i="1"/>
  <c r="AE58" i="1"/>
  <c r="AE57" i="1"/>
  <c r="AE56" i="1"/>
  <c r="AE51" i="1"/>
  <c r="AE46" i="1"/>
  <c r="AE44" i="1"/>
  <c r="AE39" i="1"/>
  <c r="AE34" i="1"/>
  <c r="AE33" i="1"/>
  <c r="AE32" i="1"/>
  <c r="AE27" i="1"/>
  <c r="AE22" i="1"/>
  <c r="AE21" i="1"/>
  <c r="AE20" i="1"/>
  <c r="AE8" i="1"/>
  <c r="W68" i="1"/>
  <c r="T69" i="1"/>
  <c r="T71" i="1"/>
  <c r="T72" i="1"/>
  <c r="T73" i="1"/>
  <c r="T74" i="1"/>
  <c r="T76" i="1"/>
  <c r="T78" i="1"/>
  <c r="T70" i="1"/>
  <c r="T75" i="1"/>
  <c r="T77" i="1"/>
  <c r="V69" i="1"/>
  <c r="W69" i="1"/>
  <c r="V70" i="1"/>
  <c r="W70" i="1"/>
  <c r="V71" i="1"/>
  <c r="W71" i="1"/>
  <c r="V72" i="1"/>
  <c r="W72" i="1"/>
  <c r="V73" i="1"/>
  <c r="W73" i="1"/>
  <c r="V74" i="1"/>
  <c r="W74" i="1"/>
  <c r="V75" i="1"/>
  <c r="W75" i="1"/>
  <c r="V76" i="1"/>
  <c r="W76" i="1"/>
  <c r="V77" i="1"/>
  <c r="W77" i="1"/>
  <c r="V78" i="1"/>
  <c r="W78" i="1"/>
  <c r="V79" i="1"/>
  <c r="W79" i="1"/>
  <c r="Q30" i="21" l="1"/>
  <c r="Q31" i="21"/>
  <c r="AL68" i="17"/>
  <c r="R29" i="20"/>
  <c r="AC13" i="20"/>
  <c r="AC29" i="20" s="1"/>
  <c r="Q29" i="21"/>
  <c r="Q28" i="21"/>
  <c r="AC19" i="20"/>
  <c r="R31" i="21"/>
  <c r="AC15" i="21"/>
  <c r="R30" i="21"/>
  <c r="AC14" i="21"/>
  <c r="R29" i="21"/>
  <c r="AC13" i="21"/>
  <c r="R28" i="21"/>
  <c r="AC12" i="21"/>
  <c r="AC18" i="20"/>
  <c r="AC30" i="20" s="1"/>
  <c r="R30" i="20"/>
  <c r="AC20" i="20"/>
  <c r="AC28" i="20" s="1"/>
  <c r="R28" i="20"/>
  <c r="AL75" i="17"/>
  <c r="AL69" i="17"/>
  <c r="AL77" i="17"/>
  <c r="AL78" i="17"/>
  <c r="AL73" i="17"/>
  <c r="AL71" i="17"/>
  <c r="AL76" i="17"/>
  <c r="AL72" i="17"/>
  <c r="AL70" i="17"/>
  <c r="AB11" i="21"/>
  <c r="AA31" i="21"/>
  <c r="AC10" i="21"/>
  <c r="AB30" i="21"/>
  <c r="AC9" i="21"/>
  <c r="AB29" i="21"/>
  <c r="AC8" i="21"/>
  <c r="AB28" i="21"/>
  <c r="AA31" i="20"/>
  <c r="AB11" i="20"/>
  <c r="AC11" i="20" s="1"/>
  <c r="T31" i="20"/>
  <c r="U31" i="20"/>
  <c r="T30" i="20"/>
  <c r="U30" i="20"/>
  <c r="T29" i="20"/>
  <c r="U29" i="20"/>
  <c r="T28" i="20"/>
  <c r="U28" i="20"/>
  <c r="AL79" i="17"/>
  <c r="AL74" i="17"/>
  <c r="AD14" i="1"/>
  <c r="AC15" i="1"/>
  <c r="AC12" i="1"/>
  <c r="AC11" i="1"/>
  <c r="AC10" i="1"/>
  <c r="AC29" i="21" l="1"/>
  <c r="AC30" i="21"/>
  <c r="AC28" i="21"/>
  <c r="AC11" i="21"/>
  <c r="AC31" i="21" s="1"/>
  <c r="AB31" i="21"/>
  <c r="AB31" i="20"/>
  <c r="AC31" i="20"/>
  <c r="AF20" i="1" l="1"/>
  <c r="AF32" i="1"/>
  <c r="AF44" i="1"/>
  <c r="AF56" i="1"/>
</calcChain>
</file>

<file path=xl/sharedStrings.xml><?xml version="1.0" encoding="utf-8"?>
<sst xmlns="http://schemas.openxmlformats.org/spreadsheetml/2006/main" count="13269" uniqueCount="397">
  <si>
    <t>EnergyConvTech</t>
  </si>
  <si>
    <t>ModelGeography</t>
  </si>
  <si>
    <t>SubGeography1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</si>
  <si>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</si>
  <si>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</si>
  <si>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</si>
  <si>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</si>
  <si>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</si>
  <si>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</si>
  <si>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</si>
  <si>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</si>
  <si>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</si>
  <si>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</si>
  <si>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</si>
  <si>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</si>
  <si>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</si>
  <si>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</si>
  <si>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</si>
  <si>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</si>
  <si>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</si>
  <si>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</si>
  <si>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</si>
  <si>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</si>
  <si>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</si>
  <si>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</si>
  <si>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</si>
  <si>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</si>
  <si>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</si>
  <si>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</si>
  <si>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</si>
  <si>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</si>
  <si>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</si>
  <si>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</si>
  <si>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</si>
  <si>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</si>
  <si>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</si>
  <si>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</si>
  <si>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</si>
  <si>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</si>
  <si>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</si>
  <si>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</si>
  <si>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</si>
  <si>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</si>
  <si>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</si>
  <si>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</si>
  <si>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</si>
  <si>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</si>
  <si>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</si>
  <si>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</si>
  <si>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</si>
  <si>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</si>
  <si>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</si>
  <si>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</si>
  <si>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</si>
  <si>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</si>
  <si>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</si>
  <si>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</si>
  <si>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</si>
  <si>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</si>
  <si>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</si>
  <si>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</si>
  <si>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</si>
  <si>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</si>
  <si>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</si>
  <si>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</si>
  <si>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</si>
  <si>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</si>
  <si>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</si>
  <si>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</si>
  <si>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</si>
  <si>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</si>
  <si>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</si>
  <si>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</si>
  <si>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</si>
  <si>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</si>
  <si>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</si>
  <si>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</si>
  <si>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</si>
  <si>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</si>
  <si>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</si>
  <si>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</si>
  <si>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</si>
  <si>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ALL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</si>
  <si>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</si>
  <si>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</si>
  <si>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</si>
  <si>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</si>
  <si>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</si>
  <si>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</si>
  <si>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</si>
  <si>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</si>
  <si>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</si>
  <si>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</si>
  <si>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</si>
  <si>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</si>
  <si>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</si>
  <si>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</si>
  <si>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</si>
  <si>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Unit</t>
  </si>
  <si>
    <t>%</t>
  </si>
  <si>
    <t>years</t>
  </si>
  <si>
    <t>MWh</t>
  </si>
  <si>
    <t>given</t>
  </si>
  <si>
    <t>k</t>
  </si>
  <si>
    <t>m</t>
  </si>
  <si>
    <t>n</t>
  </si>
  <si>
    <t>EnergyStorTech</t>
  </si>
  <si>
    <t>StoredEC</t>
  </si>
  <si>
    <t>DomOrImp</t>
  </si>
  <si>
    <t>MaxChargeRate</t>
  </si>
  <si>
    <t>MaxDischargeRate</t>
  </si>
  <si>
    <t>StorPeriodicity</t>
  </si>
  <si>
    <t>TWOHR_BATTERY</t>
  </si>
  <si>
    <t>EC_DOM</t>
  </si>
  <si>
    <t>DAILY</t>
  </si>
  <si>
    <t>FOURHR_BATTERY</t>
  </si>
  <si>
    <t>SIXHR_BATTERY</t>
  </si>
  <si>
    <t>PUMPED_STOR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</si>
  <si>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</si>
  <si>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</si>
  <si>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</si>
  <si>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</si>
  <si>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</si>
  <si>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</si>
  <si>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</si>
  <si>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</si>
  <si>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</si>
  <si>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</si>
  <si>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</si>
  <si>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PIER2.0</t>
  </si>
  <si>
    <t>MW</t>
  </si>
  <si>
    <t>tCO2/MWh input</t>
  </si>
  <si>
    <t>MaxImport</t>
  </si>
  <si>
    <t>MaxDomesticProd</t>
  </si>
  <si>
    <t>FixedTaxOHImp</t>
  </si>
  <si>
    <t>AVTaxOHImp</t>
  </si>
  <si>
    <t>ImportPrice</t>
  </si>
  <si>
    <t>FixedTaxOHDom</t>
  </si>
  <si>
    <t>AVTaxOHDom</t>
  </si>
  <si>
    <t>NonEnergyShare</t>
  </si>
  <si>
    <t>MT or BCF</t>
  </si>
  <si>
    <t xml:space="preserve"> = </t>
  </si>
  <si>
    <t>DomesticPrice (mRs/ktonne)</t>
  </si>
  <si>
    <t>wacc</t>
  </si>
  <si>
    <t>CRF</t>
  </si>
  <si>
    <t>PIER2.0_ECT::EfficiencyCostMaxAnnual.csv</t>
  </si>
  <si>
    <t>Source::File</t>
  </si>
  <si>
    <t>i</t>
  </si>
  <si>
    <t>l</t>
  </si>
  <si>
    <t>o</t>
  </si>
  <si>
    <t>PIER2.0::ECT_Lifetime.csv</t>
  </si>
  <si>
    <t>PIER2.0::ECT_OperationalInfo.csv</t>
  </si>
  <si>
    <t>PIER2.0::ECT_LegacyCapacity.csv</t>
  </si>
  <si>
    <t>PIER2.0::ECT_CapAddBounds.csv</t>
  </si>
  <si>
    <t>given / 1000</t>
  </si>
  <si>
    <t>description</t>
  </si>
  <si>
    <t>energy carrier</t>
  </si>
  <si>
    <t>model geography</t>
  </si>
  <si>
    <t>efficiency of conversion of energy input to output</t>
  </si>
  <si>
    <t>annuity on existiting capacity</t>
  </si>
  <si>
    <t>annuity on new capacity</t>
  </si>
  <si>
    <t>lifetime of asset</t>
  </si>
  <si>
    <t>legacy/existing</t>
  </si>
  <si>
    <t>pipeline builds</t>
  </si>
  <si>
    <t>maximum additions</t>
  </si>
  <si>
    <t>given/1000</t>
  </si>
  <si>
    <t>max utilization factor (over whole year) ** this must be considered alongside availability for technology provided in ECT_Max_CUF.csv to arrive at more granular availability profiles (see code)</t>
  </si>
  <si>
    <t>Sum of LegacyCapacity</t>
  </si>
  <si>
    <t>Column Labels</t>
  </si>
  <si>
    <t>(blank)</t>
  </si>
  <si>
    <t>Grand Total</t>
  </si>
  <si>
    <t>RF_ATF</t>
  </si>
  <si>
    <t>RF_HSD</t>
  </si>
  <si>
    <t>RF_LPG</t>
  </si>
  <si>
    <t>RF_MS</t>
  </si>
  <si>
    <t>RF_OTHERPP</t>
  </si>
  <si>
    <t>RF_PETCOKE</t>
  </si>
  <si>
    <t>Sum of MinCapacity</t>
  </si>
  <si>
    <t>ECT_LegacyCapacity.csv</t>
  </si>
  <si>
    <t>PIER::EnergyConvTechnologies.csv</t>
  </si>
  <si>
    <t>model granularity</t>
  </si>
  <si>
    <t>million Rs / Mt</t>
  </si>
  <si>
    <t>variable cost per Mt of input energy carrier</t>
  </si>
  <si>
    <t>days</t>
  </si>
  <si>
    <t>month</t>
  </si>
  <si>
    <t>may</t>
  </si>
  <si>
    <t>june</t>
  </si>
  <si>
    <t>april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</si>
  <si>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</si>
  <si>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</si>
  <si>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</si>
  <si>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</si>
  <si>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</si>
  <si>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</si>
  <si>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</si>
  <si>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</si>
  <si>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</si>
  <si>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hours day</t>
  </si>
  <si>
    <t>hours</t>
  </si>
  <si>
    <t>S01Apr</t>
  </si>
  <si>
    <t>S02May</t>
  </si>
  <si>
    <t>S03Jun</t>
  </si>
  <si>
    <t>S04Jul</t>
  </si>
  <si>
    <t>S05Aug</t>
  </si>
  <si>
    <t>S06Sep</t>
  </si>
  <si>
    <t>S07Oct</t>
  </si>
  <si>
    <t>S08Nov</t>
  </si>
  <si>
    <t>S09Dec</t>
  </si>
  <si>
    <t>S10Jan</t>
  </si>
  <si>
    <t>S11Feb</t>
  </si>
  <si>
    <t>S12Mar</t>
  </si>
  <si>
    <t>million Rs2024/MW</t>
  </si>
  <si>
    <t>Period</t>
  </si>
  <si>
    <t>Constraint (s)</t>
  </si>
  <si>
    <t>Year (FY)</t>
  </si>
  <si>
    <t>Capacity forced , no retirements, no new-builds</t>
  </si>
  <si>
    <t>Pipeline capacity forced, no retirements, no new-builds</t>
  </si>
  <si>
    <t>Demand = PIER2.0 2025, Calibration year for less constraned model operaration</t>
  </si>
  <si>
    <t>Demand = PIER2.0 2024, Calibration year for constrained model operation and comparison between Rumi+PIER2.0 &amp; Macro case build on PIER2.0</t>
  </si>
  <si>
    <t>Using demand from 2029, as selected year for period , which spans 2026 to 2031, using constraints from PIER2.0 "8_REF_Unconstr" scenario</t>
  </si>
  <si>
    <t>Using demand from 2034, as selected year for period, which spans 2032 to 2036, using constraints from PIER2.0 "8_REF_Unconstr" scenario</t>
  </si>
  <si>
    <t>Using demand from 2039, as selected year for period, which spans 2037 to 2041, using constraints from PIER2.0 "8_REF_Unconstr" scenario</t>
  </si>
  <si>
    <t>Notes</t>
  </si>
  <si>
    <t>This period is inserted only so that all existing capacity can be built. Using demand from 2024, as PIER2.0 does not provide a demand for 2023</t>
  </si>
  <si>
    <t>PIER2.0 var name</t>
  </si>
  <si>
    <t>Equation to Macro var</t>
  </si>
  <si>
    <t>Macro variable</t>
  </si>
  <si>
    <t>location</t>
  </si>
  <si>
    <t>all units in macro are given in the selected value</t>
  </si>
  <si>
    <t>fuel_commodity</t>
  </si>
  <si>
    <t>annualized_investment_cost</t>
  </si>
  <si>
    <t>FixedCost</t>
  </si>
  <si>
    <t>VarCost</t>
  </si>
  <si>
    <t>% of energy input consumed by technology (not  part of output)</t>
  </si>
  <si>
    <t>ramp_up_fraction</t>
  </si>
  <si>
    <t>ramp_down_fraction</t>
  </si>
  <si>
    <t>MinCapacity</t>
  </si>
  <si>
    <t>MaxCapacity</t>
  </si>
  <si>
    <t>existing_capacity</t>
  </si>
  <si>
    <t>max_capacity</t>
  </si>
  <si>
    <t>type</t>
  </si>
  <si>
    <t>ThermalPower</t>
  </si>
  <si>
    <t>id</t>
  </si>
  <si>
    <t>coal_legacy</t>
  </si>
  <si>
    <t>biomass_legacy</t>
  </si>
  <si>
    <t>HydroRes</t>
  </si>
  <si>
    <t>conventional_hydroelectric_legacy</t>
  </si>
  <si>
    <t>conventional_hydroelectric_small_legacy</t>
  </si>
  <si>
    <t>NG_CCGT_legacy</t>
  </si>
  <si>
    <t>nuclear_PHWR_legacy</t>
  </si>
  <si>
    <t>solar_GM_legacy</t>
  </si>
  <si>
    <t>solar_RT_legacy</t>
  </si>
  <si>
    <t>onshore_wind_legacy</t>
  </si>
  <si>
    <t>VRE</t>
  </si>
  <si>
    <t xml:space="preserve"> = 1 / a / (1 -g)</t>
  </si>
  <si>
    <t>fuel_consumption</t>
  </si>
  <si>
    <t>self-consumption adjsuted fuel consumption of generating unit</t>
  </si>
  <si>
    <t>MWin per Mwout</t>
  </si>
  <si>
    <t>emission_rate</t>
  </si>
  <si>
    <t>PJ/MT or PJ/BCM</t>
  </si>
  <si>
    <t>self-consumption adjusted efficiency</t>
  </si>
  <si>
    <t>discharge_efficiency</t>
  </si>
  <si>
    <t xml:space="preserve"> = a - g</t>
  </si>
  <si>
    <t>PIER2.0::PhysicalCarrierEmissions.csv</t>
  </si>
  <si>
    <t>PIER2.0::PhysicalDerivedCarriers.csv</t>
  </si>
  <si>
    <t/>
  </si>
  <si>
    <t>doemstic only, need imported !</t>
  </si>
  <si>
    <t>tonnes CO2/MT (no BCM)</t>
  </si>
  <si>
    <t>CM</t>
  </si>
  <si>
    <t>Statistics Netherlands. n.d. “Weight Units Energy.” Webpagina. Statistics Netherlands. Accessed July 15, 2025. https://www.cbs.nl/en-gb/our-services/methods/definitions/weight-units-energy.</t>
  </si>
  <si>
    <t>kg natural gas</t>
  </si>
  <si>
    <t>Google</t>
  </si>
  <si>
    <t>2020Rs</t>
  </si>
  <si>
    <t>2024Rs</t>
  </si>
  <si>
    <t>NEED INDIA</t>
  </si>
  <si>
    <t>millionRs/MWh-elec</t>
  </si>
  <si>
    <t>variable_om_cost</t>
  </si>
  <si>
    <t>PIER2.0::ECT_EfficiencyCostMaxAnnualUF.xlsx</t>
  </si>
  <si>
    <t>million 2020Rs/year</t>
  </si>
  <si>
    <t>million 2024Rs/year</t>
  </si>
  <si>
    <t>fixed_om_cost</t>
  </si>
  <si>
    <t xml:space="preserve"> = d - ee</t>
  </si>
  <si>
    <t>given Fixed O&amp;M (PIER or assumed), adjusted to 2024Rs from 2020Rs</t>
  </si>
  <si>
    <t>This is without fixed O&amp;M as expected by Macro</t>
  </si>
  <si>
    <t>capital_recovery_period</t>
  </si>
  <si>
    <t xml:space="preserve"> = round ( f / 2 , 0)</t>
  </si>
  <si>
    <t>For existing infrastructure this is half operational lifetime, rounded to integer as Macro will fail if given decimal</t>
  </si>
  <si>
    <t>ff</t>
  </si>
  <si>
    <t>gg</t>
  </si>
  <si>
    <t xml:space="preserve"> = given</t>
  </si>
  <si>
    <t>given discount rate from PIER2.0 workbook, No adjustment made</t>
  </si>
  <si>
    <t>hh</t>
  </si>
  <si>
    <t>ii</t>
  </si>
  <si>
    <t>investment_cost</t>
  </si>
  <si>
    <t>million 2024Rs</t>
  </si>
  <si>
    <t>% total investment per capital recovery year</t>
  </si>
  <si>
    <t>fraction of capacity</t>
  </si>
  <si>
    <t>min_capcity</t>
  </si>
  <si>
    <t xml:space="preserve"> = ff / hh</t>
  </si>
  <si>
    <t xml:space="preserve">p </t>
  </si>
  <si>
    <t>q</t>
  </si>
  <si>
    <t xml:space="preserve"> =  ( n * conversion_if_not _MT) / (o * conversion_PJ_to_MWh)</t>
  </si>
  <si>
    <t xml:space="preserve"> = e / on/ conversion_PJ_to_MWh * aa</t>
  </si>
  <si>
    <t xml:space="preserve"> = p * 2020 to 2024 inflator</t>
  </si>
  <si>
    <t xml:space="preserve"> = q / ( 1-(1+q)^(-gg))</t>
  </si>
  <si>
    <t>Sum of RetCapacity</t>
  </si>
  <si>
    <t>ECT_LegacyRetirement.csv</t>
  </si>
  <si>
    <t>RetCapacity</t>
  </si>
  <si>
    <t>legacy capacity retired</t>
  </si>
  <si>
    <t xml:space="preserve"> = given*1000</t>
  </si>
  <si>
    <t>jj</t>
  </si>
  <si>
    <t>legacy capacity</t>
  </si>
  <si>
    <t xml:space="preserve"> = j - k</t>
  </si>
  <si>
    <t>PIER2.0::PEC_ProdImpConstraints.csv</t>
  </si>
  <si>
    <t>PIER2.0::PEC_Info.csv</t>
  </si>
  <si>
    <t xml:space="preserve">d </t>
  </si>
  <si>
    <t>price</t>
  </si>
  <si>
    <t>mRs/mWh</t>
  </si>
  <si>
    <t>mRs/MWh</t>
  </si>
  <si>
    <t>MT or BCM</t>
  </si>
  <si>
    <t>mRs/mT or kRs/BCM</t>
  </si>
  <si>
    <t>mRs/mT ork Rs/BCM</t>
  </si>
  <si>
    <t>max</t>
  </si>
  <si>
    <t xml:space="preserve"> = ( d * 1e3 * (1 + e) + f * 1e3 ) / conversion_if_not _MT / conversion from MT to PJ / conversion from PJ to MWh</t>
  </si>
  <si>
    <t xml:space="preserve"> = ( g * 1e3 * (1 + h) + i * 1e3 )  / conversion_if_not _MT / conversion from MT to PJ / conversion from PJ to MWh</t>
  </si>
  <si>
    <t xml:space="preserve"> = a *  conversion_if_not _MT * conversion from MT to PJ * conversion from PJ to MWh</t>
  </si>
  <si>
    <t xml:space="preserve"> = b *  conversion_if_not _MT * conversion from MT to PJ * conversion from PJ to MWh</t>
  </si>
  <si>
    <t>ECT_EmissionDetails.csv</t>
  </si>
  <si>
    <t>PIER2.0::PhysicalCarrierEmissions.csv or for coal, PIER2.0::ECT_EmissionDetails.csv</t>
  </si>
  <si>
    <t>Seg1 - domestic price with taxes applied</t>
  </si>
  <si>
    <t>Seg 1 - domestic resource</t>
  </si>
  <si>
    <t>Seg 2 - import price with taxes applied</t>
  </si>
  <si>
    <t>Seg 2 - import resource</t>
  </si>
  <si>
    <t>Battery</t>
  </si>
  <si>
    <t>2-Hr</t>
  </si>
  <si>
    <t>4-Hr</t>
  </si>
  <si>
    <t>6-Hr</t>
  </si>
  <si>
    <t>coal</t>
  </si>
  <si>
    <t>nuclear_PHWR</t>
  </si>
  <si>
    <t>conventional_hydroelectric</t>
  </si>
  <si>
    <t>NG_CCGT</t>
  </si>
  <si>
    <t>conventional_hydroelectric_small</t>
  </si>
  <si>
    <t>biomass</t>
  </si>
  <si>
    <t>solar_GM</t>
  </si>
  <si>
    <t>solar_RT</t>
  </si>
  <si>
    <t>onshore_wind</t>
  </si>
  <si>
    <t>PIER::EnergyStorTechnologies.csv</t>
  </si>
  <si>
    <t xml:space="preserve">c </t>
  </si>
  <si>
    <t>PIER2.0::EST_DeratingDepthOfDischarge.csv</t>
  </si>
  <si>
    <t>overall efficiency</t>
  </si>
  <si>
    <t>PIER2.0::EST_EfficiencyCost.csv</t>
  </si>
  <si>
    <t>lifetime of asset in years</t>
  </si>
  <si>
    <t>lifetime of asset in cycles</t>
  </si>
  <si>
    <t>cycles</t>
  </si>
  <si>
    <t xml:space="preserve">g </t>
  </si>
  <si>
    <t>PIER2.0::EST_Lifetime.csv or EST_LegacyDetails.csv</t>
  </si>
  <si>
    <t>PIER2.0::ECT_LegacyDetails.csv</t>
  </si>
  <si>
    <t>PIER2.0::EST_Parameters.xlsx</t>
  </si>
  <si>
    <t>PIER2.0::EST_CapAddBounds.csv</t>
  </si>
  <si>
    <t xml:space="preserve">e </t>
  </si>
  <si>
    <t xml:space="preserve">f </t>
  </si>
  <si>
    <t>discharge_efficienc</t>
  </si>
  <si>
    <t>charge_efficiency</t>
  </si>
  <si>
    <t>discharge_max_flow_fraction</t>
  </si>
  <si>
    <t xml:space="preserve"> = sqrt ( e )</t>
  </si>
  <si>
    <t>pumpedhydro</t>
  </si>
  <si>
    <t>Sum of LifetimeCycles</t>
  </si>
  <si>
    <t>Average of FixedCost</t>
  </si>
  <si>
    <t>Sum of MinCap</t>
  </si>
  <si>
    <t>Sum of MaxCap</t>
  </si>
  <si>
    <t>EST_CapAddBounds.csv</t>
  </si>
  <si>
    <t>GREEN_H2</t>
  </si>
  <si>
    <t>NA</t>
  </si>
  <si>
    <t>PIER2.0::EC_Transfers.csv</t>
  </si>
  <si>
    <t>transmission_origin</t>
  </si>
  <si>
    <t>transmission_dest</t>
  </si>
  <si>
    <t>loss_fraction</t>
  </si>
  <si>
    <t>min_capacity</t>
  </si>
  <si>
    <t>cost applied in PIER to transmission</t>
  </si>
  <si>
    <t>T&amp;D losses</t>
  </si>
  <si>
    <t xml:space="preserve"> = a / 1e3</t>
  </si>
  <si>
    <t>Infinity</t>
  </si>
  <si>
    <t xml:space="preserve"> = c * 1e3 or zero if distribution</t>
  </si>
  <si>
    <t xml:space="preserve"> = c * 1e3 or infinity if distribution</t>
  </si>
  <si>
    <t>one directional capacity in MWh/h</t>
  </si>
  <si>
    <t>capacity in GWh/h</t>
  </si>
  <si>
    <t xml:space="preserve"> = c * 1e3 or zero if distribution - capacity built between 2023 and 2024</t>
  </si>
  <si>
    <t xml:space="preserve"> = c * 1e3 or infinity if distribution  - capacity built between 2023 and 2024</t>
  </si>
  <si>
    <t>PIER2.0::EC_Transfers.xlsx</t>
  </si>
  <si>
    <t>one directional capacity in MWh/h, 2023 value from PIER2.0 source workbook</t>
  </si>
  <si>
    <t>legacy</t>
  </si>
  <si>
    <t>can_expand</t>
  </si>
  <si>
    <t>can_retire</t>
  </si>
  <si>
    <t>cost applied in PIER to transmission, for carriers other than electricity in million Rs per MT</t>
  </si>
  <si>
    <t xml:space="preserve"> = a / 1e3 (electricity) :: = a * MT/PJ * PJ/MWh (all others)</t>
  </si>
  <si>
    <t>domestic coal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</si>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</sst>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0.000"/>
    <numFmt numFmtId="165" formatCode="0.00000"/>
    <numFmt numFmtId="166" formatCode="_ * #,##0.00_ ;_ * \-#,##0.00_ ;_ * &quot;-&quot;??_ ;_ @_ "/>
    <numFmt numFmtId="167" formatCode="0.0000000"/>
    <numFmt numFmtId="168" formatCode="0.0"/>
    <numFmt numFmtId="169" formatCode="0.0000"/>
    <numFmt numFmtId="170" formatCode="_(* #,##0.000_);_(* \(#,##0.000\);_(* &quot;-&quot;??_);_(@_)"/>
    <numFmt numFmtId="171" formatCode="_(* #,##0.00000000_);_(* \(#,##0.00000000\);_(* &quot;-&quot;??_);_(@_)"/>
    <numFmt numFmtId="172" formatCode="0.000000000"/>
    <numFmt numFmtId="173" formatCode="0.000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0" fillId="0" borderId="0" applyNumberFormat="0" applyFill="0" applyBorder="0" applyAlignment="0" applyProtection="0"/>
    <xf numFmtId="166" fontId="19" fillId="0" borderId="0" applyFont="0" applyFill="0" applyBorder="0" applyAlignment="0" applyProtection="0"/>
    <xf numFmtId="9" fontId="19" fillId="0" borderId="0" applyFont="0" applyFill="0" applyBorder="0" applyAlignment="0" applyProtection="0"/>
  </cellStyleXfs>
  <cellXfs count="95">
    <xf numFmtId="0" fontId="0" fillId="0" borderId="0" xfId="0"/>
    <xf numFmtId="164" fontId="0" fillId="0" borderId="0" xfId="0" applyNumberForma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5" fontId="0" fillId="0" borderId="0" xfId="0" applyNumberFormat="1"/>
    <xf numFmtId="0" fontId="16" fillId="0" borderId="11" xfId="0" applyFont="1" applyBorder="1"/>
    <xf numFmtId="0" fontId="18" fillId="0" borderId="0" xfId="0" applyFont="1"/>
    <xf numFmtId="0" fontId="16" fillId="0" borderId="12" xfId="0" applyFont="1" applyBorder="1"/>
    <xf numFmtId="1" fontId="0" fillId="0" borderId="0" xfId="42" applyNumberFormat="1" applyFon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2" fontId="0" fillId="34" borderId="0" xfId="0" applyNumberFormat="1" applyFill="1"/>
    <xf numFmtId="0" fontId="16" fillId="0" borderId="0" xfId="0" applyFont="1"/>
    <xf numFmtId="169" fontId="0" fillId="0" borderId="0" xfId="0" applyNumberFormat="1"/>
    <xf numFmtId="170" fontId="0" fillId="0" borderId="0" xfId="42" applyNumberFormat="1" applyFont="1"/>
    <xf numFmtId="43" fontId="18" fillId="0" borderId="0" xfId="0" applyNumberFormat="1" applyFont="1"/>
    <xf numFmtId="0" fontId="0" fillId="35" borderId="0" xfId="0" applyFill="1"/>
    <xf numFmtId="165" fontId="0" fillId="35" borderId="0" xfId="0" applyNumberFormat="1" applyFill="1"/>
    <xf numFmtId="2" fontId="0" fillId="35" borderId="0" xfId="0" applyNumberFormat="1" applyFill="1"/>
    <xf numFmtId="164" fontId="0" fillId="35" borderId="0" xfId="0" applyNumberFormat="1" applyFill="1"/>
    <xf numFmtId="167" fontId="0" fillId="35" borderId="0" xfId="0" applyNumberFormat="1" applyFill="1"/>
    <xf numFmtId="169" fontId="0" fillId="35" borderId="0" xfId="0" applyNumberFormat="1" applyFill="1"/>
    <xf numFmtId="0" fontId="0" fillId="0" borderId="12" xfId="0" applyBorder="1"/>
    <xf numFmtId="170" fontId="0" fillId="35" borderId="0" xfId="0" applyNumberFormat="1" applyFill="1"/>
    <xf numFmtId="168" fontId="0" fillId="35" borderId="0" xfId="0" applyNumberFormat="1" applyFill="1"/>
    <xf numFmtId="0" fontId="22" fillId="0" borderId="0" xfId="0" applyFont="1"/>
    <xf numFmtId="0" fontId="16" fillId="34" borderId="10" xfId="0" applyFont="1" applyFill="1" applyBorder="1"/>
    <xf numFmtId="164" fontId="18" fillId="0" borderId="0" xfId="0" applyNumberFormat="1" applyFont="1"/>
    <xf numFmtId="0" fontId="0" fillId="34" borderId="0" xfId="0" applyFill="1"/>
    <xf numFmtId="164" fontId="0" fillId="34" borderId="0" xfId="0" applyNumberFormat="1" applyFill="1"/>
    <xf numFmtId="0" fontId="0" fillId="36" borderId="0" xfId="0" applyFill="1"/>
    <xf numFmtId="164" fontId="0" fillId="36" borderId="0" xfId="0" applyNumberFormat="1" applyFill="1"/>
    <xf numFmtId="164" fontId="21" fillId="36" borderId="0" xfId="0" applyNumberFormat="1" applyFont="1" applyFill="1"/>
    <xf numFmtId="164" fontId="0" fillId="34" borderId="0" xfId="0" quotePrefix="1" applyNumberFormat="1" applyFill="1"/>
    <xf numFmtId="171" fontId="0" fillId="0" borderId="0" xfId="0" applyNumberFormat="1"/>
    <xf numFmtId="171" fontId="0" fillId="36" borderId="0" xfId="0" applyNumberFormat="1" applyFill="1"/>
    <xf numFmtId="0" fontId="18" fillId="37" borderId="0" xfId="0" applyFont="1" applyFill="1"/>
    <xf numFmtId="0" fontId="22" fillId="37" borderId="0" xfId="0" applyFont="1" applyFill="1"/>
    <xf numFmtId="0" fontId="16" fillId="37" borderId="10" xfId="0" applyFont="1" applyFill="1" applyBorder="1"/>
    <xf numFmtId="43" fontId="18" fillId="37" borderId="0" xfId="0" applyNumberFormat="1" applyFont="1" applyFill="1"/>
    <xf numFmtId="0" fontId="0" fillId="37" borderId="0" xfId="0" applyFill="1"/>
    <xf numFmtId="170" fontId="0" fillId="0" borderId="0" xfId="0" applyNumberFormat="1"/>
    <xf numFmtId="165" fontId="0" fillId="0" borderId="12" xfId="0" applyNumberFormat="1" applyBorder="1"/>
    <xf numFmtId="2" fontId="0" fillId="34" borderId="12" xfId="0" applyNumberFormat="1" applyFill="1" applyBorder="1"/>
    <xf numFmtId="2" fontId="0" fillId="0" borderId="12" xfId="0" applyNumberFormat="1" applyBorder="1"/>
    <xf numFmtId="164" fontId="0" fillId="0" borderId="12" xfId="0" applyNumberFormat="1" applyBorder="1"/>
    <xf numFmtId="170" fontId="0" fillId="0" borderId="12" xfId="42" applyNumberFormat="1" applyFont="1" applyBorder="1"/>
    <xf numFmtId="43" fontId="18" fillId="0" borderId="12" xfId="0" applyNumberFormat="1" applyFont="1" applyBorder="1"/>
    <xf numFmtId="164" fontId="0" fillId="34" borderId="12" xfId="0" applyNumberFormat="1" applyFill="1" applyBorder="1"/>
    <xf numFmtId="0" fontId="0" fillId="37" borderId="12" xfId="0" applyFill="1" applyBorder="1"/>
    <xf numFmtId="0" fontId="0" fillId="34" borderId="12" xfId="0" applyFill="1" applyBorder="1"/>
    <xf numFmtId="169" fontId="0" fillId="0" borderId="12" xfId="0" applyNumberFormat="1" applyBorder="1"/>
    <xf numFmtId="170" fontId="0" fillId="0" borderId="12" xfId="0" applyNumberFormat="1" applyBorder="1"/>
    <xf numFmtId="0" fontId="0" fillId="0" borderId="11" xfId="0" applyBorder="1"/>
    <xf numFmtId="172" fontId="0" fillId="0" borderId="0" xfId="0" applyNumberFormat="1"/>
    <xf numFmtId="0" fontId="0" fillId="38" borderId="0" xfId="0" applyFill="1"/>
    <xf numFmtId="1" fontId="0" fillId="38" borderId="0" xfId="0" applyNumberFormat="1" applyFill="1"/>
    <xf numFmtId="172" fontId="0" fillId="38" borderId="0" xfId="0" applyNumberFormat="1" applyFill="1"/>
    <xf numFmtId="0" fontId="0" fillId="38" borderId="12" xfId="0" applyFill="1" applyBorder="1"/>
    <xf numFmtId="0" fontId="18" fillId="36" borderId="0" xfId="0" applyFont="1" applyFill="1"/>
    <xf numFmtId="1" fontId="0" fillId="0" borderId="12" xfId="0" applyNumberFormat="1" applyBorder="1"/>
    <xf numFmtId="165" fontId="0" fillId="38" borderId="0" xfId="0" applyNumberFormat="1" applyFill="1"/>
    <xf numFmtId="164" fontId="0" fillId="38" borderId="0" xfId="0" applyNumberFormat="1" applyFill="1"/>
    <xf numFmtId="173" fontId="0" fillId="38" borderId="0" xfId="0" applyNumberFormat="1" applyFill="1"/>
    <xf numFmtId="170" fontId="0" fillId="38" borderId="0" xfId="0" applyNumberFormat="1" applyFill="1"/>
    <xf numFmtId="2" fontId="0" fillId="38" borderId="0" xfId="0" applyNumberFormat="1" applyFill="1"/>
    <xf numFmtId="165" fontId="0" fillId="38" borderId="12" xfId="0" applyNumberFormat="1" applyFill="1" applyBorder="1"/>
    <xf numFmtId="164" fontId="0" fillId="38" borderId="12" xfId="0" applyNumberFormat="1" applyFill="1" applyBorder="1"/>
    <xf numFmtId="1" fontId="0" fillId="38" borderId="12" xfId="0" applyNumberFormat="1" applyFill="1" applyBorder="1"/>
    <xf numFmtId="173" fontId="0" fillId="38" borderId="12" xfId="0" applyNumberFormat="1" applyFill="1" applyBorder="1"/>
    <xf numFmtId="170" fontId="0" fillId="38" borderId="12" xfId="0" applyNumberFormat="1" applyFill="1" applyBorder="1"/>
    <xf numFmtId="2" fontId="0" fillId="38" borderId="12" xfId="0" applyNumberFormat="1" applyFill="1" applyBorder="1"/>
    <xf numFmtId="1" fontId="0" fillId="39" borderId="0" xfId="0" applyNumberFormat="1" applyFill="1"/>
    <xf numFmtId="1" fontId="0" fillId="39" borderId="12" xfId="0" applyNumberFormat="1" applyFill="1" applyBorder="1"/>
    <xf numFmtId="1" fontId="0" fillId="40" borderId="0" xfId="0" applyNumberFormat="1" applyFill="1"/>
    <xf numFmtId="1" fontId="0" fillId="40" borderId="12" xfId="0" applyNumberFormat="1" applyFill="1" applyBorder="1"/>
    <xf numFmtId="173" fontId="0" fillId="40" borderId="0" xfId="0" applyNumberFormat="1" applyFill="1"/>
    <xf numFmtId="173" fontId="0" fillId="40" borderId="12" xfId="0" applyNumberFormat="1" applyFill="1" applyBorder="1"/>
    <xf numFmtId="173" fontId="0" fillId="39" borderId="0" xfId="0" applyNumberFormat="1" applyFill="1"/>
    <xf numFmtId="173" fontId="0" fillId="39" borderId="12" xfId="0" applyNumberFormat="1" applyFill="1" applyBorder="1"/>
    <xf numFmtId="164" fontId="0" fillId="39" borderId="0" xfId="0" applyNumberFormat="1" applyFill="1"/>
    <xf numFmtId="0" fontId="0" fillId="39" borderId="0" xfId="0" applyFill="1"/>
    <xf numFmtId="165" fontId="0" fillId="39" borderId="0" xfId="0" applyNumberFormat="1" applyFill="1"/>
    <xf numFmtId="169" fontId="0" fillId="39" borderId="0" xfId="0" applyNumberFormat="1" applyFill="1"/>
    <xf numFmtId="164" fontId="0" fillId="39" borderId="12" xfId="0" applyNumberFormat="1" applyFill="1" applyBorder="1"/>
    <xf numFmtId="0" fontId="0" fillId="39" borderId="12" xfId="0" applyFill="1" applyBorder="1"/>
    <xf numFmtId="165" fontId="0" fillId="39" borderId="12" xfId="0" applyNumberFormat="1" applyFill="1" applyBorder="1"/>
    <xf numFmtId="0" fontId="23" fillId="0" borderId="0" xfId="0" applyFont="1"/>
    <xf numFmtId="0" fontId="23" fillId="0" borderId="12" xfId="0" applyFont="1" applyBorder="1"/>
    <xf numFmtId="0" fontId="21" fillId="0" borderId="0" xfId="0" applyFont="1"/>
    <xf numFmtId="0" fontId="21" fillId="0" borderId="12" xfId="0" applyFont="1" applyBorder="1"/>
    <xf numFmtId="0" fontId="0" fillId="0" borderId="0" xfId="0" applyFill="1" applyBorder="1"/>
    <xf numFmtId="0" fontId="0" fillId="0" borderId="12" xfId="0" applyFill="1" applyBorder="1"/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9388-7431-47D4-B10C-A743877B7ED8}">
  <dimension ref="A1:D11"/>
  <sheetViews>
    <sheetView workbookViewId="0">
      <selection activeCell="D21" sqref="D21"/>
    </sheetView>
  </sheetViews>
  <sheetFormatPr defaultRowHeight="15" x14ac:dyDescent="0.25"/>
  <cols>
    <col min="1" max="1" width="6.85546875" bestFit="1" customWidth="1"/>
    <col min="2" max="2" width="9" bestFit="1" customWidth="1"/>
    <col min="3" max="3" width="50.7109375" bestFit="1" customWidth="1"/>
    <col min="4" max="4" width="97.85546875" bestFit="1" customWidth="1"/>
  </cols>
  <sheetData>
    <row r="1" spans="1:4" s="8" customFormat="1" x14ac:dyDescent="0.25">
      <c r="A1" s="8" t="s">
        <v>212</v>
      </c>
      <c r="B1" s="8" t="s">
        <v>214</v>
      </c>
      <c r="C1" s="8" t="s">
        <v>213</v>
      </c>
      <c r="D1" s="8" t="s">
        <v>222</v>
      </c>
    </row>
    <row r="2" spans="1:4" x14ac:dyDescent="0.25">
      <c r="A2">
        <v>1</v>
      </c>
      <c r="B2">
        <v>2023</v>
      </c>
      <c r="C2" t="s">
        <v>215</v>
      </c>
      <c r="D2" t="s">
        <v>223</v>
      </c>
    </row>
    <row r="3" spans="1:4" s="24" customFormat="1" x14ac:dyDescent="0.25">
      <c r="A3" s="24">
        <v>2</v>
      </c>
      <c r="B3" s="24">
        <v>2024</v>
      </c>
      <c r="C3" s="24" t="s">
        <v>216</v>
      </c>
      <c r="D3" s="24" t="s">
        <v>218</v>
      </c>
    </row>
    <row r="4" spans="1:4" x14ac:dyDescent="0.25">
      <c r="A4">
        <v>3</v>
      </c>
      <c r="B4">
        <v>2025</v>
      </c>
      <c r="D4" t="s">
        <v>217</v>
      </c>
    </row>
    <row r="5" spans="1:4" x14ac:dyDescent="0.25">
      <c r="A5">
        <v>4</v>
      </c>
      <c r="B5">
        <v>2029</v>
      </c>
      <c r="D5" t="s">
        <v>219</v>
      </c>
    </row>
    <row r="6" spans="1:4" x14ac:dyDescent="0.25">
      <c r="A6">
        <v>5</v>
      </c>
      <c r="B6">
        <v>2034</v>
      </c>
      <c r="D6" t="s">
        <v>220</v>
      </c>
    </row>
    <row r="7" spans="1:4" s="24" customFormat="1" x14ac:dyDescent="0.25">
      <c r="A7" s="24">
        <v>6</v>
      </c>
      <c r="B7" s="24">
        <v>2039</v>
      </c>
      <c r="D7" s="24" t="s">
        <v>221</v>
      </c>
    </row>
    <row r="8" spans="1:4" x14ac:dyDescent="0.25">
      <c r="A8">
        <v>7</v>
      </c>
      <c r="B8">
        <v>2045</v>
      </c>
    </row>
    <row r="9" spans="1:4" x14ac:dyDescent="0.25">
      <c r="A9">
        <v>8</v>
      </c>
      <c r="B9">
        <v>2055</v>
      </c>
    </row>
    <row r="10" spans="1:4" x14ac:dyDescent="0.25">
      <c r="A10">
        <v>9</v>
      </c>
      <c r="B10">
        <v>2065</v>
      </c>
    </row>
    <row r="11" spans="1:4" x14ac:dyDescent="0.25">
      <c r="A11">
        <v>10</v>
      </c>
      <c r="B11">
        <v>2071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L104"/>
  <sheetViews>
    <sheetView workbookViewId="0">
      <pane xSplit="3" ySplit="7" topLeftCell="D8" activePane="bottomRight" state="frozen"/>
      <selection pane="topRight" activeCell="C1" sqref="C1"/>
      <selection pane="bottomLeft" activeCell="A7" sqref="A7"/>
      <selection pane="bottomRight" activeCell="E14" sqref="E14"/>
    </sheetView>
  </sheetViews>
  <sheetFormatPr defaultRowHeight="15" x14ac:dyDescent="0.25"/>
  <cols>
    <col min="2" max="2" width="16.5703125" bestFit="1" customWidth="1"/>
    <col min="3" max="3" width="6" customWidth="1"/>
    <col min="4" max="4" width="13.85546875" bestFit="1" customWidth="1"/>
    <col min="5" max="5" width="14.85546875" bestFit="1" customWidth="1"/>
    <col min="6" max="6" width="16" bestFit="1" customWidth="1"/>
    <col min="7" max="7" width="12.140625" bestFit="1" customWidth="1"/>
    <col min="8" max="8" width="15.7109375" bestFit="1" customWidth="1"/>
    <col min="9" max="9" width="11.42578125" bestFit="1" customWidth="1"/>
    <col min="10" max="10" width="11.42578125" customWidth="1"/>
    <col min="11" max="11" width="8.28515625" bestFit="1" customWidth="1"/>
    <col min="12" max="12" width="13.140625" bestFit="1" customWidth="1"/>
    <col min="13" max="13" width="18.140625" customWidth="1"/>
    <col min="14" max="14" width="18.42578125" customWidth="1"/>
    <col min="15" max="15" width="14" customWidth="1"/>
    <col min="16" max="16" width="8.5703125" bestFit="1" customWidth="1"/>
    <col min="17" max="17" width="9.28515625" bestFit="1" customWidth="1"/>
    <col min="18" max="18" width="11.42578125" customWidth="1"/>
    <col min="19" max="19" width="13.85546875" customWidth="1"/>
    <col min="20" max="20" width="14.7109375" customWidth="1"/>
    <col min="21" max="21" width="10.140625" customWidth="1"/>
    <col min="22" max="22" width="12" customWidth="1"/>
    <col min="23" max="23" width="10.140625" customWidth="1"/>
    <col min="24" max="24" width="18.7109375" bestFit="1" customWidth="1"/>
    <col min="25" max="25" width="19.42578125" bestFit="1" customWidth="1"/>
    <col min="28" max="28" width="10.140625" style="42" customWidth="1"/>
    <col min="29" max="29" width="17.42578125" bestFit="1" customWidth="1"/>
    <col min="30" max="30" width="17.42578125" customWidth="1"/>
    <col min="31" max="31" width="16.140625" bestFit="1" customWidth="1"/>
    <col min="32" max="32" width="20.28515625" customWidth="1"/>
    <col min="34" max="34" width="18.7109375" customWidth="1"/>
    <col min="37" max="37" width="9.5703125" bestFit="1" customWidth="1"/>
    <col min="38" max="38" width="16.5703125" bestFit="1" customWidth="1"/>
  </cols>
  <sheetData>
    <row r="1" spans="1:38" s="7" customFormat="1" x14ac:dyDescent="0.25">
      <c r="A1" s="7" t="s">
        <v>146</v>
      </c>
      <c r="G1" s="7" t="s">
        <v>179</v>
      </c>
      <c r="H1" s="7" t="s">
        <v>179</v>
      </c>
      <c r="I1" s="7" t="s">
        <v>179</v>
      </c>
      <c r="J1" s="7" t="s">
        <v>179</v>
      </c>
      <c r="K1" s="7" t="s">
        <v>145</v>
      </c>
      <c r="L1" s="7" t="s">
        <v>145</v>
      </c>
      <c r="M1" s="7" t="s">
        <v>145</v>
      </c>
      <c r="N1" s="7" t="s">
        <v>145</v>
      </c>
      <c r="O1" s="7" t="s">
        <v>145</v>
      </c>
      <c r="P1" s="7" t="s">
        <v>150</v>
      </c>
      <c r="Q1" s="7" t="s">
        <v>151</v>
      </c>
      <c r="R1" s="7" t="s">
        <v>151</v>
      </c>
      <c r="S1" s="7" t="s">
        <v>151</v>
      </c>
      <c r="T1" s="7" t="s">
        <v>152</v>
      </c>
      <c r="V1" s="7" t="s">
        <v>153</v>
      </c>
      <c r="W1" s="7" t="s">
        <v>153</v>
      </c>
      <c r="X1" s="7" t="s">
        <v>264</v>
      </c>
      <c r="Y1" s="7" t="s">
        <v>328</v>
      </c>
      <c r="Z1" s="7" t="s">
        <v>277</v>
      </c>
      <c r="AA1" s="7" t="s">
        <v>277</v>
      </c>
      <c r="AB1" s="38"/>
    </row>
    <row r="2" spans="1:38" s="27" customFormat="1" x14ac:dyDescent="0.25">
      <c r="A2" s="27" t="s">
        <v>224</v>
      </c>
      <c r="B2" s="27" t="s">
        <v>0</v>
      </c>
      <c r="C2" s="27" t="s">
        <v>2</v>
      </c>
      <c r="F2" s="27" t="s">
        <v>1</v>
      </c>
      <c r="G2" s="27" t="s">
        <v>29</v>
      </c>
      <c r="H2" s="27" t="s">
        <v>30</v>
      </c>
      <c r="I2" s="27" t="s">
        <v>31</v>
      </c>
      <c r="J2" s="27" t="s">
        <v>32</v>
      </c>
      <c r="K2" s="27" t="s">
        <v>4</v>
      </c>
      <c r="L2" s="27" t="s">
        <v>5</v>
      </c>
      <c r="M2" s="27" t="s">
        <v>231</v>
      </c>
      <c r="N2" s="27" t="s">
        <v>231</v>
      </c>
      <c r="O2" s="27" t="s">
        <v>232</v>
      </c>
      <c r="P2" s="27" t="s">
        <v>25</v>
      </c>
      <c r="Q2" s="27" t="s">
        <v>26</v>
      </c>
      <c r="R2" s="27" t="s">
        <v>27</v>
      </c>
      <c r="S2" s="27" t="s">
        <v>28</v>
      </c>
      <c r="T2" s="27" t="s">
        <v>121</v>
      </c>
      <c r="U2" s="27" t="s">
        <v>307</v>
      </c>
      <c r="V2" s="27" t="s">
        <v>236</v>
      </c>
      <c r="W2" s="27" t="s">
        <v>237</v>
      </c>
      <c r="X2" s="27" t="s">
        <v>65</v>
      </c>
      <c r="Y2" s="27" t="s">
        <v>49</v>
      </c>
      <c r="AB2" s="39"/>
    </row>
    <row r="3" spans="1:38" s="7" customFormat="1" x14ac:dyDescent="0.25">
      <c r="A3" s="7" t="s">
        <v>83</v>
      </c>
      <c r="K3" s="7" t="s">
        <v>84</v>
      </c>
      <c r="L3" s="7" t="s">
        <v>85</v>
      </c>
      <c r="M3" s="7" t="s">
        <v>86</v>
      </c>
      <c r="N3" s="7" t="s">
        <v>87</v>
      </c>
      <c r="O3" s="7" t="s">
        <v>88</v>
      </c>
      <c r="P3" s="7" t="s">
        <v>89</v>
      </c>
      <c r="Q3" s="7" t="s">
        <v>90</v>
      </c>
      <c r="R3" s="7" t="s">
        <v>91</v>
      </c>
      <c r="S3" s="7" t="s">
        <v>147</v>
      </c>
      <c r="T3" s="7" t="s">
        <v>92</v>
      </c>
      <c r="U3" s="7" t="s">
        <v>103</v>
      </c>
      <c r="V3" s="7" t="s">
        <v>148</v>
      </c>
      <c r="W3" s="7" t="s">
        <v>104</v>
      </c>
      <c r="X3" s="7" t="s">
        <v>105</v>
      </c>
      <c r="Y3" s="7" t="s">
        <v>149</v>
      </c>
      <c r="Z3" s="7" t="s">
        <v>299</v>
      </c>
      <c r="AA3" s="7" t="s">
        <v>300</v>
      </c>
      <c r="AB3" s="38"/>
      <c r="AC3" s="7" t="s">
        <v>93</v>
      </c>
      <c r="AD3" s="7" t="s">
        <v>94</v>
      </c>
      <c r="AE3" s="7" t="s">
        <v>95</v>
      </c>
      <c r="AF3" s="7" t="s">
        <v>96</v>
      </c>
      <c r="AG3" s="7" t="s">
        <v>97</v>
      </c>
      <c r="AH3" s="7" t="s">
        <v>287</v>
      </c>
      <c r="AI3" s="7" t="s">
        <v>288</v>
      </c>
      <c r="AJ3" s="7" t="s">
        <v>291</v>
      </c>
      <c r="AK3" s="7" t="s">
        <v>292</v>
      </c>
      <c r="AL3" s="7" t="s">
        <v>310</v>
      </c>
    </row>
    <row r="4" spans="1:38" s="7" customFormat="1" x14ac:dyDescent="0.25">
      <c r="A4" s="7" t="s">
        <v>155</v>
      </c>
      <c r="C4" s="7" t="s">
        <v>157</v>
      </c>
      <c r="G4" s="7" t="s">
        <v>228</v>
      </c>
      <c r="H4" s="7" t="s">
        <v>156</v>
      </c>
      <c r="I4" s="7" t="s">
        <v>156</v>
      </c>
      <c r="J4" s="7" t="s">
        <v>180</v>
      </c>
      <c r="K4" s="7" t="s">
        <v>158</v>
      </c>
      <c r="L4" s="7" t="s">
        <v>166</v>
      </c>
      <c r="M4" s="7" t="s">
        <v>159</v>
      </c>
      <c r="N4" s="7" t="s">
        <v>160</v>
      </c>
      <c r="O4" s="7" t="s">
        <v>182</v>
      </c>
      <c r="P4" s="7" t="s">
        <v>161</v>
      </c>
      <c r="Q4" s="7" t="s">
        <v>233</v>
      </c>
      <c r="T4" s="7" t="s">
        <v>162</v>
      </c>
      <c r="U4" s="7" t="s">
        <v>308</v>
      </c>
      <c r="V4" s="7" t="s">
        <v>163</v>
      </c>
      <c r="W4" s="7" t="s">
        <v>164</v>
      </c>
      <c r="X4" s="7" t="s">
        <v>102</v>
      </c>
      <c r="Y4" s="7" t="s">
        <v>102</v>
      </c>
      <c r="Z4" s="7" t="s">
        <v>282</v>
      </c>
      <c r="AA4" s="7" t="s">
        <v>290</v>
      </c>
      <c r="AB4" s="38"/>
      <c r="AC4" s="7" t="s">
        <v>256</v>
      </c>
      <c r="AD4" s="7" t="s">
        <v>260</v>
      </c>
      <c r="AE4" s="7" t="s">
        <v>266</v>
      </c>
      <c r="AH4" s="7" t="s">
        <v>283</v>
      </c>
      <c r="AI4" s="7" t="s">
        <v>286</v>
      </c>
      <c r="AL4" s="7" t="s">
        <v>311</v>
      </c>
    </row>
    <row r="5" spans="1:38" s="7" customFormat="1" x14ac:dyDescent="0.25">
      <c r="A5" s="7" t="s">
        <v>225</v>
      </c>
      <c r="G5" s="7" t="s">
        <v>154</v>
      </c>
      <c r="H5" s="7" t="s">
        <v>102</v>
      </c>
      <c r="M5" s="7" t="s">
        <v>165</v>
      </c>
      <c r="N5" s="7" t="s">
        <v>165</v>
      </c>
      <c r="P5" s="7" t="s">
        <v>102</v>
      </c>
      <c r="R5" s="7" t="s">
        <v>102</v>
      </c>
      <c r="S5" s="7" t="s">
        <v>102</v>
      </c>
      <c r="T5" s="7" t="s">
        <v>309</v>
      </c>
      <c r="U5" s="7" t="s">
        <v>309</v>
      </c>
      <c r="V5" s="7" t="s">
        <v>309</v>
      </c>
      <c r="W5" s="7" t="s">
        <v>309</v>
      </c>
      <c r="AA5" s="7" t="s">
        <v>289</v>
      </c>
      <c r="AB5" s="38"/>
      <c r="AC5" s="7" t="s">
        <v>254</v>
      </c>
      <c r="AD5" s="29" t="s">
        <v>262</v>
      </c>
      <c r="AE5" s="7" t="s">
        <v>301</v>
      </c>
      <c r="AF5" s="7" t="s">
        <v>302</v>
      </c>
      <c r="AG5" s="7" t="s">
        <v>303</v>
      </c>
      <c r="AH5" s="7" t="s">
        <v>281</v>
      </c>
      <c r="AI5" s="7" t="s">
        <v>285</v>
      </c>
      <c r="AJ5" s="7" t="s">
        <v>304</v>
      </c>
      <c r="AK5" s="7" t="s">
        <v>298</v>
      </c>
      <c r="AL5" s="7" t="s">
        <v>312</v>
      </c>
    </row>
    <row r="6" spans="1:38" s="4" customFormat="1" ht="15.75" thickBot="1" x14ac:dyDescent="0.3">
      <c r="A6" s="4" t="s">
        <v>226</v>
      </c>
      <c r="C6" s="4" t="s">
        <v>227</v>
      </c>
      <c r="D6" s="4" t="s">
        <v>240</v>
      </c>
      <c r="E6" s="4" t="s">
        <v>242</v>
      </c>
      <c r="F6" s="28"/>
      <c r="G6" s="28"/>
      <c r="H6" s="4" t="s">
        <v>229</v>
      </c>
      <c r="M6" s="4" t="s">
        <v>230</v>
      </c>
      <c r="N6" s="4" t="s">
        <v>230</v>
      </c>
      <c r="P6" s="4" t="s">
        <v>161</v>
      </c>
      <c r="R6" s="4" t="s">
        <v>234</v>
      </c>
      <c r="S6" s="4" t="s">
        <v>235</v>
      </c>
      <c r="V6" s="4" t="s">
        <v>297</v>
      </c>
      <c r="W6" s="4" t="s">
        <v>239</v>
      </c>
      <c r="AA6" s="4" t="s">
        <v>143</v>
      </c>
      <c r="AB6" s="40"/>
      <c r="AC6" s="4" t="s">
        <v>255</v>
      </c>
      <c r="AD6" s="4" t="s">
        <v>261</v>
      </c>
      <c r="AE6" s="4" t="s">
        <v>258</v>
      </c>
      <c r="AF6" s="4" t="s">
        <v>276</v>
      </c>
      <c r="AG6" s="4" t="s">
        <v>280</v>
      </c>
      <c r="AH6" s="4" t="s">
        <v>230</v>
      </c>
      <c r="AI6" s="4" t="s">
        <v>284</v>
      </c>
      <c r="AJ6" s="4" t="s">
        <v>144</v>
      </c>
      <c r="AK6" s="4" t="s">
        <v>293</v>
      </c>
      <c r="AL6" s="4" t="s">
        <v>238</v>
      </c>
    </row>
    <row r="7" spans="1:38" s="4" customFormat="1" ht="16.5" thickTop="1" thickBot="1" x14ac:dyDescent="0.3">
      <c r="A7" s="4" t="s">
        <v>98</v>
      </c>
      <c r="K7" s="4" t="s">
        <v>99</v>
      </c>
      <c r="L7" s="4" t="s">
        <v>99</v>
      </c>
      <c r="M7" s="4" t="s">
        <v>211</v>
      </c>
      <c r="N7" s="4" t="s">
        <v>211</v>
      </c>
      <c r="O7" s="4" t="s">
        <v>181</v>
      </c>
      <c r="P7" s="4" t="s">
        <v>100</v>
      </c>
      <c r="Q7" s="4" t="s">
        <v>99</v>
      </c>
      <c r="R7" s="4" t="s">
        <v>296</v>
      </c>
      <c r="S7" s="4" t="s">
        <v>296</v>
      </c>
      <c r="T7" s="4" t="s">
        <v>130</v>
      </c>
      <c r="U7" s="4" t="s">
        <v>130</v>
      </c>
      <c r="V7" s="4" t="s">
        <v>130</v>
      </c>
      <c r="W7" s="4" t="s">
        <v>130</v>
      </c>
      <c r="X7" s="4" t="s">
        <v>259</v>
      </c>
      <c r="Y7" s="4" t="s">
        <v>267</v>
      </c>
      <c r="Z7" s="4" t="s">
        <v>278</v>
      </c>
      <c r="AA7" s="4" t="s">
        <v>99</v>
      </c>
      <c r="AB7" s="40"/>
      <c r="AC7" s="4" t="s">
        <v>257</v>
      </c>
      <c r="AD7" s="4" t="s">
        <v>99</v>
      </c>
      <c r="AE7" s="4" t="s">
        <v>131</v>
      </c>
      <c r="AF7" s="4" t="s">
        <v>275</v>
      </c>
      <c r="AG7" s="4" t="s">
        <v>279</v>
      </c>
      <c r="AH7" s="4" t="s">
        <v>279</v>
      </c>
      <c r="AI7" s="4" t="s">
        <v>100</v>
      </c>
      <c r="AJ7" s="4" t="s">
        <v>295</v>
      </c>
      <c r="AK7" s="4" t="s">
        <v>294</v>
      </c>
      <c r="AL7" s="4" t="s">
        <v>130</v>
      </c>
    </row>
    <row r="8" spans="1:38" ht="15.75" thickTop="1" x14ac:dyDescent="0.25">
      <c r="B8" t="s">
        <v>13</v>
      </c>
      <c r="C8" t="s">
        <v>12</v>
      </c>
      <c r="D8" t="s">
        <v>241</v>
      </c>
      <c r="E8" t="s">
        <v>243</v>
      </c>
      <c r="F8" t="s">
        <v>6</v>
      </c>
      <c r="G8" t="s">
        <v>130</v>
      </c>
      <c r="H8" t="s">
        <v>33</v>
      </c>
      <c r="I8" t="s">
        <v>34</v>
      </c>
      <c r="J8">
        <v>8760</v>
      </c>
      <c r="K8" s="5">
        <v>0.38096819999999998</v>
      </c>
      <c r="L8">
        <v>0.85</v>
      </c>
      <c r="M8" s="3">
        <f>11751.5992748699/1000</f>
        <v>11.7515992748699</v>
      </c>
      <c r="N8" s="3">
        <f>13721.03129/1000</f>
        <v>13.721031290000001</v>
      </c>
      <c r="O8" s="1">
        <v>133.5230182</v>
      </c>
      <c r="P8">
        <v>40</v>
      </c>
      <c r="Q8" s="1">
        <v>6.6000000000000003E-2</v>
      </c>
      <c r="R8">
        <v>0.3</v>
      </c>
      <c r="S8">
        <v>0.3</v>
      </c>
      <c r="T8" s="16">
        <f>Capacity!B5*1000</f>
        <v>67226.538983999999</v>
      </c>
      <c r="U8" s="17">
        <v>0</v>
      </c>
      <c r="V8" s="17">
        <v>0</v>
      </c>
      <c r="W8" s="17">
        <v>0</v>
      </c>
      <c r="X8" s="1">
        <f>CarriersTech_characteristics!$G$2</f>
        <v>17.207187650000002</v>
      </c>
      <c r="Y8" s="1">
        <f>CarriersTech_characteristics!$H$28*1000</f>
        <v>1942097.6230000001</v>
      </c>
      <c r="Z8" s="7">
        <v>3</v>
      </c>
      <c r="AA8">
        <v>0.105</v>
      </c>
      <c r="AB8" s="41"/>
      <c r="AC8" s="1">
        <f>1/K8/(1-Q8)</f>
        <v>2.8103758044980376</v>
      </c>
      <c r="AD8" s="31"/>
      <c r="AE8" s="37">
        <f>Y8/(X8*Conversions!$D$2)</f>
        <v>0.40631575182871843</v>
      </c>
      <c r="AF8" s="11">
        <f>O8/X8/Conversions!$D$2*AC8</f>
        <v>7.8507860294473842E-5</v>
      </c>
      <c r="AG8">
        <f>Z8*Conversions!$D$4</f>
        <v>3.7167527444133723</v>
      </c>
      <c r="AH8" s="3">
        <f t="shared" ref="AH8:AH39" si="0">M8-AG8</f>
        <v>8.0348465304565266</v>
      </c>
      <c r="AI8">
        <f t="shared" ref="AI8:AI39" si="1">ROUND(P8/2,0)</f>
        <v>20</v>
      </c>
      <c r="AJ8">
        <f t="shared" ref="AJ8:AJ39" si="2">AA8/(1-(1+AA8)^-AI8)</f>
        <v>0.12149326526701618</v>
      </c>
      <c r="AK8" s="15">
        <f t="shared" ref="AK8:AK39" si="3">AH8/AJ8</f>
        <v>66.134089925047732</v>
      </c>
      <c r="AL8" s="1">
        <f>T8-U8</f>
        <v>67226.538983999999</v>
      </c>
    </row>
    <row r="9" spans="1:38" x14ac:dyDescent="0.25">
      <c r="B9" t="s">
        <v>14</v>
      </c>
      <c r="C9" t="s">
        <v>12</v>
      </c>
      <c r="D9" t="s">
        <v>241</v>
      </c>
      <c r="E9" t="s">
        <v>248</v>
      </c>
      <c r="F9" t="s">
        <v>6</v>
      </c>
      <c r="G9" t="s">
        <v>130</v>
      </c>
      <c r="H9" t="s">
        <v>35</v>
      </c>
      <c r="I9" t="s">
        <v>34</v>
      </c>
      <c r="J9">
        <v>8760</v>
      </c>
      <c r="K9" s="5">
        <v>0.40444272199999998</v>
      </c>
      <c r="L9">
        <v>0.85</v>
      </c>
      <c r="M9" s="3">
        <f>8512.22780274884/1000</f>
        <v>8.5122278027488392</v>
      </c>
      <c r="N9" s="3">
        <f>8512.227803/1000</f>
        <v>8.512227803</v>
      </c>
      <c r="O9" s="1">
        <v>0</v>
      </c>
      <c r="P9">
        <v>25</v>
      </c>
      <c r="Q9" s="1">
        <v>0.02</v>
      </c>
      <c r="R9">
        <v>0.9</v>
      </c>
      <c r="S9">
        <v>0.9</v>
      </c>
      <c r="T9" s="16">
        <f>Capacity!B6*1000</f>
        <v>7330.5467170000011</v>
      </c>
      <c r="U9" s="17">
        <v>0</v>
      </c>
      <c r="V9" s="17">
        <v>0</v>
      </c>
      <c r="W9" s="17">
        <v>0</v>
      </c>
      <c r="X9" s="1">
        <f>CarriersTech_characteristics!$G$3</f>
        <v>37.681199999999997</v>
      </c>
      <c r="Y9" s="1">
        <f>CarriersTech_characteristics!$H$3*1000</f>
        <v>3025024.5490000001</v>
      </c>
      <c r="Z9">
        <v>2.9</v>
      </c>
      <c r="AA9">
        <v>0.105</v>
      </c>
      <c r="AC9" s="1">
        <f>1/K9/(1-Q9)</f>
        <v>2.5229979617863072</v>
      </c>
      <c r="AD9" s="31"/>
      <c r="AE9" s="37">
        <f>(Y9*Conversions!$D$3)/(X9*Conversions!$D$2)</f>
        <v>0.23958587284408495</v>
      </c>
      <c r="AF9">
        <v>0</v>
      </c>
      <c r="AG9">
        <f>Z9*Conversions!$D$4</f>
        <v>3.5928609862662602</v>
      </c>
      <c r="AH9" s="3">
        <f t="shared" si="0"/>
        <v>4.9193668164825795</v>
      </c>
      <c r="AI9">
        <f t="shared" si="1"/>
        <v>13</v>
      </c>
      <c r="AJ9">
        <f t="shared" si="2"/>
        <v>0.14444511726871467</v>
      </c>
      <c r="AK9" s="15">
        <f t="shared" si="3"/>
        <v>34.056996245369547</v>
      </c>
      <c r="AL9" s="1">
        <f t="shared" ref="AL9:AL67" si="4">T9-U9</f>
        <v>7330.5467170000011</v>
      </c>
    </row>
    <row r="10" spans="1:38" x14ac:dyDescent="0.25">
      <c r="B10" t="s">
        <v>16</v>
      </c>
      <c r="C10" t="s">
        <v>12</v>
      </c>
      <c r="D10" t="s">
        <v>241</v>
      </c>
      <c r="F10" t="s">
        <v>6</v>
      </c>
      <c r="G10" t="s">
        <v>130</v>
      </c>
      <c r="H10" t="s">
        <v>35</v>
      </c>
      <c r="I10" t="s">
        <v>34</v>
      </c>
      <c r="J10">
        <v>8760</v>
      </c>
      <c r="K10" s="5">
        <v>0.28070162799999998</v>
      </c>
      <c r="L10">
        <v>0.85</v>
      </c>
      <c r="M10" s="3">
        <f>6679.75064927145/1000</f>
        <v>6.6797506492714502</v>
      </c>
      <c r="N10" s="3">
        <f>6679.750649/1000</f>
        <v>6.6797506489999998</v>
      </c>
      <c r="O10" s="1">
        <v>0</v>
      </c>
      <c r="P10">
        <v>25</v>
      </c>
      <c r="Q10" s="1">
        <v>0.01</v>
      </c>
      <c r="R10">
        <v>1</v>
      </c>
      <c r="S10">
        <v>1</v>
      </c>
      <c r="T10" s="16">
        <f>Capacity!B7*1000</f>
        <v>0</v>
      </c>
      <c r="U10" s="17">
        <v>0</v>
      </c>
      <c r="V10" s="17">
        <v>0</v>
      </c>
      <c r="W10" s="17">
        <v>0</v>
      </c>
      <c r="X10" s="1">
        <f>CarriersTech_characteristics!$G$3</f>
        <v>37.681199999999997</v>
      </c>
      <c r="Y10" s="1">
        <f>CarriersTech_characteristics!$H$3*1000</f>
        <v>3025024.5490000001</v>
      </c>
      <c r="Z10">
        <v>0.7</v>
      </c>
      <c r="AA10">
        <v>0.105</v>
      </c>
      <c r="AC10" s="1">
        <f>1/K10/(1-Q10)</f>
        <v>3.5984864687033813</v>
      </c>
      <c r="AD10" s="31"/>
      <c r="AE10" s="37">
        <f>(Y10*Conversions!$D$3)/(X10*Conversions!$D$2)</f>
        <v>0.23958587284408495</v>
      </c>
      <c r="AF10">
        <v>0</v>
      </c>
      <c r="AG10">
        <f>Z10*Conversions!$D$4</f>
        <v>0.86724230702978689</v>
      </c>
      <c r="AH10" s="3">
        <f t="shared" si="0"/>
        <v>5.8125083422416637</v>
      </c>
      <c r="AI10">
        <f t="shared" si="1"/>
        <v>13</v>
      </c>
      <c r="AJ10">
        <f t="shared" si="2"/>
        <v>0.14444511726871467</v>
      </c>
      <c r="AK10" s="15">
        <f t="shared" si="3"/>
        <v>40.240254929687353</v>
      </c>
      <c r="AL10" s="1">
        <f t="shared" si="4"/>
        <v>0</v>
      </c>
    </row>
    <row r="11" spans="1:38" x14ac:dyDescent="0.25">
      <c r="B11" t="s">
        <v>17</v>
      </c>
      <c r="C11" t="s">
        <v>12</v>
      </c>
      <c r="D11" t="s">
        <v>241</v>
      </c>
      <c r="E11" t="s">
        <v>249</v>
      </c>
      <c r="F11" t="s">
        <v>6</v>
      </c>
      <c r="G11" t="s">
        <v>130</v>
      </c>
      <c r="H11" t="s">
        <v>36</v>
      </c>
      <c r="I11" t="s">
        <v>34</v>
      </c>
      <c r="J11">
        <v>8760</v>
      </c>
      <c r="K11" s="5">
        <v>1</v>
      </c>
      <c r="L11">
        <v>0.70916666699999997</v>
      </c>
      <c r="M11" s="3">
        <f>20833.2103478327/1000</f>
        <v>20.833210347832701</v>
      </c>
      <c r="N11" s="3">
        <f>20833.21035/1000</f>
        <v>20.833210350000002</v>
      </c>
      <c r="O11" s="1">
        <v>0</v>
      </c>
      <c r="P11">
        <v>40</v>
      </c>
      <c r="Q11" s="1">
        <v>0.10780000000000001</v>
      </c>
      <c r="R11">
        <v>0.01</v>
      </c>
      <c r="S11">
        <v>0.01</v>
      </c>
      <c r="T11" s="16">
        <f>Capacity!B8*1000</f>
        <v>1603.5183979999999</v>
      </c>
      <c r="U11" s="17">
        <v>0</v>
      </c>
      <c r="V11" s="17">
        <v>0</v>
      </c>
      <c r="W11" s="17">
        <v>0</v>
      </c>
      <c r="X11" s="33"/>
      <c r="Y11" s="33"/>
      <c r="Z11">
        <v>4.3</v>
      </c>
      <c r="AA11">
        <v>0.105</v>
      </c>
      <c r="AC11" s="1">
        <f>1/K11/(1-Q11)</f>
        <v>1.1208249271463797</v>
      </c>
      <c r="AD11" s="31"/>
      <c r="AE11" s="32"/>
      <c r="AF11">
        <v>0</v>
      </c>
      <c r="AG11">
        <f>Z11*Conversions!$D$4</f>
        <v>5.3273456003258337</v>
      </c>
      <c r="AH11" s="3">
        <f t="shared" si="0"/>
        <v>15.505864747506866</v>
      </c>
      <c r="AI11">
        <f t="shared" si="1"/>
        <v>20</v>
      </c>
      <c r="AJ11">
        <f t="shared" si="2"/>
        <v>0.12149326526701618</v>
      </c>
      <c r="AK11" s="15">
        <f t="shared" si="3"/>
        <v>127.6273603596734</v>
      </c>
      <c r="AL11" s="1">
        <f t="shared" si="4"/>
        <v>1603.5183979999999</v>
      </c>
    </row>
    <row r="12" spans="1:38" x14ac:dyDescent="0.25">
      <c r="B12" t="s">
        <v>22</v>
      </c>
      <c r="C12" t="s">
        <v>12</v>
      </c>
      <c r="D12" t="s">
        <v>241</v>
      </c>
      <c r="F12" t="s">
        <v>6</v>
      </c>
      <c r="G12" t="s">
        <v>130</v>
      </c>
      <c r="H12" t="s">
        <v>36</v>
      </c>
      <c r="I12" t="s">
        <v>34</v>
      </c>
      <c r="J12">
        <v>8760</v>
      </c>
      <c r="K12" s="5">
        <v>1</v>
      </c>
      <c r="L12">
        <v>0.70916666699999997</v>
      </c>
      <c r="M12" s="13">
        <f>N12</f>
        <v>35.289429389999995</v>
      </c>
      <c r="N12" s="3">
        <f>35289.42939/1000</f>
        <v>35.289429389999995</v>
      </c>
      <c r="O12" s="1">
        <v>0</v>
      </c>
      <c r="P12">
        <v>30</v>
      </c>
      <c r="Q12" s="1">
        <v>0.05</v>
      </c>
      <c r="R12">
        <v>0.01</v>
      </c>
      <c r="S12">
        <v>0.01</v>
      </c>
      <c r="T12" s="16">
        <f>Capacity!B9*1000</f>
        <v>0</v>
      </c>
      <c r="U12" s="17">
        <v>0</v>
      </c>
      <c r="V12" s="17">
        <v>0</v>
      </c>
      <c r="W12" s="17">
        <v>0</v>
      </c>
      <c r="X12" s="33"/>
      <c r="Y12" s="33"/>
      <c r="Z12">
        <v>5</v>
      </c>
      <c r="AA12">
        <v>0.105</v>
      </c>
      <c r="AC12" s="1">
        <f>1/K12/(1-Q12)</f>
        <v>1.0526315789473684</v>
      </c>
      <c r="AD12" s="31"/>
      <c r="AE12" s="32"/>
      <c r="AF12">
        <v>0</v>
      </c>
      <c r="AG12">
        <f>Z12*Conversions!$D$4</f>
        <v>6.1945879073556211</v>
      </c>
      <c r="AH12" s="3">
        <f t="shared" si="0"/>
        <v>29.094841482644373</v>
      </c>
      <c r="AI12">
        <f t="shared" si="1"/>
        <v>15</v>
      </c>
      <c r="AJ12">
        <f t="shared" si="2"/>
        <v>0.13524800152154118</v>
      </c>
      <c r="AK12" s="15">
        <f t="shared" si="3"/>
        <v>215.12215452596087</v>
      </c>
      <c r="AL12" s="1">
        <f t="shared" si="4"/>
        <v>0</v>
      </c>
    </row>
    <row r="13" spans="1:38" x14ac:dyDescent="0.25">
      <c r="B13" t="s">
        <v>15</v>
      </c>
      <c r="C13" t="s">
        <v>12</v>
      </c>
      <c r="D13" t="s">
        <v>245</v>
      </c>
      <c r="E13" t="s">
        <v>246</v>
      </c>
      <c r="F13" t="s">
        <v>6</v>
      </c>
      <c r="G13" t="s">
        <v>130</v>
      </c>
      <c r="H13" t="s">
        <v>37</v>
      </c>
      <c r="I13" t="s">
        <v>34</v>
      </c>
      <c r="J13">
        <v>8760</v>
      </c>
      <c r="K13" s="5">
        <v>1</v>
      </c>
      <c r="L13">
        <v>1</v>
      </c>
      <c r="M13" s="3">
        <f>19631.8145207228/1000</f>
        <v>19.631814520722802</v>
      </c>
      <c r="N13" s="3">
        <f>19631.81452/1000</f>
        <v>19.631814519999999</v>
      </c>
      <c r="O13" s="1">
        <v>0</v>
      </c>
      <c r="P13">
        <v>40</v>
      </c>
      <c r="Q13" s="1">
        <v>6.0000000000000001E-3</v>
      </c>
      <c r="R13">
        <v>1</v>
      </c>
      <c r="S13">
        <v>1</v>
      </c>
      <c r="T13" s="16">
        <f>Capacity!B10*1000</f>
        <v>20527.317305</v>
      </c>
      <c r="U13" s="17">
        <v>0</v>
      </c>
      <c r="V13" s="17">
        <v>0</v>
      </c>
      <c r="W13" s="17">
        <v>0</v>
      </c>
      <c r="X13" s="31"/>
      <c r="Y13" s="34"/>
      <c r="Z13">
        <v>4.4000000000000004</v>
      </c>
      <c r="AA13">
        <v>0.105</v>
      </c>
      <c r="AC13" s="30"/>
      <c r="AD13" s="1">
        <f>K13-Q13</f>
        <v>0.99399999999999999</v>
      </c>
      <c r="AE13" s="30"/>
      <c r="AF13">
        <v>0</v>
      </c>
      <c r="AG13">
        <f>Z13*Conversions!$D$4</f>
        <v>5.4512373584729472</v>
      </c>
      <c r="AH13" s="3">
        <f t="shared" si="0"/>
        <v>14.180577162249854</v>
      </c>
      <c r="AI13">
        <f t="shared" si="1"/>
        <v>20</v>
      </c>
      <c r="AJ13">
        <f t="shared" si="2"/>
        <v>0.12149326526701618</v>
      </c>
      <c r="AK13" s="15">
        <f t="shared" si="3"/>
        <v>116.7190389614106</v>
      </c>
      <c r="AL13" s="1">
        <f t="shared" si="4"/>
        <v>20527.317305</v>
      </c>
    </row>
    <row r="14" spans="1:38" x14ac:dyDescent="0.25">
      <c r="B14" t="s">
        <v>18</v>
      </c>
      <c r="C14" t="s">
        <v>12</v>
      </c>
      <c r="D14" t="s">
        <v>245</v>
      </c>
      <c r="E14" t="s">
        <v>247</v>
      </c>
      <c r="F14" t="s">
        <v>6</v>
      </c>
      <c r="G14" t="s">
        <v>130</v>
      </c>
      <c r="H14" t="s">
        <v>37</v>
      </c>
      <c r="I14" t="s">
        <v>34</v>
      </c>
      <c r="J14">
        <v>8760</v>
      </c>
      <c r="K14" s="5">
        <v>1</v>
      </c>
      <c r="L14">
        <v>1</v>
      </c>
      <c r="M14" s="3">
        <f>11825.3487554956/1000</f>
        <v>11.825348755495598</v>
      </c>
      <c r="N14" s="3">
        <f>11825.34876/1000</f>
        <v>11.825348760000001</v>
      </c>
      <c r="O14" s="1">
        <v>0</v>
      </c>
      <c r="P14">
        <v>35</v>
      </c>
      <c r="Q14" s="1">
        <v>0.01</v>
      </c>
      <c r="R14">
        <v>1</v>
      </c>
      <c r="S14">
        <v>1</v>
      </c>
      <c r="T14" s="16">
        <f>Capacity!B11*1000</f>
        <v>1698.7499999999998</v>
      </c>
      <c r="U14" s="17">
        <v>0</v>
      </c>
      <c r="V14" s="17">
        <v>0</v>
      </c>
      <c r="W14" s="17">
        <v>0</v>
      </c>
      <c r="X14" s="31"/>
      <c r="Y14" s="34"/>
      <c r="Z14">
        <f>2.4</f>
        <v>2.4</v>
      </c>
      <c r="AA14">
        <v>8.3500000000000005E-2</v>
      </c>
      <c r="AC14" s="30"/>
      <c r="AD14" s="1">
        <f>K14-Q14</f>
        <v>0.99</v>
      </c>
      <c r="AE14" s="30"/>
      <c r="AF14">
        <v>0</v>
      </c>
      <c r="AG14">
        <f>Z14*Conversions!$D$4</f>
        <v>2.973402195530698</v>
      </c>
      <c r="AH14" s="3">
        <f t="shared" si="0"/>
        <v>8.851946559964901</v>
      </c>
      <c r="AI14">
        <f t="shared" si="1"/>
        <v>18</v>
      </c>
      <c r="AJ14">
        <f t="shared" si="2"/>
        <v>0.1093062199026277</v>
      </c>
      <c r="AK14" s="15">
        <f t="shared" si="3"/>
        <v>80.983008724026888</v>
      </c>
      <c r="AL14" s="1">
        <f t="shared" si="4"/>
        <v>1698.7499999999998</v>
      </c>
    </row>
    <row r="15" spans="1:38" x14ac:dyDescent="0.25">
      <c r="B15" t="s">
        <v>7</v>
      </c>
      <c r="C15" t="s">
        <v>12</v>
      </c>
      <c r="D15" t="s">
        <v>241</v>
      </c>
      <c r="E15" t="s">
        <v>244</v>
      </c>
      <c r="F15" t="s">
        <v>6</v>
      </c>
      <c r="G15" t="s">
        <v>130</v>
      </c>
      <c r="H15" t="s">
        <v>38</v>
      </c>
      <c r="I15" t="s">
        <v>34</v>
      </c>
      <c r="J15">
        <v>8760</v>
      </c>
      <c r="K15" s="5">
        <v>0.238845897</v>
      </c>
      <c r="L15">
        <v>1</v>
      </c>
      <c r="M15" s="3">
        <f>7713.45723965334/1000</f>
        <v>7.7134572396533407</v>
      </c>
      <c r="N15" s="3">
        <f>7713.45724/1000</f>
        <v>7.7134572399999994</v>
      </c>
      <c r="O15" s="1">
        <v>0</v>
      </c>
      <c r="P15">
        <v>20</v>
      </c>
      <c r="Q15" s="1">
        <v>0.1</v>
      </c>
      <c r="R15">
        <v>0.06</v>
      </c>
      <c r="S15">
        <v>0.06</v>
      </c>
      <c r="T15" s="16">
        <f>Capacity!B12*1000</f>
        <v>3357.15</v>
      </c>
      <c r="U15" s="17">
        <v>0</v>
      </c>
      <c r="V15" s="17">
        <v>0</v>
      </c>
      <c r="W15" s="17">
        <v>0</v>
      </c>
      <c r="X15" s="1">
        <f>CarriersTech_characteristics!$G$7</f>
        <v>13.648968</v>
      </c>
      <c r="Y15" s="1">
        <f>CarriersTech_characteristics!$H$5*1000</f>
        <v>1656436.6880000001</v>
      </c>
      <c r="Z15" s="12">
        <v>1</v>
      </c>
      <c r="AA15">
        <v>8.3500000000000005E-2</v>
      </c>
      <c r="AC15" s="1">
        <f>1/K15/(1-Q15)</f>
        <v>4.6519999927447406</v>
      </c>
      <c r="AD15" s="31"/>
      <c r="AE15" s="36">
        <f>Y15/(X15*Conversions!$D$2)</f>
        <v>0.43689545093040172</v>
      </c>
      <c r="AF15">
        <v>0</v>
      </c>
      <c r="AG15">
        <f>Z15*Conversions!$D$4</f>
        <v>1.2389175814711242</v>
      </c>
      <c r="AH15" s="3">
        <f t="shared" si="0"/>
        <v>6.4745396581822163</v>
      </c>
      <c r="AI15">
        <f t="shared" si="1"/>
        <v>10</v>
      </c>
      <c r="AJ15">
        <f t="shared" si="2"/>
        <v>0.15139063026119925</v>
      </c>
      <c r="AK15" s="15">
        <f t="shared" si="3"/>
        <v>42.767109477062611</v>
      </c>
      <c r="AL15" s="1">
        <f t="shared" si="4"/>
        <v>3357.15</v>
      </c>
    </row>
    <row r="16" spans="1:38" x14ac:dyDescent="0.25">
      <c r="B16" t="s">
        <v>19</v>
      </c>
      <c r="C16" t="s">
        <v>12</v>
      </c>
      <c r="D16" t="s">
        <v>253</v>
      </c>
      <c r="E16" t="s">
        <v>250</v>
      </c>
      <c r="F16" t="s">
        <v>6</v>
      </c>
      <c r="G16" t="s">
        <v>130</v>
      </c>
      <c r="H16" t="s">
        <v>39</v>
      </c>
      <c r="I16" t="s">
        <v>34</v>
      </c>
      <c r="J16">
        <v>8760</v>
      </c>
      <c r="K16" s="5">
        <v>1</v>
      </c>
      <c r="L16">
        <v>1</v>
      </c>
      <c r="M16" s="3">
        <f>5630.98419436319/1000</f>
        <v>5.6309841943631902</v>
      </c>
      <c r="N16" s="3">
        <f>5439.705856/1000</f>
        <v>5.4397058559999998</v>
      </c>
      <c r="O16" s="1">
        <v>0</v>
      </c>
      <c r="P16">
        <v>25</v>
      </c>
      <c r="Q16" s="1">
        <v>0.01</v>
      </c>
      <c r="R16">
        <v>1</v>
      </c>
      <c r="S16">
        <v>1</v>
      </c>
      <c r="T16" s="16">
        <f>Capacity!B13*1000</f>
        <v>19996.724187999997</v>
      </c>
      <c r="U16" s="17">
        <v>0</v>
      </c>
      <c r="V16" s="17">
        <v>0</v>
      </c>
      <c r="W16" s="17">
        <v>0</v>
      </c>
      <c r="X16" s="31"/>
      <c r="Y16" s="35" t="s">
        <v>265</v>
      </c>
      <c r="Z16">
        <v>0.35</v>
      </c>
      <c r="AA16">
        <v>0.105</v>
      </c>
      <c r="AC16" s="31">
        <v>1</v>
      </c>
      <c r="AD16" s="31"/>
      <c r="AE16" s="30"/>
      <c r="AF16">
        <v>0</v>
      </c>
      <c r="AG16">
        <f>Z16*Conversions!$D$4</f>
        <v>0.43362115351489344</v>
      </c>
      <c r="AH16" s="3">
        <f t="shared" si="0"/>
        <v>5.1973630408482965</v>
      </c>
      <c r="AI16">
        <f t="shared" si="1"/>
        <v>13</v>
      </c>
      <c r="AJ16">
        <f t="shared" si="2"/>
        <v>0.14444511726871467</v>
      </c>
      <c r="AK16" s="15">
        <f t="shared" si="3"/>
        <v>35.98157652625612</v>
      </c>
      <c r="AL16" s="1">
        <f t="shared" si="4"/>
        <v>19996.724187999997</v>
      </c>
    </row>
    <row r="17" spans="2:38" x14ac:dyDescent="0.25">
      <c r="B17" t="s">
        <v>20</v>
      </c>
      <c r="C17" t="s">
        <v>12</v>
      </c>
      <c r="D17" t="s">
        <v>253</v>
      </c>
      <c r="E17" t="s">
        <v>251</v>
      </c>
      <c r="F17" t="s">
        <v>6</v>
      </c>
      <c r="G17" t="s">
        <v>130</v>
      </c>
      <c r="H17" t="s">
        <v>39</v>
      </c>
      <c r="I17" t="s">
        <v>34</v>
      </c>
      <c r="J17">
        <v>8760</v>
      </c>
      <c r="K17" s="5">
        <v>1</v>
      </c>
      <c r="L17">
        <v>1</v>
      </c>
      <c r="M17" s="3">
        <f>5542.18769541597/1000</f>
        <v>5.5421876954159695</v>
      </c>
      <c r="N17" s="3">
        <f>5362.133837/1000</f>
        <v>5.362133837</v>
      </c>
      <c r="O17" s="1">
        <v>0</v>
      </c>
      <c r="P17">
        <v>25</v>
      </c>
      <c r="Q17" s="1">
        <v>6.0000000000000001E-3</v>
      </c>
      <c r="R17">
        <v>1</v>
      </c>
      <c r="S17">
        <v>1</v>
      </c>
      <c r="T17" s="16">
        <f>Capacity!B14*1000</f>
        <v>2666.3458109999992</v>
      </c>
      <c r="U17" s="17">
        <v>0</v>
      </c>
      <c r="V17" s="17">
        <v>0</v>
      </c>
      <c r="W17" s="17">
        <v>0</v>
      </c>
      <c r="X17" s="31"/>
      <c r="Y17" s="31"/>
      <c r="Z17">
        <v>0.51</v>
      </c>
      <c r="AA17">
        <v>0.104</v>
      </c>
      <c r="AC17" s="31">
        <v>1</v>
      </c>
      <c r="AD17" s="31"/>
      <c r="AE17" s="30"/>
      <c r="AF17">
        <v>0</v>
      </c>
      <c r="AG17">
        <f>Z17*Conversions!$D$4</f>
        <v>0.63184796655027331</v>
      </c>
      <c r="AH17" s="3">
        <f t="shared" si="0"/>
        <v>4.9103397288656963</v>
      </c>
      <c r="AI17">
        <f t="shared" si="1"/>
        <v>13</v>
      </c>
      <c r="AJ17">
        <f t="shared" si="2"/>
        <v>0.1437086289255039</v>
      </c>
      <c r="AK17" s="15">
        <f t="shared" si="3"/>
        <v>34.16871878592017</v>
      </c>
      <c r="AL17" s="1">
        <f t="shared" si="4"/>
        <v>2666.3458109999992</v>
      </c>
    </row>
    <row r="18" spans="2:38" x14ac:dyDescent="0.25">
      <c r="B18" t="s">
        <v>21</v>
      </c>
      <c r="C18" t="s">
        <v>12</v>
      </c>
      <c r="D18" t="s">
        <v>253</v>
      </c>
      <c r="E18" t="s">
        <v>252</v>
      </c>
      <c r="F18" t="s">
        <v>6</v>
      </c>
      <c r="G18" t="s">
        <v>130</v>
      </c>
      <c r="H18" t="s">
        <v>40</v>
      </c>
      <c r="I18" t="s">
        <v>34</v>
      </c>
      <c r="J18">
        <v>8760</v>
      </c>
      <c r="K18" s="5">
        <v>1</v>
      </c>
      <c r="L18">
        <v>1</v>
      </c>
      <c r="M18" s="3">
        <f>10659.4302732183/1000</f>
        <v>10.6594302732183</v>
      </c>
      <c r="N18" s="3">
        <f>10586.96446/1000</f>
        <v>10.586964459999999</v>
      </c>
      <c r="O18" s="1">
        <v>0</v>
      </c>
      <c r="P18">
        <v>25</v>
      </c>
      <c r="Q18" s="1">
        <v>5.0000000000000001E-3</v>
      </c>
      <c r="R18">
        <v>1</v>
      </c>
      <c r="S18">
        <v>1</v>
      </c>
      <c r="T18" s="16">
        <f>Capacity!B15*1000</f>
        <v>5301.42</v>
      </c>
      <c r="U18" s="17">
        <v>0</v>
      </c>
      <c r="V18" s="17">
        <v>0</v>
      </c>
      <c r="W18" s="17">
        <v>0</v>
      </c>
      <c r="X18" s="31"/>
      <c r="Y18" s="31"/>
      <c r="Z18">
        <v>0.68</v>
      </c>
      <c r="AA18">
        <v>0.105</v>
      </c>
      <c r="AC18" s="31">
        <v>1</v>
      </c>
      <c r="AD18" s="31"/>
      <c r="AE18" s="30"/>
      <c r="AF18">
        <v>0</v>
      </c>
      <c r="AG18">
        <f>Z18*Conversions!$D$4</f>
        <v>0.84246395540036456</v>
      </c>
      <c r="AH18" s="3">
        <f t="shared" si="0"/>
        <v>9.8169663178179363</v>
      </c>
      <c r="AI18">
        <f t="shared" si="1"/>
        <v>13</v>
      </c>
      <c r="AJ18">
        <f t="shared" si="2"/>
        <v>0.14444511726871467</v>
      </c>
      <c r="AK18" s="15">
        <f t="shared" si="3"/>
        <v>67.963296395510568</v>
      </c>
      <c r="AL18" s="1">
        <f t="shared" si="4"/>
        <v>5301.42</v>
      </c>
    </row>
    <row r="19" spans="2:38" s="24" customFormat="1" x14ac:dyDescent="0.25">
      <c r="B19" s="24" t="s">
        <v>23</v>
      </c>
      <c r="C19" s="24" t="s">
        <v>12</v>
      </c>
      <c r="D19" s="24" t="s">
        <v>253</v>
      </c>
      <c r="F19" s="24" t="s">
        <v>6</v>
      </c>
      <c r="G19" s="24" t="s">
        <v>130</v>
      </c>
      <c r="H19" s="24" t="s">
        <v>40</v>
      </c>
      <c r="I19" s="24" t="s">
        <v>34</v>
      </c>
      <c r="J19" s="24">
        <v>8760</v>
      </c>
      <c r="K19" s="44">
        <v>1</v>
      </c>
      <c r="L19" s="24">
        <v>1</v>
      </c>
      <c r="M19" s="45">
        <f>N19</f>
        <v>34.540361669999996</v>
      </c>
      <c r="N19" s="46">
        <f>34540.36167/1000</f>
        <v>34.540361669999996</v>
      </c>
      <c r="O19" s="47">
        <v>0</v>
      </c>
      <c r="P19" s="24">
        <v>25</v>
      </c>
      <c r="Q19" s="47">
        <v>5.0000000000000001E-3</v>
      </c>
      <c r="R19" s="24">
        <v>1</v>
      </c>
      <c r="S19" s="24">
        <v>1</v>
      </c>
      <c r="T19" s="48">
        <f>Capacity!B16*1000</f>
        <v>0</v>
      </c>
      <c r="U19" s="49">
        <v>0</v>
      </c>
      <c r="V19" s="49">
        <v>0</v>
      </c>
      <c r="W19" s="49">
        <v>0</v>
      </c>
      <c r="X19" s="50"/>
      <c r="Y19" s="50"/>
      <c r="Z19" s="24">
        <v>6.7</v>
      </c>
      <c r="AA19" s="24">
        <v>0.112</v>
      </c>
      <c r="AB19" s="51"/>
      <c r="AC19" s="50">
        <v>1</v>
      </c>
      <c r="AD19" s="50"/>
      <c r="AE19" s="52"/>
      <c r="AF19" s="24">
        <v>0</v>
      </c>
      <c r="AG19" s="24">
        <f>Z19*Conversions!$D$4</f>
        <v>8.3007477958565321</v>
      </c>
      <c r="AH19" s="46">
        <f t="shared" si="0"/>
        <v>26.239613874143465</v>
      </c>
      <c r="AI19" s="24">
        <f t="shared" si="1"/>
        <v>13</v>
      </c>
      <c r="AJ19" s="24">
        <f t="shared" si="2"/>
        <v>0.14964415165301803</v>
      </c>
      <c r="AK19" s="53">
        <f t="shared" si="3"/>
        <v>175.34673814039604</v>
      </c>
      <c r="AL19" s="47">
        <f t="shared" si="4"/>
        <v>0</v>
      </c>
    </row>
    <row r="20" spans="2:38" x14ac:dyDescent="0.25">
      <c r="B20" t="s">
        <v>13</v>
      </c>
      <c r="C20" t="s">
        <v>9</v>
      </c>
      <c r="D20" t="s">
        <v>241</v>
      </c>
      <c r="E20" t="s">
        <v>243</v>
      </c>
      <c r="F20" t="s">
        <v>6</v>
      </c>
      <c r="G20" t="s">
        <v>130</v>
      </c>
      <c r="H20" t="s">
        <v>33</v>
      </c>
      <c r="I20" t="s">
        <v>34</v>
      </c>
      <c r="J20">
        <v>8760</v>
      </c>
      <c r="K20" s="5">
        <v>0.38096819999999998</v>
      </c>
      <c r="L20">
        <v>0.85</v>
      </c>
      <c r="M20" s="3">
        <f>26148.8463751508/1000</f>
        <v>26.1488463751508</v>
      </c>
      <c r="N20" s="3">
        <f>13721.03129/1000</f>
        <v>13.721031290000001</v>
      </c>
      <c r="O20" s="1">
        <v>133.5230182</v>
      </c>
      <c r="P20">
        <v>40</v>
      </c>
      <c r="Q20" s="1">
        <v>6.6000000000000003E-2</v>
      </c>
      <c r="R20">
        <v>0.3</v>
      </c>
      <c r="S20">
        <v>0.3</v>
      </c>
      <c r="T20" s="16">
        <f>Capacity!B19*1000</f>
        <v>1010.929706</v>
      </c>
      <c r="U20" s="17">
        <v>0</v>
      </c>
      <c r="V20" s="17">
        <v>0</v>
      </c>
      <c r="W20" s="17">
        <v>0</v>
      </c>
      <c r="X20" s="1">
        <f>CarriersTech_characteristics!$G$2</f>
        <v>17.207187650000002</v>
      </c>
      <c r="Y20" s="1">
        <f>CarriersTech_characteristics!$H$28*1000</f>
        <v>1942097.6230000001</v>
      </c>
      <c r="Z20" s="7">
        <v>3</v>
      </c>
      <c r="AA20">
        <v>0.105</v>
      </c>
      <c r="AB20" s="41"/>
      <c r="AC20" s="1">
        <f>1/K20/(1-Q20)</f>
        <v>2.8103758044980376</v>
      </c>
      <c r="AD20" s="31"/>
      <c r="AE20" s="37">
        <f>Y20/(X20*Conversions!$D$2)</f>
        <v>0.40631575182871843</v>
      </c>
      <c r="AF20" s="11">
        <f>O20/CarriersTech_characteristics!$G$2/Conversions!$D$2*AC20</f>
        <v>7.8507860294473842E-5</v>
      </c>
      <c r="AG20">
        <f>Z20*Conversions!$D$4</f>
        <v>3.7167527444133723</v>
      </c>
      <c r="AH20" s="3">
        <f t="shared" si="0"/>
        <v>22.432093630737427</v>
      </c>
      <c r="AI20">
        <f t="shared" si="1"/>
        <v>20</v>
      </c>
      <c r="AJ20">
        <f t="shared" si="2"/>
        <v>0.12149326526701618</v>
      </c>
      <c r="AK20" s="15">
        <f t="shared" si="3"/>
        <v>184.63651941065612</v>
      </c>
      <c r="AL20" s="1">
        <f t="shared" si="4"/>
        <v>1010.929706</v>
      </c>
    </row>
    <row r="21" spans="2:38" x14ac:dyDescent="0.25">
      <c r="B21" t="s">
        <v>14</v>
      </c>
      <c r="C21" t="s">
        <v>9</v>
      </c>
      <c r="D21" t="s">
        <v>241</v>
      </c>
      <c r="E21" t="s">
        <v>248</v>
      </c>
      <c r="F21" t="s">
        <v>6</v>
      </c>
      <c r="G21" t="s">
        <v>130</v>
      </c>
      <c r="H21" t="s">
        <v>35</v>
      </c>
      <c r="I21" t="s">
        <v>34</v>
      </c>
      <c r="J21">
        <v>8760</v>
      </c>
      <c r="K21" s="5">
        <v>0.40444272199999998</v>
      </c>
      <c r="L21">
        <v>0.85</v>
      </c>
      <c r="M21" s="3">
        <f>8512.22780274884/1000</f>
        <v>8.5122278027488392</v>
      </c>
      <c r="N21" s="3">
        <f>8512.227803/1000</f>
        <v>8.512227803</v>
      </c>
      <c r="O21" s="1">
        <v>0</v>
      </c>
      <c r="P21">
        <v>25</v>
      </c>
      <c r="Q21" s="1">
        <v>0.02</v>
      </c>
      <c r="R21">
        <v>0.9</v>
      </c>
      <c r="S21">
        <v>0.9</v>
      </c>
      <c r="T21" s="16">
        <f>Capacity!B20*1000</f>
        <v>2002.456891</v>
      </c>
      <c r="U21" s="17">
        <v>0</v>
      </c>
      <c r="V21" s="17">
        <v>0</v>
      </c>
      <c r="W21" s="17">
        <v>0</v>
      </c>
      <c r="X21" s="1">
        <f>CarriersTech_characteristics!$G$3</f>
        <v>37.681199999999997</v>
      </c>
      <c r="Y21" s="1">
        <f>CarriersTech_characteristics!$H$3*1000</f>
        <v>3025024.5490000001</v>
      </c>
      <c r="Z21">
        <v>2.9</v>
      </c>
      <c r="AA21">
        <v>0.105</v>
      </c>
      <c r="AC21" s="1">
        <f>1/K21/(1-Q21)</f>
        <v>2.5229979617863072</v>
      </c>
      <c r="AD21" s="31"/>
      <c r="AE21" s="37">
        <f>(Y21*Conversions!$D$3)/(X21*Conversions!$D$2)</f>
        <v>0.23958587284408495</v>
      </c>
      <c r="AF21">
        <v>0</v>
      </c>
      <c r="AG21">
        <f>Z21*Conversions!$D$4</f>
        <v>3.5928609862662602</v>
      </c>
      <c r="AH21" s="3">
        <f t="shared" si="0"/>
        <v>4.9193668164825795</v>
      </c>
      <c r="AI21">
        <f t="shared" si="1"/>
        <v>13</v>
      </c>
      <c r="AJ21">
        <f t="shared" si="2"/>
        <v>0.14444511726871467</v>
      </c>
      <c r="AK21" s="15">
        <f t="shared" si="3"/>
        <v>34.056996245369547</v>
      </c>
      <c r="AL21" s="1">
        <f t="shared" si="4"/>
        <v>2002.456891</v>
      </c>
    </row>
    <row r="22" spans="2:38" x14ac:dyDescent="0.25">
      <c r="B22" t="s">
        <v>16</v>
      </c>
      <c r="C22" t="s">
        <v>9</v>
      </c>
      <c r="D22" t="s">
        <v>241</v>
      </c>
      <c r="F22" t="s">
        <v>6</v>
      </c>
      <c r="G22" t="s">
        <v>130</v>
      </c>
      <c r="H22" t="s">
        <v>35</v>
      </c>
      <c r="I22" t="s">
        <v>34</v>
      </c>
      <c r="J22">
        <v>8760</v>
      </c>
      <c r="K22" s="5">
        <v>0.28070162799999998</v>
      </c>
      <c r="L22">
        <v>0.85</v>
      </c>
      <c r="M22" s="3">
        <f>6679.75064927145/1000</f>
        <v>6.6797506492714502</v>
      </c>
      <c r="N22" s="3">
        <f>6679.750649/1000</f>
        <v>6.6797506489999998</v>
      </c>
      <c r="O22" s="1">
        <v>0</v>
      </c>
      <c r="P22">
        <v>25</v>
      </c>
      <c r="Q22" s="1">
        <v>0.01</v>
      </c>
      <c r="R22">
        <v>1</v>
      </c>
      <c r="S22">
        <v>1</v>
      </c>
      <c r="T22" s="16">
        <f>Capacity!B21*1000</f>
        <v>0</v>
      </c>
      <c r="U22" s="17">
        <v>0</v>
      </c>
      <c r="V22" s="17">
        <v>0</v>
      </c>
      <c r="W22" s="17">
        <v>0</v>
      </c>
      <c r="X22" s="1">
        <f>CarriersTech_characteristics!$G$3</f>
        <v>37.681199999999997</v>
      </c>
      <c r="Y22" s="1">
        <f>CarriersTech_characteristics!$H$3*1000</f>
        <v>3025024.5490000001</v>
      </c>
      <c r="Z22">
        <v>0.7</v>
      </c>
      <c r="AA22">
        <v>0.105</v>
      </c>
      <c r="AC22" s="1">
        <f>1/K22/(1-Q22)</f>
        <v>3.5984864687033813</v>
      </c>
      <c r="AD22" s="31"/>
      <c r="AE22" s="37">
        <f>(Y22*Conversions!$D$3)/(X22*Conversions!$D$2)</f>
        <v>0.23958587284408495</v>
      </c>
      <c r="AF22">
        <v>0</v>
      </c>
      <c r="AG22">
        <f>Z22*Conversions!$D$4</f>
        <v>0.86724230702978689</v>
      </c>
      <c r="AH22" s="3">
        <f t="shared" si="0"/>
        <v>5.8125083422416637</v>
      </c>
      <c r="AI22">
        <f t="shared" si="1"/>
        <v>13</v>
      </c>
      <c r="AJ22">
        <f t="shared" si="2"/>
        <v>0.14444511726871467</v>
      </c>
      <c r="AK22" s="15">
        <f t="shared" si="3"/>
        <v>40.240254929687353</v>
      </c>
      <c r="AL22" s="1">
        <f t="shared" si="4"/>
        <v>0</v>
      </c>
    </row>
    <row r="23" spans="2:38" x14ac:dyDescent="0.25">
      <c r="B23" t="s">
        <v>17</v>
      </c>
      <c r="C23" t="s">
        <v>9</v>
      </c>
      <c r="D23" t="s">
        <v>241</v>
      </c>
      <c r="E23" t="s">
        <v>249</v>
      </c>
      <c r="F23" t="s">
        <v>6</v>
      </c>
      <c r="G23" t="s">
        <v>130</v>
      </c>
      <c r="H23" t="s">
        <v>36</v>
      </c>
      <c r="I23" t="s">
        <v>34</v>
      </c>
      <c r="J23">
        <v>8760</v>
      </c>
      <c r="K23" s="5">
        <v>1</v>
      </c>
      <c r="L23">
        <v>0.70916666699999997</v>
      </c>
      <c r="M23" s="3">
        <f>20833.2103478327/1000</f>
        <v>20.833210347832701</v>
      </c>
      <c r="N23" s="3">
        <f>20833.21035/1000</f>
        <v>20.833210350000002</v>
      </c>
      <c r="O23" s="1">
        <v>0</v>
      </c>
      <c r="P23">
        <v>40</v>
      </c>
      <c r="Q23" s="1">
        <v>0.10780000000000001</v>
      </c>
      <c r="R23">
        <v>0.01</v>
      </c>
      <c r="S23">
        <v>0.01</v>
      </c>
      <c r="T23" s="16">
        <f>Capacity!B22*1000</f>
        <v>0</v>
      </c>
      <c r="U23" s="17">
        <v>0</v>
      </c>
      <c r="V23" s="17">
        <v>0</v>
      </c>
      <c r="W23" s="17">
        <v>0</v>
      </c>
      <c r="X23" s="33"/>
      <c r="Y23" s="33"/>
      <c r="Z23">
        <v>4.3</v>
      </c>
      <c r="AA23">
        <v>0.105</v>
      </c>
      <c r="AC23" s="1">
        <f>1/K23/(1-Q23)</f>
        <v>1.1208249271463797</v>
      </c>
      <c r="AD23" s="31"/>
      <c r="AE23" s="32"/>
      <c r="AF23">
        <v>0</v>
      </c>
      <c r="AG23">
        <f>Z23*Conversions!$D$4</f>
        <v>5.3273456003258337</v>
      </c>
      <c r="AH23" s="3">
        <f t="shared" si="0"/>
        <v>15.505864747506866</v>
      </c>
      <c r="AI23">
        <f t="shared" si="1"/>
        <v>20</v>
      </c>
      <c r="AJ23">
        <f t="shared" si="2"/>
        <v>0.12149326526701618</v>
      </c>
      <c r="AK23" s="15">
        <f t="shared" si="3"/>
        <v>127.6273603596734</v>
      </c>
      <c r="AL23" s="1">
        <f t="shared" si="4"/>
        <v>0</v>
      </c>
    </row>
    <row r="24" spans="2:38" x14ac:dyDescent="0.25">
      <c r="B24" t="s">
        <v>22</v>
      </c>
      <c r="C24" t="s">
        <v>9</v>
      </c>
      <c r="D24" t="s">
        <v>241</v>
      </c>
      <c r="F24" t="s">
        <v>6</v>
      </c>
      <c r="G24" t="s">
        <v>130</v>
      </c>
      <c r="H24" t="s">
        <v>36</v>
      </c>
      <c r="I24" t="s">
        <v>34</v>
      </c>
      <c r="J24">
        <v>8760</v>
      </c>
      <c r="K24" s="5">
        <v>1</v>
      </c>
      <c r="L24">
        <v>0.70916666699999997</v>
      </c>
      <c r="M24" s="13">
        <f>N24</f>
        <v>35.289429389999995</v>
      </c>
      <c r="N24" s="3">
        <f>35289.42939/1000</f>
        <v>35.289429389999995</v>
      </c>
      <c r="O24" s="1">
        <v>0</v>
      </c>
      <c r="P24">
        <v>30</v>
      </c>
      <c r="Q24" s="1">
        <v>0.05</v>
      </c>
      <c r="R24">
        <v>0.01</v>
      </c>
      <c r="S24">
        <v>0.01</v>
      </c>
      <c r="T24" s="16">
        <f>Capacity!B23*1000</f>
        <v>0</v>
      </c>
      <c r="U24" s="17">
        <v>0</v>
      </c>
      <c r="V24" s="17">
        <v>0</v>
      </c>
      <c r="W24" s="17">
        <v>0</v>
      </c>
      <c r="X24" s="33"/>
      <c r="Y24" s="33"/>
      <c r="Z24">
        <v>5</v>
      </c>
      <c r="AA24">
        <v>0.105</v>
      </c>
      <c r="AC24" s="1">
        <f>1/K24/(1-Q24)</f>
        <v>1.0526315789473684</v>
      </c>
      <c r="AD24" s="31"/>
      <c r="AE24" s="32"/>
      <c r="AF24">
        <v>0</v>
      </c>
      <c r="AG24">
        <f>Z24*Conversions!$D$4</f>
        <v>6.1945879073556211</v>
      </c>
      <c r="AH24" s="3">
        <f t="shared" si="0"/>
        <v>29.094841482644373</v>
      </c>
      <c r="AI24">
        <f t="shared" si="1"/>
        <v>15</v>
      </c>
      <c r="AJ24">
        <f t="shared" si="2"/>
        <v>0.13524800152154118</v>
      </c>
      <c r="AK24" s="15">
        <f t="shared" si="3"/>
        <v>215.12215452596087</v>
      </c>
      <c r="AL24" s="1">
        <f t="shared" si="4"/>
        <v>0</v>
      </c>
    </row>
    <row r="25" spans="2:38" x14ac:dyDescent="0.25">
      <c r="B25" t="s">
        <v>15</v>
      </c>
      <c r="C25" t="s">
        <v>9</v>
      </c>
      <c r="D25" t="s">
        <v>245</v>
      </c>
      <c r="E25" t="s">
        <v>246</v>
      </c>
      <c r="F25" t="s">
        <v>6</v>
      </c>
      <c r="G25" t="s">
        <v>130</v>
      </c>
      <c r="H25" t="s">
        <v>37</v>
      </c>
      <c r="I25" t="s">
        <v>34</v>
      </c>
      <c r="J25">
        <v>8760</v>
      </c>
      <c r="K25" s="5">
        <v>1</v>
      </c>
      <c r="L25">
        <v>1</v>
      </c>
      <c r="M25" s="3">
        <f>19631.8145207228/1000</f>
        <v>19.631814520722802</v>
      </c>
      <c r="N25" s="3">
        <f>19631.81452/1000</f>
        <v>19.631814519999999</v>
      </c>
      <c r="O25" s="1">
        <v>0</v>
      </c>
      <c r="P25">
        <v>40</v>
      </c>
      <c r="Q25" s="1">
        <v>6.0000000000000001E-3</v>
      </c>
      <c r="R25">
        <v>1</v>
      </c>
      <c r="S25">
        <v>1</v>
      </c>
      <c r="T25" s="16">
        <f>Capacity!B24*1000</f>
        <v>1842.8252929999999</v>
      </c>
      <c r="U25" s="17">
        <v>0</v>
      </c>
      <c r="V25" s="17">
        <v>0</v>
      </c>
      <c r="W25" s="17">
        <v>0</v>
      </c>
      <c r="X25" s="31"/>
      <c r="Y25" s="34"/>
      <c r="Z25">
        <v>4.4000000000000004</v>
      </c>
      <c r="AA25">
        <v>0.105</v>
      </c>
      <c r="AC25" s="30"/>
      <c r="AD25" s="1">
        <f>K25-Q25</f>
        <v>0.99399999999999999</v>
      </c>
      <c r="AE25" s="30"/>
      <c r="AF25">
        <v>0</v>
      </c>
      <c r="AG25">
        <f>Z25*Conversions!$D$4</f>
        <v>5.4512373584729472</v>
      </c>
      <c r="AH25" s="3">
        <f t="shared" si="0"/>
        <v>14.180577162249854</v>
      </c>
      <c r="AI25">
        <f t="shared" si="1"/>
        <v>20</v>
      </c>
      <c r="AJ25">
        <f t="shared" si="2"/>
        <v>0.12149326526701618</v>
      </c>
      <c r="AK25" s="15">
        <f t="shared" si="3"/>
        <v>116.7190389614106</v>
      </c>
      <c r="AL25" s="1">
        <f t="shared" si="4"/>
        <v>1842.8252929999999</v>
      </c>
    </row>
    <row r="26" spans="2:38" x14ac:dyDescent="0.25">
      <c r="B26" t="s">
        <v>18</v>
      </c>
      <c r="C26" t="s">
        <v>9</v>
      </c>
      <c r="D26" t="s">
        <v>245</v>
      </c>
      <c r="E26" t="s">
        <v>247</v>
      </c>
      <c r="F26" t="s">
        <v>6</v>
      </c>
      <c r="G26" t="s">
        <v>130</v>
      </c>
      <c r="H26" t="s">
        <v>37</v>
      </c>
      <c r="I26" t="s">
        <v>34</v>
      </c>
      <c r="J26">
        <v>8760</v>
      </c>
      <c r="K26" s="5">
        <v>1</v>
      </c>
      <c r="L26">
        <v>1</v>
      </c>
      <c r="M26" s="3">
        <f>11825.3487554956/1000</f>
        <v>11.825348755495598</v>
      </c>
      <c r="N26" s="3">
        <f>11825.34876/1000</f>
        <v>11.825348760000001</v>
      </c>
      <c r="O26" s="1">
        <v>0</v>
      </c>
      <c r="P26">
        <v>35</v>
      </c>
      <c r="Q26" s="1">
        <v>0.01</v>
      </c>
      <c r="R26">
        <v>1</v>
      </c>
      <c r="S26">
        <v>1</v>
      </c>
      <c r="T26" s="16">
        <f>Capacity!B25*1000</f>
        <v>299.35000000000002</v>
      </c>
      <c r="U26" s="17">
        <v>0</v>
      </c>
      <c r="V26" s="17">
        <v>0</v>
      </c>
      <c r="W26" s="17">
        <v>0</v>
      </c>
      <c r="X26" s="31"/>
      <c r="Y26" s="34"/>
      <c r="Z26">
        <f>2.4</f>
        <v>2.4</v>
      </c>
      <c r="AA26">
        <v>8.3500000000000005E-2</v>
      </c>
      <c r="AC26" s="30"/>
      <c r="AD26" s="1">
        <f>K26-Q26</f>
        <v>0.99</v>
      </c>
      <c r="AE26" s="30"/>
      <c r="AF26">
        <v>0</v>
      </c>
      <c r="AG26">
        <f>Z26*Conversions!$D$4</f>
        <v>2.973402195530698</v>
      </c>
      <c r="AH26" s="3">
        <f t="shared" si="0"/>
        <v>8.851946559964901</v>
      </c>
      <c r="AI26">
        <f t="shared" si="1"/>
        <v>18</v>
      </c>
      <c r="AJ26">
        <f t="shared" si="2"/>
        <v>0.1093062199026277</v>
      </c>
      <c r="AK26" s="15">
        <f t="shared" si="3"/>
        <v>80.983008724026888</v>
      </c>
      <c r="AL26" s="1">
        <f t="shared" si="4"/>
        <v>299.35000000000002</v>
      </c>
    </row>
    <row r="27" spans="2:38" x14ac:dyDescent="0.25">
      <c r="B27" t="s">
        <v>7</v>
      </c>
      <c r="C27" t="s">
        <v>9</v>
      </c>
      <c r="D27" t="s">
        <v>241</v>
      </c>
      <c r="E27" t="s">
        <v>244</v>
      </c>
      <c r="F27" t="s">
        <v>6</v>
      </c>
      <c r="G27" t="s">
        <v>130</v>
      </c>
      <c r="H27" t="s">
        <v>38</v>
      </c>
      <c r="I27" t="s">
        <v>34</v>
      </c>
      <c r="J27">
        <v>8760</v>
      </c>
      <c r="K27" s="5">
        <v>0.238845897</v>
      </c>
      <c r="L27">
        <v>1</v>
      </c>
      <c r="M27" s="3">
        <f>7713.45723965334/1000</f>
        <v>7.7134572396533407</v>
      </c>
      <c r="N27" s="3">
        <f>7713.45724/1000</f>
        <v>7.7134572399999994</v>
      </c>
      <c r="O27" s="1">
        <v>0</v>
      </c>
      <c r="P27">
        <v>20</v>
      </c>
      <c r="Q27" s="1">
        <v>0.1</v>
      </c>
      <c r="R27">
        <v>0.06</v>
      </c>
      <c r="S27">
        <v>0.06</v>
      </c>
      <c r="T27" s="16">
        <f>Capacity!B26*1000</f>
        <v>15.8</v>
      </c>
      <c r="U27" s="17">
        <v>0</v>
      </c>
      <c r="V27" s="17">
        <v>0</v>
      </c>
      <c r="W27" s="17">
        <v>0</v>
      </c>
      <c r="X27" s="1">
        <f>CarriersTech_characteristics!$G$7</f>
        <v>13.648968</v>
      </c>
      <c r="Y27" s="1">
        <f>CarriersTech_characteristics!$H$5*1000</f>
        <v>1656436.6880000001</v>
      </c>
      <c r="Z27" s="12">
        <v>1</v>
      </c>
      <c r="AA27">
        <v>8.3500000000000005E-2</v>
      </c>
      <c r="AC27" s="1">
        <f>1/K27/(1-Q27)</f>
        <v>4.6519999927447406</v>
      </c>
      <c r="AD27" s="31"/>
      <c r="AE27" s="36">
        <f>Y27/(X27*Conversions!$D$2)</f>
        <v>0.43689545093040172</v>
      </c>
      <c r="AF27">
        <v>0</v>
      </c>
      <c r="AG27">
        <f>Z27*Conversions!$D$4</f>
        <v>1.2389175814711242</v>
      </c>
      <c r="AH27" s="3">
        <f t="shared" si="0"/>
        <v>6.4745396581822163</v>
      </c>
      <c r="AI27">
        <f t="shared" si="1"/>
        <v>10</v>
      </c>
      <c r="AJ27">
        <f t="shared" si="2"/>
        <v>0.15139063026119925</v>
      </c>
      <c r="AK27" s="15">
        <f t="shared" si="3"/>
        <v>42.767109477062611</v>
      </c>
      <c r="AL27" s="1">
        <f t="shared" si="4"/>
        <v>15.8</v>
      </c>
    </row>
    <row r="28" spans="2:38" x14ac:dyDescent="0.25">
      <c r="B28" t="s">
        <v>19</v>
      </c>
      <c r="C28" t="s">
        <v>9</v>
      </c>
      <c r="D28" t="s">
        <v>253</v>
      </c>
      <c r="E28" t="s">
        <v>250</v>
      </c>
      <c r="F28" t="s">
        <v>6</v>
      </c>
      <c r="G28" t="s">
        <v>130</v>
      </c>
      <c r="H28" t="s">
        <v>39</v>
      </c>
      <c r="I28" t="s">
        <v>34</v>
      </c>
      <c r="J28">
        <v>8760</v>
      </c>
      <c r="K28" s="5">
        <v>1</v>
      </c>
      <c r="L28">
        <v>1</v>
      </c>
      <c r="M28" s="3">
        <f>5630.98419436319/1000</f>
        <v>5.6309841943631902</v>
      </c>
      <c r="N28" s="3">
        <f>5439.705856/1000</f>
        <v>5.4397058559999998</v>
      </c>
      <c r="O28" s="1">
        <v>0</v>
      </c>
      <c r="P28">
        <v>25</v>
      </c>
      <c r="Q28" s="1">
        <v>0.01</v>
      </c>
      <c r="R28">
        <v>1</v>
      </c>
      <c r="S28">
        <v>1</v>
      </c>
      <c r="T28" s="16">
        <f>Capacity!B27*1000</f>
        <v>171.48962199999997</v>
      </c>
      <c r="U28" s="17">
        <v>0</v>
      </c>
      <c r="V28" s="17">
        <v>0</v>
      </c>
      <c r="W28" s="17">
        <v>0</v>
      </c>
      <c r="X28" s="31"/>
      <c r="Y28" s="35" t="s">
        <v>265</v>
      </c>
      <c r="Z28">
        <v>0.35</v>
      </c>
      <c r="AA28">
        <v>0.105</v>
      </c>
      <c r="AC28" s="31">
        <v>1</v>
      </c>
      <c r="AD28" s="31"/>
      <c r="AE28" s="30"/>
      <c r="AF28">
        <v>0</v>
      </c>
      <c r="AG28">
        <f>Z28*Conversions!$D$4</f>
        <v>0.43362115351489344</v>
      </c>
      <c r="AH28" s="3">
        <f t="shared" si="0"/>
        <v>5.1973630408482965</v>
      </c>
      <c r="AI28">
        <f t="shared" si="1"/>
        <v>13</v>
      </c>
      <c r="AJ28">
        <f t="shared" si="2"/>
        <v>0.14444511726871467</v>
      </c>
      <c r="AK28" s="15">
        <f t="shared" si="3"/>
        <v>35.98157652625612</v>
      </c>
      <c r="AL28" s="1">
        <f t="shared" si="4"/>
        <v>171.48962199999997</v>
      </c>
    </row>
    <row r="29" spans="2:38" x14ac:dyDescent="0.25">
      <c r="B29" t="s">
        <v>20</v>
      </c>
      <c r="C29" t="s">
        <v>9</v>
      </c>
      <c r="D29" t="s">
        <v>253</v>
      </c>
      <c r="E29" t="s">
        <v>251</v>
      </c>
      <c r="F29" t="s">
        <v>6</v>
      </c>
      <c r="G29" t="s">
        <v>130</v>
      </c>
      <c r="H29" t="s">
        <v>39</v>
      </c>
      <c r="I29" t="s">
        <v>34</v>
      </c>
      <c r="J29">
        <v>8760</v>
      </c>
      <c r="K29" s="5">
        <v>1</v>
      </c>
      <c r="L29">
        <v>1</v>
      </c>
      <c r="M29" s="3">
        <f>5542.18769541597/1000</f>
        <v>5.5421876954159695</v>
      </c>
      <c r="N29" s="3">
        <f>5362.133837/1000</f>
        <v>5.362133837</v>
      </c>
      <c r="O29" s="1">
        <v>0</v>
      </c>
      <c r="P29">
        <v>25</v>
      </c>
      <c r="Q29" s="1">
        <v>6.0000000000000001E-3</v>
      </c>
      <c r="R29">
        <v>1</v>
      </c>
      <c r="S29">
        <v>1</v>
      </c>
      <c r="T29" s="16">
        <f>Capacity!B28*1000</f>
        <v>67.610377999999997</v>
      </c>
      <c r="U29" s="17">
        <v>0</v>
      </c>
      <c r="V29" s="17">
        <v>0</v>
      </c>
      <c r="W29" s="17">
        <v>0</v>
      </c>
      <c r="X29" s="31"/>
      <c r="Y29" s="31"/>
      <c r="Z29">
        <v>0.51</v>
      </c>
      <c r="AA29">
        <v>0.104</v>
      </c>
      <c r="AC29" s="31">
        <v>1</v>
      </c>
      <c r="AD29" s="31"/>
      <c r="AE29" s="30"/>
      <c r="AF29">
        <v>0</v>
      </c>
      <c r="AG29">
        <f>Z29*Conversions!$D$4</f>
        <v>0.63184796655027331</v>
      </c>
      <c r="AH29" s="3">
        <f t="shared" si="0"/>
        <v>4.9103397288656963</v>
      </c>
      <c r="AI29">
        <f t="shared" si="1"/>
        <v>13</v>
      </c>
      <c r="AJ29">
        <f t="shared" si="2"/>
        <v>0.1437086289255039</v>
      </c>
      <c r="AK29" s="15">
        <f t="shared" si="3"/>
        <v>34.16871878592017</v>
      </c>
      <c r="AL29" s="1">
        <f t="shared" si="4"/>
        <v>67.610377999999997</v>
      </c>
    </row>
    <row r="30" spans="2:38" x14ac:dyDescent="0.25">
      <c r="B30" t="s">
        <v>21</v>
      </c>
      <c r="C30" t="s">
        <v>9</v>
      </c>
      <c r="D30" t="s">
        <v>253</v>
      </c>
      <c r="E30" t="s">
        <v>252</v>
      </c>
      <c r="F30" t="s">
        <v>6</v>
      </c>
      <c r="G30" t="s">
        <v>130</v>
      </c>
      <c r="H30" t="s">
        <v>40</v>
      </c>
      <c r="I30" t="s">
        <v>34</v>
      </c>
      <c r="J30">
        <v>8760</v>
      </c>
      <c r="K30" s="5">
        <v>1</v>
      </c>
      <c r="L30">
        <v>1</v>
      </c>
      <c r="M30" s="3">
        <f>10659.4302732183/1000</f>
        <v>10.6594302732183</v>
      </c>
      <c r="N30" s="3">
        <f>10586.96446/1000</f>
        <v>10.586964459999999</v>
      </c>
      <c r="O30" s="1">
        <v>0</v>
      </c>
      <c r="P30">
        <v>25</v>
      </c>
      <c r="Q30" s="1">
        <v>5.0000000000000001E-3</v>
      </c>
      <c r="R30">
        <v>1</v>
      </c>
      <c r="S30">
        <v>1</v>
      </c>
      <c r="T30" s="16">
        <f>Capacity!B29*1000</f>
        <v>0</v>
      </c>
      <c r="U30" s="17">
        <v>0</v>
      </c>
      <c r="V30" s="17">
        <v>0</v>
      </c>
      <c r="W30" s="17">
        <v>0</v>
      </c>
      <c r="X30" s="31"/>
      <c r="Y30" s="31"/>
      <c r="Z30">
        <v>0.68</v>
      </c>
      <c r="AA30">
        <v>0.105</v>
      </c>
      <c r="AC30" s="31">
        <v>1</v>
      </c>
      <c r="AD30" s="31"/>
      <c r="AE30" s="30"/>
      <c r="AF30">
        <v>0</v>
      </c>
      <c r="AG30">
        <f>Z30*Conversions!$D$4</f>
        <v>0.84246395540036456</v>
      </c>
      <c r="AH30" s="3">
        <f t="shared" si="0"/>
        <v>9.8169663178179363</v>
      </c>
      <c r="AI30">
        <f t="shared" si="1"/>
        <v>13</v>
      </c>
      <c r="AJ30">
        <f t="shared" si="2"/>
        <v>0.14444511726871467</v>
      </c>
      <c r="AK30" s="15">
        <f t="shared" si="3"/>
        <v>67.963296395510568</v>
      </c>
      <c r="AL30" s="1">
        <f t="shared" si="4"/>
        <v>0</v>
      </c>
    </row>
    <row r="31" spans="2:38" s="24" customFormat="1" x14ac:dyDescent="0.25">
      <c r="B31" s="24" t="s">
        <v>23</v>
      </c>
      <c r="C31" s="24" t="s">
        <v>9</v>
      </c>
      <c r="D31" s="24" t="s">
        <v>253</v>
      </c>
      <c r="F31" s="24" t="s">
        <v>6</v>
      </c>
      <c r="G31" s="24" t="s">
        <v>130</v>
      </c>
      <c r="H31" s="24" t="s">
        <v>40</v>
      </c>
      <c r="I31" s="24" t="s">
        <v>34</v>
      </c>
      <c r="J31" s="24">
        <v>8760</v>
      </c>
      <c r="K31" s="44">
        <v>1</v>
      </c>
      <c r="L31" s="24">
        <v>1</v>
      </c>
      <c r="M31" s="45">
        <f>N31</f>
        <v>34.540361669999996</v>
      </c>
      <c r="N31" s="46">
        <f>34540.36167/1000</f>
        <v>34.540361669999996</v>
      </c>
      <c r="O31" s="47">
        <v>0</v>
      </c>
      <c r="P31" s="24">
        <v>25</v>
      </c>
      <c r="Q31" s="47">
        <v>5.0000000000000001E-3</v>
      </c>
      <c r="R31" s="24">
        <v>1</v>
      </c>
      <c r="S31" s="24">
        <v>1</v>
      </c>
      <c r="T31" s="48">
        <f>Capacity!B30*1000</f>
        <v>0</v>
      </c>
      <c r="U31" s="49">
        <v>0</v>
      </c>
      <c r="V31" s="49">
        <v>0</v>
      </c>
      <c r="W31" s="49">
        <v>0</v>
      </c>
      <c r="X31" s="50"/>
      <c r="Y31" s="50"/>
      <c r="Z31" s="24">
        <v>6.7</v>
      </c>
      <c r="AA31" s="24">
        <v>0.112</v>
      </c>
      <c r="AB31" s="51"/>
      <c r="AC31" s="50">
        <v>1</v>
      </c>
      <c r="AD31" s="50"/>
      <c r="AE31" s="52"/>
      <c r="AF31" s="24">
        <v>0</v>
      </c>
      <c r="AG31" s="24">
        <f>Z31*Conversions!$D$4</f>
        <v>8.3007477958565321</v>
      </c>
      <c r="AH31" s="46">
        <f t="shared" si="0"/>
        <v>26.239613874143465</v>
      </c>
      <c r="AI31" s="24">
        <f t="shared" si="1"/>
        <v>13</v>
      </c>
      <c r="AJ31" s="24">
        <f t="shared" si="2"/>
        <v>0.14964415165301803</v>
      </c>
      <c r="AK31" s="53">
        <f t="shared" si="3"/>
        <v>175.34673814039604</v>
      </c>
      <c r="AL31" s="47">
        <f t="shared" si="4"/>
        <v>0</v>
      </c>
    </row>
    <row r="32" spans="2:38" x14ac:dyDescent="0.25">
      <c r="B32" t="s">
        <v>13</v>
      </c>
      <c r="C32" t="s">
        <v>10</v>
      </c>
      <c r="D32" t="s">
        <v>241</v>
      </c>
      <c r="E32" t="s">
        <v>243</v>
      </c>
      <c r="F32" t="s">
        <v>6</v>
      </c>
      <c r="G32" t="s">
        <v>130</v>
      </c>
      <c r="H32" t="s">
        <v>33</v>
      </c>
      <c r="I32" t="s">
        <v>34</v>
      </c>
      <c r="J32">
        <v>8760</v>
      </c>
      <c r="K32" s="5">
        <v>0.38096819999999998</v>
      </c>
      <c r="L32">
        <v>0.85</v>
      </c>
      <c r="M32" s="3">
        <f>6514.90571684157/1000</f>
        <v>6.5149057168415698</v>
      </c>
      <c r="N32" s="3">
        <f>13721.03129/1000</f>
        <v>13.721031290000001</v>
      </c>
      <c r="O32" s="1">
        <v>133.5230182</v>
      </c>
      <c r="P32">
        <v>40</v>
      </c>
      <c r="Q32" s="1">
        <v>6.6000000000000003E-2</v>
      </c>
      <c r="R32">
        <v>0.3</v>
      </c>
      <c r="S32">
        <v>0.3</v>
      </c>
      <c r="T32" s="16">
        <f>Capacity!B33*1000</f>
        <v>41729.904175000003</v>
      </c>
      <c r="U32" s="17">
        <v>0</v>
      </c>
      <c r="V32" s="17">
        <v>0</v>
      </c>
      <c r="W32" s="17">
        <v>0</v>
      </c>
      <c r="X32" s="1">
        <f>CarriersTech_characteristics!$G$2</f>
        <v>17.207187650000002</v>
      </c>
      <c r="Y32" s="1">
        <f>CarriersTech_characteristics!$H$28*1000</f>
        <v>1942097.6230000001</v>
      </c>
      <c r="Z32" s="7">
        <v>3</v>
      </c>
      <c r="AA32">
        <v>0.105</v>
      </c>
      <c r="AB32" s="41"/>
      <c r="AC32" s="1">
        <f>1/K32/(1-Q32)</f>
        <v>2.8103758044980376</v>
      </c>
      <c r="AD32" s="31"/>
      <c r="AE32" s="37">
        <f>Y32/(X32*Conversions!$D$2)</f>
        <v>0.40631575182871843</v>
      </c>
      <c r="AF32" s="11">
        <f>O32/CarriersTech_characteristics!$G$2/Conversions!$D$2*AC32</f>
        <v>7.8507860294473842E-5</v>
      </c>
      <c r="AG32">
        <f>Z32*Conversions!$D$4</f>
        <v>3.7167527444133723</v>
      </c>
      <c r="AH32" s="3">
        <f t="shared" si="0"/>
        <v>2.7981529724281975</v>
      </c>
      <c r="AI32">
        <f t="shared" si="1"/>
        <v>20</v>
      </c>
      <c r="AJ32">
        <f t="shared" si="2"/>
        <v>0.12149326526701618</v>
      </c>
      <c r="AK32" s="15">
        <f t="shared" si="3"/>
        <v>23.031342241715674</v>
      </c>
      <c r="AL32" s="1">
        <f t="shared" si="4"/>
        <v>41729.904175000003</v>
      </c>
    </row>
    <row r="33" spans="2:38" x14ac:dyDescent="0.25">
      <c r="B33" t="s">
        <v>14</v>
      </c>
      <c r="C33" t="s">
        <v>10</v>
      </c>
      <c r="D33" t="s">
        <v>241</v>
      </c>
      <c r="E33" t="s">
        <v>248</v>
      </c>
      <c r="F33" t="s">
        <v>6</v>
      </c>
      <c r="G33" t="s">
        <v>130</v>
      </c>
      <c r="H33" t="s">
        <v>35</v>
      </c>
      <c r="I33" t="s">
        <v>34</v>
      </c>
      <c r="J33">
        <v>8760</v>
      </c>
      <c r="K33" s="5">
        <v>0.40444272199999998</v>
      </c>
      <c r="L33">
        <v>0.85</v>
      </c>
      <c r="M33" s="3">
        <f>8512.22780274884/1000</f>
        <v>8.5122278027488392</v>
      </c>
      <c r="N33" s="3">
        <f>8512.227803/1000</f>
        <v>8.512227803</v>
      </c>
      <c r="O33" s="1">
        <v>0</v>
      </c>
      <c r="P33">
        <v>25</v>
      </c>
      <c r="Q33" s="1">
        <v>0.02</v>
      </c>
      <c r="R33">
        <v>0.9</v>
      </c>
      <c r="S33">
        <v>0.9</v>
      </c>
      <c r="T33" s="16">
        <f>Capacity!B34*1000</f>
        <v>770.80433300000004</v>
      </c>
      <c r="U33" s="17">
        <v>0</v>
      </c>
      <c r="V33" s="17">
        <v>0</v>
      </c>
      <c r="W33" s="17">
        <v>0</v>
      </c>
      <c r="X33" s="1">
        <f>CarriersTech_characteristics!$G$3</f>
        <v>37.681199999999997</v>
      </c>
      <c r="Y33" s="1">
        <f>CarriersTech_characteristics!$H$3*1000</f>
        <v>3025024.5490000001</v>
      </c>
      <c r="Z33">
        <v>2.9</v>
      </c>
      <c r="AA33">
        <v>0.105</v>
      </c>
      <c r="AC33" s="1">
        <f>1/K33/(1-Q33)</f>
        <v>2.5229979617863072</v>
      </c>
      <c r="AD33" s="31"/>
      <c r="AE33" s="37">
        <f>(Y33*Conversions!$D$3)/(X33*Conversions!$D$2)</f>
        <v>0.23958587284408495</v>
      </c>
      <c r="AF33">
        <v>0</v>
      </c>
      <c r="AG33">
        <f>Z33*Conversions!$D$4</f>
        <v>3.5928609862662602</v>
      </c>
      <c r="AH33" s="3">
        <f t="shared" si="0"/>
        <v>4.9193668164825795</v>
      </c>
      <c r="AI33">
        <f t="shared" si="1"/>
        <v>13</v>
      </c>
      <c r="AJ33">
        <f t="shared" si="2"/>
        <v>0.14444511726871467</v>
      </c>
      <c r="AK33" s="15">
        <f t="shared" si="3"/>
        <v>34.056996245369547</v>
      </c>
      <c r="AL33" s="1">
        <f t="shared" si="4"/>
        <v>770.80433300000004</v>
      </c>
    </row>
    <row r="34" spans="2:38" x14ac:dyDescent="0.25">
      <c r="B34" t="s">
        <v>16</v>
      </c>
      <c r="C34" t="s">
        <v>10</v>
      </c>
      <c r="D34" t="s">
        <v>241</v>
      </c>
      <c r="F34" t="s">
        <v>6</v>
      </c>
      <c r="G34" t="s">
        <v>130</v>
      </c>
      <c r="H34" t="s">
        <v>35</v>
      </c>
      <c r="I34" t="s">
        <v>34</v>
      </c>
      <c r="J34">
        <v>8760</v>
      </c>
      <c r="K34" s="5">
        <v>0.28070162799999998</v>
      </c>
      <c r="L34">
        <v>0.85</v>
      </c>
      <c r="M34" s="3">
        <f>6679.75064927145/1000</f>
        <v>6.6797506492714502</v>
      </c>
      <c r="N34" s="3">
        <f>6679.750649/1000</f>
        <v>6.6797506489999998</v>
      </c>
      <c r="O34" s="1">
        <v>0</v>
      </c>
      <c r="P34">
        <v>25</v>
      </c>
      <c r="Q34" s="1">
        <v>0.01</v>
      </c>
      <c r="R34">
        <v>1</v>
      </c>
      <c r="S34">
        <v>1</v>
      </c>
      <c r="T34" s="16">
        <f>Capacity!B35*1000</f>
        <v>0</v>
      </c>
      <c r="U34" s="17">
        <v>0</v>
      </c>
      <c r="V34" s="17">
        <v>0</v>
      </c>
      <c r="W34" s="17">
        <v>0</v>
      </c>
      <c r="X34" s="1">
        <f>CarriersTech_characteristics!$G$3</f>
        <v>37.681199999999997</v>
      </c>
      <c r="Y34" s="1">
        <f>CarriersTech_characteristics!$H$3*1000</f>
        <v>3025024.5490000001</v>
      </c>
      <c r="Z34">
        <v>0.7</v>
      </c>
      <c r="AA34">
        <v>0.105</v>
      </c>
      <c r="AC34" s="1">
        <f>1/K34/(1-Q34)</f>
        <v>3.5984864687033813</v>
      </c>
      <c r="AD34" s="31"/>
      <c r="AE34" s="37">
        <f>(Y34*Conversions!$D$3)/(X34*Conversions!$D$2)</f>
        <v>0.23958587284408495</v>
      </c>
      <c r="AF34">
        <v>0</v>
      </c>
      <c r="AG34">
        <f>Z34*Conversions!$D$4</f>
        <v>0.86724230702978689</v>
      </c>
      <c r="AH34" s="3">
        <f t="shared" si="0"/>
        <v>5.8125083422416637</v>
      </c>
      <c r="AI34">
        <f t="shared" si="1"/>
        <v>13</v>
      </c>
      <c r="AJ34">
        <f t="shared" si="2"/>
        <v>0.14444511726871467</v>
      </c>
      <c r="AK34" s="15">
        <f t="shared" si="3"/>
        <v>40.240254929687353</v>
      </c>
      <c r="AL34" s="1">
        <f t="shared" si="4"/>
        <v>0</v>
      </c>
    </row>
    <row r="35" spans="2:38" x14ac:dyDescent="0.25">
      <c r="B35" t="s">
        <v>17</v>
      </c>
      <c r="C35" t="s">
        <v>10</v>
      </c>
      <c r="D35" t="s">
        <v>241</v>
      </c>
      <c r="E35" t="s">
        <v>249</v>
      </c>
      <c r="F35" t="s">
        <v>6</v>
      </c>
      <c r="G35" t="s">
        <v>130</v>
      </c>
      <c r="H35" t="s">
        <v>36</v>
      </c>
      <c r="I35" t="s">
        <v>34</v>
      </c>
      <c r="J35">
        <v>8760</v>
      </c>
      <c r="K35" s="5">
        <v>1</v>
      </c>
      <c r="L35">
        <v>0.70916666699999997</v>
      </c>
      <c r="M35" s="3">
        <f>20833.2103478327/1000</f>
        <v>20.833210347832701</v>
      </c>
      <c r="N35" s="3">
        <f>20833.21035/1000</f>
        <v>20.833210350000002</v>
      </c>
      <c r="O35" s="1">
        <v>0</v>
      </c>
      <c r="P35">
        <v>40</v>
      </c>
      <c r="Q35" s="1">
        <v>0.10780000000000001</v>
      </c>
      <c r="R35">
        <v>0.01</v>
      </c>
      <c r="S35">
        <v>0.01</v>
      </c>
      <c r="T35" s="16">
        <f>Capacity!B36*1000</f>
        <v>0</v>
      </c>
      <c r="U35" s="17">
        <v>0</v>
      </c>
      <c r="V35" s="17">
        <v>0</v>
      </c>
      <c r="W35" s="17">
        <v>0</v>
      </c>
      <c r="X35" s="33"/>
      <c r="Y35" s="33"/>
      <c r="Z35">
        <v>4.3</v>
      </c>
      <c r="AA35">
        <v>0.105</v>
      </c>
      <c r="AC35" s="1">
        <f>1/K35/(1-Q35)</f>
        <v>1.1208249271463797</v>
      </c>
      <c r="AD35" s="31"/>
      <c r="AE35" s="32"/>
      <c r="AF35">
        <v>0</v>
      </c>
      <c r="AG35">
        <f>Z35*Conversions!$D$4</f>
        <v>5.3273456003258337</v>
      </c>
      <c r="AH35" s="3">
        <f t="shared" si="0"/>
        <v>15.505864747506866</v>
      </c>
      <c r="AI35">
        <f t="shared" si="1"/>
        <v>20</v>
      </c>
      <c r="AJ35">
        <f t="shared" si="2"/>
        <v>0.12149326526701618</v>
      </c>
      <c r="AK35" s="15">
        <f t="shared" si="3"/>
        <v>127.6273603596734</v>
      </c>
      <c r="AL35" s="1">
        <f t="shared" si="4"/>
        <v>0</v>
      </c>
    </row>
    <row r="36" spans="2:38" x14ac:dyDescent="0.25">
      <c r="B36" t="s">
        <v>22</v>
      </c>
      <c r="C36" t="s">
        <v>10</v>
      </c>
      <c r="D36" t="s">
        <v>241</v>
      </c>
      <c r="F36" t="s">
        <v>6</v>
      </c>
      <c r="G36" t="s">
        <v>130</v>
      </c>
      <c r="H36" t="s">
        <v>36</v>
      </c>
      <c r="I36" t="s">
        <v>34</v>
      </c>
      <c r="J36">
        <v>8760</v>
      </c>
      <c r="K36" s="5">
        <v>1</v>
      </c>
      <c r="L36">
        <v>0.70916666699999997</v>
      </c>
      <c r="M36" s="13">
        <f>N36</f>
        <v>35.289429389999995</v>
      </c>
      <c r="N36" s="3">
        <f>35289.42939/1000</f>
        <v>35.289429389999995</v>
      </c>
      <c r="O36" s="1">
        <v>0</v>
      </c>
      <c r="P36">
        <v>30</v>
      </c>
      <c r="Q36" s="1">
        <v>0.05</v>
      </c>
      <c r="R36">
        <v>0.01</v>
      </c>
      <c r="S36">
        <v>0.01</v>
      </c>
      <c r="T36" s="16">
        <f>Capacity!B37*1000</f>
        <v>0</v>
      </c>
      <c r="U36" s="17">
        <v>0</v>
      </c>
      <c r="V36" s="17">
        <v>0</v>
      </c>
      <c r="W36" s="17">
        <v>0</v>
      </c>
      <c r="X36" s="33"/>
      <c r="Y36" s="33"/>
      <c r="Z36">
        <v>5</v>
      </c>
      <c r="AA36">
        <v>0.105</v>
      </c>
      <c r="AC36" s="1">
        <f>1/K36/(1-Q36)</f>
        <v>1.0526315789473684</v>
      </c>
      <c r="AD36" s="31"/>
      <c r="AE36" s="32"/>
      <c r="AF36">
        <v>0</v>
      </c>
      <c r="AG36">
        <f>Z36*Conversions!$D$4</f>
        <v>6.1945879073556211</v>
      </c>
      <c r="AH36" s="3">
        <f t="shared" si="0"/>
        <v>29.094841482644373</v>
      </c>
      <c r="AI36">
        <f t="shared" si="1"/>
        <v>15</v>
      </c>
      <c r="AJ36">
        <f t="shared" si="2"/>
        <v>0.13524800152154118</v>
      </c>
      <c r="AK36" s="15">
        <f t="shared" si="3"/>
        <v>215.12215452596087</v>
      </c>
      <c r="AL36" s="1">
        <f t="shared" si="4"/>
        <v>0</v>
      </c>
    </row>
    <row r="37" spans="2:38" x14ac:dyDescent="0.25">
      <c r="B37" t="s">
        <v>15</v>
      </c>
      <c r="C37" t="s">
        <v>10</v>
      </c>
      <c r="D37" t="s">
        <v>245</v>
      </c>
      <c r="E37" t="s">
        <v>246</v>
      </c>
      <c r="F37" t="s">
        <v>6</v>
      </c>
      <c r="G37" t="s">
        <v>130</v>
      </c>
      <c r="H37" t="s">
        <v>37</v>
      </c>
      <c r="I37" t="s">
        <v>34</v>
      </c>
      <c r="J37">
        <v>8760</v>
      </c>
      <c r="K37" s="5">
        <v>1</v>
      </c>
      <c r="L37">
        <v>1</v>
      </c>
      <c r="M37" s="3">
        <f>19631.8145207228/1000</f>
        <v>19.631814520722802</v>
      </c>
      <c r="N37" s="3">
        <f>19631.81452/1000</f>
        <v>19.631814519999999</v>
      </c>
      <c r="O37" s="1">
        <v>0</v>
      </c>
      <c r="P37">
        <v>40</v>
      </c>
      <c r="Q37" s="1">
        <v>6.0000000000000001E-3</v>
      </c>
      <c r="R37">
        <v>1</v>
      </c>
      <c r="S37">
        <v>1</v>
      </c>
      <c r="T37" s="16">
        <f>Capacity!B38*1000</f>
        <v>4198.8602859999992</v>
      </c>
      <c r="U37" s="17">
        <v>0</v>
      </c>
      <c r="V37" s="17">
        <v>0</v>
      </c>
      <c r="W37" s="17">
        <v>0</v>
      </c>
      <c r="X37" s="31"/>
      <c r="Y37" s="34"/>
      <c r="Z37">
        <v>4.4000000000000004</v>
      </c>
      <c r="AA37">
        <v>0.105</v>
      </c>
      <c r="AC37" s="30"/>
      <c r="AD37" s="1">
        <f>K37-Q37</f>
        <v>0.99399999999999999</v>
      </c>
      <c r="AE37" s="30"/>
      <c r="AF37">
        <v>0</v>
      </c>
      <c r="AG37">
        <f>Z37*Conversions!$D$4</f>
        <v>5.4512373584729472</v>
      </c>
      <c r="AH37" s="3">
        <f t="shared" si="0"/>
        <v>14.180577162249854</v>
      </c>
      <c r="AI37">
        <f t="shared" si="1"/>
        <v>20</v>
      </c>
      <c r="AJ37">
        <f t="shared" si="2"/>
        <v>0.12149326526701618</v>
      </c>
      <c r="AK37" s="15">
        <f t="shared" si="3"/>
        <v>116.7190389614106</v>
      </c>
      <c r="AL37" s="1">
        <f t="shared" si="4"/>
        <v>4198.8602859999992</v>
      </c>
    </row>
    <row r="38" spans="2:38" x14ac:dyDescent="0.25">
      <c r="B38" t="s">
        <v>18</v>
      </c>
      <c r="C38" t="s">
        <v>10</v>
      </c>
      <c r="D38" t="s">
        <v>245</v>
      </c>
      <c r="E38" t="s">
        <v>247</v>
      </c>
      <c r="F38" t="s">
        <v>6</v>
      </c>
      <c r="G38" t="s">
        <v>130</v>
      </c>
      <c r="H38" t="s">
        <v>37</v>
      </c>
      <c r="I38" t="s">
        <v>34</v>
      </c>
      <c r="J38">
        <v>8760</v>
      </c>
      <c r="K38" s="5">
        <v>1</v>
      </c>
      <c r="L38">
        <v>1</v>
      </c>
      <c r="M38" s="3">
        <f>11825.3487554956/1000</f>
        <v>11.825348755495598</v>
      </c>
      <c r="N38" s="3">
        <f>11825.34876/1000</f>
        <v>11.825348760000001</v>
      </c>
      <c r="O38" s="1">
        <v>0</v>
      </c>
      <c r="P38">
        <v>35</v>
      </c>
      <c r="Q38" s="1">
        <v>0.01</v>
      </c>
      <c r="R38">
        <v>1</v>
      </c>
      <c r="S38">
        <v>1</v>
      </c>
      <c r="T38" s="16">
        <f>Capacity!B39*1000</f>
        <v>343.99</v>
      </c>
      <c r="U38" s="17">
        <v>0</v>
      </c>
      <c r="V38" s="17">
        <v>0</v>
      </c>
      <c r="W38" s="17">
        <v>0</v>
      </c>
      <c r="X38" s="31"/>
      <c r="Y38" s="34"/>
      <c r="Z38">
        <f>2.4</f>
        <v>2.4</v>
      </c>
      <c r="AA38">
        <v>8.3500000000000005E-2</v>
      </c>
      <c r="AC38" s="30"/>
      <c r="AD38" s="1">
        <f>K38-Q38</f>
        <v>0.99</v>
      </c>
      <c r="AE38" s="30"/>
      <c r="AF38">
        <v>0</v>
      </c>
      <c r="AG38">
        <f>Z38*Conversions!$D$4</f>
        <v>2.973402195530698</v>
      </c>
      <c r="AH38" s="3">
        <f t="shared" si="0"/>
        <v>8.851946559964901</v>
      </c>
      <c r="AI38">
        <f t="shared" si="1"/>
        <v>18</v>
      </c>
      <c r="AJ38">
        <f t="shared" si="2"/>
        <v>0.1093062199026277</v>
      </c>
      <c r="AK38" s="15">
        <f t="shared" si="3"/>
        <v>80.983008724026888</v>
      </c>
      <c r="AL38" s="1">
        <f t="shared" si="4"/>
        <v>343.99</v>
      </c>
    </row>
    <row r="39" spans="2:38" x14ac:dyDescent="0.25">
      <c r="B39" t="s">
        <v>7</v>
      </c>
      <c r="C39" t="s">
        <v>10</v>
      </c>
      <c r="D39" t="s">
        <v>241</v>
      </c>
      <c r="E39" t="s">
        <v>244</v>
      </c>
      <c r="F39" t="s">
        <v>6</v>
      </c>
      <c r="G39" t="s">
        <v>130</v>
      </c>
      <c r="H39" t="s">
        <v>38</v>
      </c>
      <c r="I39" t="s">
        <v>34</v>
      </c>
      <c r="J39">
        <v>8760</v>
      </c>
      <c r="K39" s="5">
        <v>0.238845897</v>
      </c>
      <c r="L39">
        <v>1</v>
      </c>
      <c r="M39" s="3">
        <f>7713.45723965334/1000</f>
        <v>7.7134572396533407</v>
      </c>
      <c r="N39" s="3">
        <f>7713.45724/1000</f>
        <v>7.7134572399999994</v>
      </c>
      <c r="O39" s="1">
        <v>0</v>
      </c>
      <c r="P39">
        <v>20</v>
      </c>
      <c r="Q39" s="1">
        <v>0.1</v>
      </c>
      <c r="R39">
        <v>0.06</v>
      </c>
      <c r="S39">
        <v>0.06</v>
      </c>
      <c r="T39" s="16">
        <f>Capacity!B40*1000</f>
        <v>560.64</v>
      </c>
      <c r="U39" s="17">
        <v>0</v>
      </c>
      <c r="V39" s="17">
        <v>0</v>
      </c>
      <c r="W39" s="17">
        <v>0</v>
      </c>
      <c r="X39" s="1">
        <f>CarriersTech_characteristics!$G$7</f>
        <v>13.648968</v>
      </c>
      <c r="Y39" s="1">
        <f>CarriersTech_characteristics!$H$5*1000</f>
        <v>1656436.6880000001</v>
      </c>
      <c r="Z39" s="12">
        <v>1</v>
      </c>
      <c r="AA39">
        <v>8.3500000000000005E-2</v>
      </c>
      <c r="AC39" s="1">
        <f>1/K39/(1-Q39)</f>
        <v>4.6519999927447406</v>
      </c>
      <c r="AD39" s="31"/>
      <c r="AE39" s="36">
        <f>Y39/(X39*Conversions!$D$2)</f>
        <v>0.43689545093040172</v>
      </c>
      <c r="AF39">
        <v>0</v>
      </c>
      <c r="AG39">
        <f>Z39*Conversions!$D$4</f>
        <v>1.2389175814711242</v>
      </c>
      <c r="AH39" s="3">
        <f t="shared" si="0"/>
        <v>6.4745396581822163</v>
      </c>
      <c r="AI39">
        <f t="shared" si="1"/>
        <v>10</v>
      </c>
      <c r="AJ39">
        <f t="shared" si="2"/>
        <v>0.15139063026119925</v>
      </c>
      <c r="AK39" s="15">
        <f t="shared" si="3"/>
        <v>42.767109477062611</v>
      </c>
      <c r="AL39" s="1">
        <f t="shared" si="4"/>
        <v>560.64</v>
      </c>
    </row>
    <row r="40" spans="2:38" x14ac:dyDescent="0.25">
      <c r="B40" t="s">
        <v>19</v>
      </c>
      <c r="C40" t="s">
        <v>10</v>
      </c>
      <c r="D40" t="s">
        <v>253</v>
      </c>
      <c r="E40" t="s">
        <v>250</v>
      </c>
      <c r="F40" t="s">
        <v>6</v>
      </c>
      <c r="G40" t="s">
        <v>130</v>
      </c>
      <c r="H40" t="s">
        <v>39</v>
      </c>
      <c r="I40" t="s">
        <v>34</v>
      </c>
      <c r="J40">
        <v>8760</v>
      </c>
      <c r="K40" s="5">
        <v>1</v>
      </c>
      <c r="L40">
        <v>1</v>
      </c>
      <c r="M40" s="3">
        <f>5630.98419436319/1000</f>
        <v>5.6309841943631902</v>
      </c>
      <c r="N40" s="3">
        <f>5439.705856/1000</f>
        <v>5.4397058559999998</v>
      </c>
      <c r="O40" s="1">
        <v>0</v>
      </c>
      <c r="P40">
        <v>25</v>
      </c>
      <c r="Q40" s="1">
        <v>0.01</v>
      </c>
      <c r="R40">
        <v>1</v>
      </c>
      <c r="S40">
        <v>1</v>
      </c>
      <c r="T40" s="16">
        <f>Capacity!B41*1000</f>
        <v>847.7259029999999</v>
      </c>
      <c r="U40" s="17">
        <v>0</v>
      </c>
      <c r="V40" s="17">
        <v>0</v>
      </c>
      <c r="W40" s="17">
        <v>0</v>
      </c>
      <c r="X40" s="31"/>
      <c r="Y40" s="35" t="s">
        <v>265</v>
      </c>
      <c r="Z40">
        <v>0.35</v>
      </c>
      <c r="AA40">
        <v>0.105</v>
      </c>
      <c r="AC40" s="31">
        <v>1</v>
      </c>
      <c r="AD40" s="31"/>
      <c r="AE40" s="30"/>
      <c r="AF40">
        <v>0</v>
      </c>
      <c r="AG40">
        <f>Z40*Conversions!$D$4</f>
        <v>0.43362115351489344</v>
      </c>
      <c r="AH40" s="3">
        <f t="shared" ref="AH40:AH67" si="5">M40-AG40</f>
        <v>5.1973630408482965</v>
      </c>
      <c r="AI40">
        <f t="shared" ref="AI40:AI67" si="6">ROUND(P40/2,0)</f>
        <v>13</v>
      </c>
      <c r="AJ40">
        <f t="shared" ref="AJ40:AJ67" si="7">AA40/(1-(1+AA40)^-AI40)</f>
        <v>0.14444511726871467</v>
      </c>
      <c r="AK40" s="15">
        <f t="shared" ref="AK40:AK67" si="8">AH40/AJ40</f>
        <v>35.98157652625612</v>
      </c>
      <c r="AL40" s="1">
        <f t="shared" si="4"/>
        <v>847.7259029999999</v>
      </c>
    </row>
    <row r="41" spans="2:38" x14ac:dyDescent="0.25">
      <c r="B41" t="s">
        <v>20</v>
      </c>
      <c r="C41" t="s">
        <v>10</v>
      </c>
      <c r="D41" t="s">
        <v>253</v>
      </c>
      <c r="E41" t="s">
        <v>251</v>
      </c>
      <c r="F41" t="s">
        <v>6</v>
      </c>
      <c r="G41" t="s">
        <v>130</v>
      </c>
      <c r="H41" t="s">
        <v>39</v>
      </c>
      <c r="I41" t="s">
        <v>34</v>
      </c>
      <c r="J41">
        <v>8760</v>
      </c>
      <c r="K41" s="5">
        <v>1</v>
      </c>
      <c r="L41">
        <v>1</v>
      </c>
      <c r="M41" s="3">
        <f>5542.18769541597/1000</f>
        <v>5.5421876954159695</v>
      </c>
      <c r="N41" s="3">
        <f>5362.133837/1000</f>
        <v>5.362133837</v>
      </c>
      <c r="O41" s="1">
        <v>0</v>
      </c>
      <c r="P41">
        <v>25</v>
      </c>
      <c r="Q41" s="1">
        <v>6.0000000000000001E-3</v>
      </c>
      <c r="R41">
        <v>1</v>
      </c>
      <c r="S41">
        <v>1</v>
      </c>
      <c r="T41" s="16">
        <f>Capacity!B42*1000</f>
        <v>200.08409700000001</v>
      </c>
      <c r="U41" s="17">
        <v>0</v>
      </c>
      <c r="V41" s="17">
        <v>0</v>
      </c>
      <c r="W41" s="17">
        <v>0</v>
      </c>
      <c r="X41" s="31"/>
      <c r="Y41" s="31"/>
      <c r="Z41">
        <v>0.51</v>
      </c>
      <c r="AA41">
        <v>0.104</v>
      </c>
      <c r="AC41" s="31">
        <v>1</v>
      </c>
      <c r="AD41" s="31"/>
      <c r="AE41" s="30"/>
      <c r="AF41">
        <v>0</v>
      </c>
      <c r="AG41">
        <f>Z41*Conversions!$D$4</f>
        <v>0.63184796655027331</v>
      </c>
      <c r="AH41" s="3">
        <f t="shared" si="5"/>
        <v>4.9103397288656963</v>
      </c>
      <c r="AI41">
        <f t="shared" si="6"/>
        <v>13</v>
      </c>
      <c r="AJ41">
        <f t="shared" si="7"/>
        <v>0.1437086289255039</v>
      </c>
      <c r="AK41" s="15">
        <f t="shared" si="8"/>
        <v>34.16871878592017</v>
      </c>
      <c r="AL41" s="1">
        <f t="shared" si="4"/>
        <v>200.08409700000001</v>
      </c>
    </row>
    <row r="42" spans="2:38" x14ac:dyDescent="0.25">
      <c r="B42" t="s">
        <v>21</v>
      </c>
      <c r="C42" t="s">
        <v>10</v>
      </c>
      <c r="D42" t="s">
        <v>253</v>
      </c>
      <c r="E42" t="s">
        <v>252</v>
      </c>
      <c r="F42" t="s">
        <v>6</v>
      </c>
      <c r="G42" t="s">
        <v>130</v>
      </c>
      <c r="H42" t="s">
        <v>40</v>
      </c>
      <c r="I42" t="s">
        <v>34</v>
      </c>
      <c r="J42">
        <v>8760</v>
      </c>
      <c r="K42" s="5">
        <v>1</v>
      </c>
      <c r="L42">
        <v>1</v>
      </c>
      <c r="M42" s="3">
        <f>10659.4302732183/1000</f>
        <v>10.6594302732183</v>
      </c>
      <c r="N42" s="3">
        <f>10586.96446/1000</f>
        <v>10.586964459999999</v>
      </c>
      <c r="O42" s="1">
        <v>0</v>
      </c>
      <c r="P42">
        <v>25</v>
      </c>
      <c r="Q42" s="1">
        <v>5.0000000000000001E-3</v>
      </c>
      <c r="R42">
        <v>1</v>
      </c>
      <c r="S42">
        <v>1</v>
      </c>
      <c r="T42" s="16">
        <f>Capacity!B43*1000</f>
        <v>46</v>
      </c>
      <c r="U42" s="17">
        <v>0</v>
      </c>
      <c r="V42" s="17">
        <v>0</v>
      </c>
      <c r="W42" s="17">
        <v>0</v>
      </c>
      <c r="X42" s="31"/>
      <c r="Y42" s="31"/>
      <c r="Z42">
        <v>0.68</v>
      </c>
      <c r="AA42">
        <v>0.105</v>
      </c>
      <c r="AC42" s="31">
        <v>1</v>
      </c>
      <c r="AD42" s="31"/>
      <c r="AE42" s="30"/>
      <c r="AF42">
        <v>0</v>
      </c>
      <c r="AG42">
        <f>Z42*Conversions!$D$4</f>
        <v>0.84246395540036456</v>
      </c>
      <c r="AH42" s="3">
        <f t="shared" si="5"/>
        <v>9.8169663178179363</v>
      </c>
      <c r="AI42">
        <f t="shared" si="6"/>
        <v>13</v>
      </c>
      <c r="AJ42">
        <f t="shared" si="7"/>
        <v>0.14444511726871467</v>
      </c>
      <c r="AK42" s="15">
        <f t="shared" si="8"/>
        <v>67.963296395510568</v>
      </c>
      <c r="AL42" s="1">
        <f t="shared" si="4"/>
        <v>46</v>
      </c>
    </row>
    <row r="43" spans="2:38" s="24" customFormat="1" x14ac:dyDescent="0.25">
      <c r="B43" s="24" t="s">
        <v>23</v>
      </c>
      <c r="C43" s="24" t="s">
        <v>10</v>
      </c>
      <c r="D43" s="24" t="s">
        <v>253</v>
      </c>
      <c r="F43" s="24" t="s">
        <v>6</v>
      </c>
      <c r="G43" s="24" t="s">
        <v>130</v>
      </c>
      <c r="H43" s="24" t="s">
        <v>40</v>
      </c>
      <c r="I43" s="24" t="s">
        <v>34</v>
      </c>
      <c r="J43" s="24">
        <v>8760</v>
      </c>
      <c r="K43" s="44">
        <v>1</v>
      </c>
      <c r="L43" s="24">
        <v>1</v>
      </c>
      <c r="M43" s="45">
        <f>N43</f>
        <v>34.540361669999996</v>
      </c>
      <c r="N43" s="46">
        <f>34540.36167/1000</f>
        <v>34.540361669999996</v>
      </c>
      <c r="O43" s="47">
        <v>0</v>
      </c>
      <c r="P43" s="24">
        <v>25</v>
      </c>
      <c r="Q43" s="47">
        <v>5.0000000000000001E-3</v>
      </c>
      <c r="R43" s="24">
        <v>1</v>
      </c>
      <c r="S43" s="24">
        <v>1</v>
      </c>
      <c r="T43" s="48">
        <f>Capacity!B44*1000</f>
        <v>0</v>
      </c>
      <c r="U43" s="49">
        <v>0</v>
      </c>
      <c r="V43" s="49">
        <v>0</v>
      </c>
      <c r="W43" s="49">
        <v>0</v>
      </c>
      <c r="X43" s="50"/>
      <c r="Y43" s="50"/>
      <c r="Z43" s="24">
        <v>6.7</v>
      </c>
      <c r="AA43" s="24">
        <v>0.112</v>
      </c>
      <c r="AB43" s="51"/>
      <c r="AC43" s="50">
        <v>1</v>
      </c>
      <c r="AD43" s="50"/>
      <c r="AE43" s="52"/>
      <c r="AF43" s="24">
        <v>0</v>
      </c>
      <c r="AG43" s="24">
        <f>Z43*Conversions!$D$4</f>
        <v>8.3007477958565321</v>
      </c>
      <c r="AH43" s="46">
        <f t="shared" si="5"/>
        <v>26.239613874143465</v>
      </c>
      <c r="AI43" s="24">
        <f t="shared" si="6"/>
        <v>13</v>
      </c>
      <c r="AJ43" s="24">
        <f t="shared" si="7"/>
        <v>0.14964415165301803</v>
      </c>
      <c r="AK43" s="53">
        <f t="shared" si="8"/>
        <v>175.34673814039604</v>
      </c>
      <c r="AL43" s="47">
        <f t="shared" si="4"/>
        <v>0</v>
      </c>
    </row>
    <row r="44" spans="2:38" x14ac:dyDescent="0.25">
      <c r="B44" t="s">
        <v>13</v>
      </c>
      <c r="C44" t="s">
        <v>11</v>
      </c>
      <c r="D44" t="s">
        <v>241</v>
      </c>
      <c r="E44" t="s">
        <v>243</v>
      </c>
      <c r="F44" t="s">
        <v>6</v>
      </c>
      <c r="G44" t="s">
        <v>130</v>
      </c>
      <c r="H44" t="s">
        <v>33</v>
      </c>
      <c r="I44" t="s">
        <v>34</v>
      </c>
      <c r="J44">
        <v>8760</v>
      </c>
      <c r="K44" s="5">
        <v>0.38096819999999998</v>
      </c>
      <c r="L44">
        <v>0.85</v>
      </c>
      <c r="M44" s="3">
        <f>5794.65159561365/1000</f>
        <v>5.79465159561365</v>
      </c>
      <c r="N44" s="3">
        <f>13721.03129/1000</f>
        <v>13.721031290000001</v>
      </c>
      <c r="O44" s="1">
        <v>133.5230182</v>
      </c>
      <c r="P44">
        <v>40</v>
      </c>
      <c r="Q44" s="1">
        <v>6.6000000000000003E-2</v>
      </c>
      <c r="R44">
        <v>0.3</v>
      </c>
      <c r="S44">
        <v>0.3</v>
      </c>
      <c r="T44" s="16">
        <f>Capacity!B47*1000</f>
        <v>90475.826298999993</v>
      </c>
      <c r="U44" s="17">
        <v>0</v>
      </c>
      <c r="V44" s="17">
        <v>0</v>
      </c>
      <c r="W44" s="17">
        <v>0</v>
      </c>
      <c r="X44" s="1">
        <f>CarriersTech_characteristics!$G$2</f>
        <v>17.207187650000002</v>
      </c>
      <c r="Y44" s="1">
        <f>CarriersTech_characteristics!$H$28*1000</f>
        <v>1942097.6230000001</v>
      </c>
      <c r="Z44" s="7">
        <v>3</v>
      </c>
      <c r="AA44">
        <v>0.105</v>
      </c>
      <c r="AB44" s="41"/>
      <c r="AC44" s="1">
        <f>1/K44/(1-Q44)</f>
        <v>2.8103758044980376</v>
      </c>
      <c r="AD44" s="31"/>
      <c r="AE44" s="37">
        <f>Y44/(X44*Conversions!$D$2)</f>
        <v>0.40631575182871843</v>
      </c>
      <c r="AF44" s="11">
        <f>O44/CarriersTech_characteristics!$G$2/Conversions!$D$2*AC44</f>
        <v>7.8507860294473842E-5</v>
      </c>
      <c r="AG44">
        <f>Z44*Conversions!$D$4</f>
        <v>3.7167527444133723</v>
      </c>
      <c r="AH44" s="3">
        <f t="shared" si="5"/>
        <v>2.0778988512002776</v>
      </c>
      <c r="AI44">
        <f t="shared" si="6"/>
        <v>20</v>
      </c>
      <c r="AJ44">
        <f t="shared" si="7"/>
        <v>0.12149326526701618</v>
      </c>
      <c r="AK44" s="15">
        <f t="shared" si="8"/>
        <v>17.102996175413519</v>
      </c>
      <c r="AL44" s="1">
        <f t="shared" si="4"/>
        <v>90475.826298999993</v>
      </c>
    </row>
    <row r="45" spans="2:38" x14ac:dyDescent="0.25">
      <c r="B45" t="s">
        <v>14</v>
      </c>
      <c r="C45" t="s">
        <v>11</v>
      </c>
      <c r="D45" t="s">
        <v>241</v>
      </c>
      <c r="E45" t="s">
        <v>248</v>
      </c>
      <c r="F45" t="s">
        <v>6</v>
      </c>
      <c r="G45" t="s">
        <v>130</v>
      </c>
      <c r="H45" t="s">
        <v>35</v>
      </c>
      <c r="I45" t="s">
        <v>34</v>
      </c>
      <c r="J45">
        <v>8760</v>
      </c>
      <c r="K45" s="5">
        <v>0.40444272199999998</v>
      </c>
      <c r="L45">
        <v>0.85</v>
      </c>
      <c r="M45" s="3">
        <f>8512.22780274884/1000</f>
        <v>8.5122278027488392</v>
      </c>
      <c r="N45" s="3">
        <f>8512.227803/1000</f>
        <v>8.512227803</v>
      </c>
      <c r="O45" s="1">
        <v>0</v>
      </c>
      <c r="P45">
        <v>25</v>
      </c>
      <c r="Q45" s="1">
        <v>0.02</v>
      </c>
      <c r="R45">
        <v>0.9</v>
      </c>
      <c r="S45">
        <v>0.9</v>
      </c>
      <c r="T45" s="16">
        <f>Capacity!B48*1000</f>
        <v>13563.174911999999</v>
      </c>
      <c r="U45" s="17">
        <v>0</v>
      </c>
      <c r="V45" s="17">
        <v>0</v>
      </c>
      <c r="W45" s="17">
        <v>0</v>
      </c>
      <c r="X45" s="1">
        <f>CarriersTech_characteristics!$G$3</f>
        <v>37.681199999999997</v>
      </c>
      <c r="Y45" s="1">
        <f>CarriersTech_characteristics!$H$3*1000</f>
        <v>3025024.5490000001</v>
      </c>
      <c r="Z45">
        <v>2.9</v>
      </c>
      <c r="AA45">
        <v>0.105</v>
      </c>
      <c r="AC45" s="1">
        <f>1/K45/(1-Q45)</f>
        <v>2.5229979617863072</v>
      </c>
      <c r="AD45" s="31"/>
      <c r="AE45" s="37">
        <f>(Y45*Conversions!$D$3)/(X45*Conversions!$D$2)</f>
        <v>0.23958587284408495</v>
      </c>
      <c r="AF45">
        <v>0</v>
      </c>
      <c r="AG45">
        <f>Z45*Conversions!$D$4</f>
        <v>3.5928609862662602</v>
      </c>
      <c r="AH45" s="3">
        <f t="shared" si="5"/>
        <v>4.9193668164825795</v>
      </c>
      <c r="AI45">
        <f t="shared" si="6"/>
        <v>13</v>
      </c>
      <c r="AJ45">
        <f t="shared" si="7"/>
        <v>0.14444511726871467</v>
      </c>
      <c r="AK45" s="15">
        <f t="shared" si="8"/>
        <v>34.056996245369547</v>
      </c>
      <c r="AL45" s="1">
        <f t="shared" si="4"/>
        <v>13563.174911999999</v>
      </c>
    </row>
    <row r="46" spans="2:38" x14ac:dyDescent="0.25">
      <c r="B46" t="s">
        <v>16</v>
      </c>
      <c r="C46" t="s">
        <v>11</v>
      </c>
      <c r="D46" t="s">
        <v>241</v>
      </c>
      <c r="F46" t="s">
        <v>6</v>
      </c>
      <c r="G46" t="s">
        <v>130</v>
      </c>
      <c r="H46" t="s">
        <v>35</v>
      </c>
      <c r="I46" t="s">
        <v>34</v>
      </c>
      <c r="J46">
        <v>8760</v>
      </c>
      <c r="K46" s="5">
        <v>0.28070162799999998</v>
      </c>
      <c r="L46">
        <v>0.85</v>
      </c>
      <c r="M46" s="3">
        <f>6679.75064927145/1000</f>
        <v>6.6797506492714502</v>
      </c>
      <c r="N46" s="3">
        <f>6679.750649/1000</f>
        <v>6.6797506489999998</v>
      </c>
      <c r="O46" s="1">
        <v>0</v>
      </c>
      <c r="P46">
        <v>25</v>
      </c>
      <c r="Q46" s="1">
        <v>0.01</v>
      </c>
      <c r="R46">
        <v>1</v>
      </c>
      <c r="S46">
        <v>1</v>
      </c>
      <c r="T46" s="16">
        <f>Capacity!B49*1000</f>
        <v>0</v>
      </c>
      <c r="U46" s="17">
        <v>0</v>
      </c>
      <c r="V46" s="17">
        <v>0</v>
      </c>
      <c r="W46" s="17">
        <v>0</v>
      </c>
      <c r="X46" s="1">
        <f>CarriersTech_characteristics!$G$3</f>
        <v>37.681199999999997</v>
      </c>
      <c r="Y46" s="1">
        <f>CarriersTech_characteristics!$H$3*1000</f>
        <v>3025024.5490000001</v>
      </c>
      <c r="Z46">
        <v>0.7</v>
      </c>
      <c r="AA46">
        <v>0.105</v>
      </c>
      <c r="AC46" s="1">
        <f>1/K46/(1-Q46)</f>
        <v>3.5984864687033813</v>
      </c>
      <c r="AD46" s="31"/>
      <c r="AE46" s="37">
        <f>(Y46*Conversions!$D$3)/(X46*Conversions!$D$2)</f>
        <v>0.23958587284408495</v>
      </c>
      <c r="AF46">
        <v>0</v>
      </c>
      <c r="AG46">
        <f>Z46*Conversions!$D$4</f>
        <v>0.86724230702978689</v>
      </c>
      <c r="AH46" s="3">
        <f t="shared" si="5"/>
        <v>5.8125083422416637</v>
      </c>
      <c r="AI46">
        <f t="shared" si="6"/>
        <v>13</v>
      </c>
      <c r="AJ46">
        <f t="shared" si="7"/>
        <v>0.14444511726871467</v>
      </c>
      <c r="AK46" s="15">
        <f t="shared" si="8"/>
        <v>40.240254929687353</v>
      </c>
      <c r="AL46" s="1">
        <f t="shared" si="4"/>
        <v>0</v>
      </c>
    </row>
    <row r="47" spans="2:38" x14ac:dyDescent="0.25">
      <c r="B47" t="s">
        <v>17</v>
      </c>
      <c r="C47" t="s">
        <v>11</v>
      </c>
      <c r="D47" t="s">
        <v>241</v>
      </c>
      <c r="E47" t="s">
        <v>249</v>
      </c>
      <c r="F47" t="s">
        <v>6</v>
      </c>
      <c r="G47" t="s">
        <v>130</v>
      </c>
      <c r="H47" t="s">
        <v>36</v>
      </c>
      <c r="I47" t="s">
        <v>34</v>
      </c>
      <c r="J47">
        <v>8760</v>
      </c>
      <c r="K47" s="5">
        <v>1</v>
      </c>
      <c r="L47">
        <v>0.70916666699999997</v>
      </c>
      <c r="M47" s="3">
        <f>20833.2103478327/1000</f>
        <v>20.833210347832701</v>
      </c>
      <c r="N47" s="3">
        <f>20833.21035/1000</f>
        <v>20.833210350000002</v>
      </c>
      <c r="O47" s="1">
        <v>0</v>
      </c>
      <c r="P47">
        <v>40</v>
      </c>
      <c r="Q47" s="1">
        <v>0.10780000000000001</v>
      </c>
      <c r="R47">
        <v>0.01</v>
      </c>
      <c r="S47">
        <v>0.01</v>
      </c>
      <c r="T47" s="16">
        <f>Capacity!B50*1000</f>
        <v>3248.823954</v>
      </c>
      <c r="U47" s="17">
        <v>0</v>
      </c>
      <c r="V47" s="17">
        <v>0</v>
      </c>
      <c r="W47" s="17">
        <v>0</v>
      </c>
      <c r="X47" s="33"/>
      <c r="Y47" s="33"/>
      <c r="Z47">
        <v>4.3</v>
      </c>
      <c r="AA47">
        <v>0.105</v>
      </c>
      <c r="AC47" s="1">
        <f>1/K47/(1-Q47)</f>
        <v>1.1208249271463797</v>
      </c>
      <c r="AD47" s="31"/>
      <c r="AE47" s="32"/>
      <c r="AF47">
        <v>0</v>
      </c>
      <c r="AG47">
        <f>Z47*Conversions!$D$4</f>
        <v>5.3273456003258337</v>
      </c>
      <c r="AH47" s="3">
        <f t="shared" si="5"/>
        <v>15.505864747506866</v>
      </c>
      <c r="AI47">
        <f t="shared" si="6"/>
        <v>20</v>
      </c>
      <c r="AJ47">
        <f t="shared" si="7"/>
        <v>0.12149326526701618</v>
      </c>
      <c r="AK47" s="15">
        <f t="shared" si="8"/>
        <v>127.6273603596734</v>
      </c>
      <c r="AL47" s="1">
        <f t="shared" si="4"/>
        <v>3248.823954</v>
      </c>
    </row>
    <row r="48" spans="2:38" x14ac:dyDescent="0.25">
      <c r="B48" t="s">
        <v>22</v>
      </c>
      <c r="C48" t="s">
        <v>11</v>
      </c>
      <c r="D48" t="s">
        <v>241</v>
      </c>
      <c r="F48" t="s">
        <v>6</v>
      </c>
      <c r="G48" t="s">
        <v>130</v>
      </c>
      <c r="H48" t="s">
        <v>36</v>
      </c>
      <c r="I48" t="s">
        <v>34</v>
      </c>
      <c r="J48">
        <v>8760</v>
      </c>
      <c r="K48" s="5">
        <v>1</v>
      </c>
      <c r="L48">
        <v>0.70916666699999997</v>
      </c>
      <c r="M48" s="13">
        <f>N48</f>
        <v>35.289429389999995</v>
      </c>
      <c r="N48" s="3">
        <f>35289.42939/1000</f>
        <v>35.289429389999995</v>
      </c>
      <c r="O48" s="1">
        <v>0</v>
      </c>
      <c r="P48">
        <v>30</v>
      </c>
      <c r="Q48" s="1">
        <v>0.05</v>
      </c>
      <c r="R48">
        <v>0.01</v>
      </c>
      <c r="S48">
        <v>0.01</v>
      </c>
      <c r="T48" s="16">
        <f>Capacity!B51*1000</f>
        <v>0</v>
      </c>
      <c r="U48" s="17">
        <v>0</v>
      </c>
      <c r="V48" s="17">
        <v>0</v>
      </c>
      <c r="W48" s="17">
        <v>0</v>
      </c>
      <c r="X48" s="33"/>
      <c r="Y48" s="33"/>
      <c r="Z48">
        <v>5</v>
      </c>
      <c r="AA48">
        <v>0.105</v>
      </c>
      <c r="AC48" s="1">
        <f>1/K48/(1-Q48)</f>
        <v>1.0526315789473684</v>
      </c>
      <c r="AD48" s="31"/>
      <c r="AE48" s="32"/>
      <c r="AF48">
        <v>0</v>
      </c>
      <c r="AG48">
        <f>Z48*Conversions!$D$4</f>
        <v>6.1945879073556211</v>
      </c>
      <c r="AH48" s="3">
        <f t="shared" si="5"/>
        <v>29.094841482644373</v>
      </c>
      <c r="AI48">
        <f t="shared" si="6"/>
        <v>15</v>
      </c>
      <c r="AJ48">
        <f t="shared" si="7"/>
        <v>0.13524800152154118</v>
      </c>
      <c r="AK48" s="15">
        <f t="shared" si="8"/>
        <v>215.12215452596087</v>
      </c>
      <c r="AL48" s="1">
        <f t="shared" si="4"/>
        <v>0</v>
      </c>
    </row>
    <row r="49" spans="2:38" x14ac:dyDescent="0.25">
      <c r="B49" t="s">
        <v>15</v>
      </c>
      <c r="C49" t="s">
        <v>11</v>
      </c>
      <c r="D49" t="s">
        <v>245</v>
      </c>
      <c r="E49" t="s">
        <v>246</v>
      </c>
      <c r="F49" t="s">
        <v>6</v>
      </c>
      <c r="G49" t="s">
        <v>130</v>
      </c>
      <c r="H49" t="s">
        <v>37</v>
      </c>
      <c r="I49" t="s">
        <v>34</v>
      </c>
      <c r="J49">
        <v>8760</v>
      </c>
      <c r="K49" s="5">
        <v>1</v>
      </c>
      <c r="L49">
        <v>1</v>
      </c>
      <c r="M49" s="3">
        <f>19631.8145207228/1000</f>
        <v>19.631814520722802</v>
      </c>
      <c r="N49" s="3">
        <f>19631.81452/1000</f>
        <v>19.631814519999999</v>
      </c>
      <c r="O49" s="1">
        <v>0</v>
      </c>
      <c r="P49">
        <v>40</v>
      </c>
      <c r="Q49" s="1">
        <v>6.0000000000000001E-3</v>
      </c>
      <c r="R49">
        <v>1</v>
      </c>
      <c r="S49">
        <v>1</v>
      </c>
      <c r="T49" s="16">
        <f>Capacity!B52*1000</f>
        <v>7753.2156499999992</v>
      </c>
      <c r="U49" s="17">
        <v>0</v>
      </c>
      <c r="V49" s="17">
        <v>0</v>
      </c>
      <c r="W49" s="17">
        <v>0</v>
      </c>
      <c r="X49" s="31"/>
      <c r="Y49" s="34"/>
      <c r="Z49">
        <v>4.4000000000000004</v>
      </c>
      <c r="AA49">
        <v>0.105</v>
      </c>
      <c r="AC49" s="30"/>
      <c r="AD49" s="1">
        <f>K49-Q49</f>
        <v>0.99399999999999999</v>
      </c>
      <c r="AE49" s="30"/>
      <c r="AF49">
        <v>0</v>
      </c>
      <c r="AG49">
        <f>Z49*Conversions!$D$4</f>
        <v>5.4512373584729472</v>
      </c>
      <c r="AH49" s="3">
        <f t="shared" si="5"/>
        <v>14.180577162249854</v>
      </c>
      <c r="AI49">
        <f t="shared" si="6"/>
        <v>20</v>
      </c>
      <c r="AJ49">
        <f t="shared" si="7"/>
        <v>0.12149326526701618</v>
      </c>
      <c r="AK49" s="15">
        <f t="shared" si="8"/>
        <v>116.7190389614106</v>
      </c>
      <c r="AL49" s="1">
        <f t="shared" si="4"/>
        <v>7753.2156499999992</v>
      </c>
    </row>
    <row r="50" spans="2:38" x14ac:dyDescent="0.25">
      <c r="B50" t="s">
        <v>18</v>
      </c>
      <c r="C50" t="s">
        <v>11</v>
      </c>
      <c r="D50" t="s">
        <v>245</v>
      </c>
      <c r="E50" t="s">
        <v>247</v>
      </c>
      <c r="F50" t="s">
        <v>6</v>
      </c>
      <c r="G50" t="s">
        <v>130</v>
      </c>
      <c r="H50" t="s">
        <v>37</v>
      </c>
      <c r="I50" t="s">
        <v>34</v>
      </c>
      <c r="J50">
        <v>8760</v>
      </c>
      <c r="K50" s="5">
        <v>1</v>
      </c>
      <c r="L50">
        <v>1</v>
      </c>
      <c r="M50" s="3">
        <f>11825.3487554956/1000</f>
        <v>11.825348755495598</v>
      </c>
      <c r="N50" s="3">
        <f>11825.34876/1000</f>
        <v>11.825348760000001</v>
      </c>
      <c r="O50" s="1">
        <v>0</v>
      </c>
      <c r="P50">
        <v>35</v>
      </c>
      <c r="Q50" s="1">
        <v>0.01</v>
      </c>
      <c r="R50">
        <v>1</v>
      </c>
      <c r="S50">
        <v>1</v>
      </c>
      <c r="T50" s="16">
        <f>Capacity!B53*1000</f>
        <v>672.48</v>
      </c>
      <c r="U50" s="17">
        <v>0</v>
      </c>
      <c r="V50" s="17">
        <v>0</v>
      </c>
      <c r="W50" s="17">
        <v>0</v>
      </c>
      <c r="X50" s="31"/>
      <c r="Y50" s="34"/>
      <c r="Z50">
        <f>2.4</f>
        <v>2.4</v>
      </c>
      <c r="AA50">
        <v>8.3500000000000005E-2</v>
      </c>
      <c r="AC50" s="30"/>
      <c r="AD50" s="1">
        <f>K50-Q50</f>
        <v>0.99</v>
      </c>
      <c r="AE50" s="30"/>
      <c r="AF50">
        <v>0</v>
      </c>
      <c r="AG50">
        <f>Z50*Conversions!$D$4</f>
        <v>2.973402195530698</v>
      </c>
      <c r="AH50" s="3">
        <f t="shared" si="5"/>
        <v>8.851946559964901</v>
      </c>
      <c r="AI50">
        <f t="shared" si="6"/>
        <v>18</v>
      </c>
      <c r="AJ50">
        <f t="shared" si="7"/>
        <v>0.1093062199026277</v>
      </c>
      <c r="AK50" s="15">
        <f t="shared" si="8"/>
        <v>80.983008724026888</v>
      </c>
      <c r="AL50" s="1">
        <f t="shared" si="4"/>
        <v>672.48</v>
      </c>
    </row>
    <row r="51" spans="2:38" x14ac:dyDescent="0.25">
      <c r="B51" t="s">
        <v>7</v>
      </c>
      <c r="C51" t="s">
        <v>11</v>
      </c>
      <c r="D51" t="s">
        <v>241</v>
      </c>
      <c r="E51" t="s">
        <v>244</v>
      </c>
      <c r="F51" t="s">
        <v>6</v>
      </c>
      <c r="G51" t="s">
        <v>130</v>
      </c>
      <c r="H51" t="s">
        <v>38</v>
      </c>
      <c r="I51" t="s">
        <v>34</v>
      </c>
      <c r="J51">
        <v>8760</v>
      </c>
      <c r="K51" s="5">
        <v>0.238845897</v>
      </c>
      <c r="L51">
        <v>1</v>
      </c>
      <c r="M51" s="3">
        <f>7713.45723965334/1000</f>
        <v>7.7134572396533407</v>
      </c>
      <c r="N51" s="3">
        <f>7713.45724/1000</f>
        <v>7.7134572399999994</v>
      </c>
      <c r="O51" s="1">
        <v>0</v>
      </c>
      <c r="P51">
        <v>20</v>
      </c>
      <c r="Q51" s="1">
        <v>0.1</v>
      </c>
      <c r="R51">
        <v>0.06</v>
      </c>
      <c r="S51">
        <v>0.06</v>
      </c>
      <c r="T51" s="16">
        <f>Capacity!B54*1000</f>
        <v>3161.7000000000003</v>
      </c>
      <c r="U51" s="17">
        <v>0</v>
      </c>
      <c r="V51" s="17">
        <v>0</v>
      </c>
      <c r="W51" s="17">
        <v>0</v>
      </c>
      <c r="X51" s="1">
        <f>CarriersTech_characteristics!$G$7</f>
        <v>13.648968</v>
      </c>
      <c r="Y51" s="1">
        <f>CarriersTech_characteristics!$H$5*1000</f>
        <v>1656436.6880000001</v>
      </c>
      <c r="Z51" s="12">
        <v>1</v>
      </c>
      <c r="AA51">
        <v>8.3500000000000005E-2</v>
      </c>
      <c r="AC51" s="1">
        <f>1/K51/(1-Q51)</f>
        <v>4.6519999927447406</v>
      </c>
      <c r="AD51" s="31"/>
      <c r="AE51" s="36">
        <f>Y51/(X51*Conversions!$D$2)</f>
        <v>0.43689545093040172</v>
      </c>
      <c r="AF51">
        <v>0</v>
      </c>
      <c r="AG51">
        <f>Z51*Conversions!$D$4</f>
        <v>1.2389175814711242</v>
      </c>
      <c r="AH51" s="3">
        <f t="shared" si="5"/>
        <v>6.4745396581822163</v>
      </c>
      <c r="AI51">
        <f t="shared" si="6"/>
        <v>10</v>
      </c>
      <c r="AJ51">
        <f t="shared" si="7"/>
        <v>0.15139063026119925</v>
      </c>
      <c r="AK51" s="15">
        <f t="shared" si="8"/>
        <v>42.767109477062611</v>
      </c>
      <c r="AL51" s="1">
        <f t="shared" si="4"/>
        <v>3161.7000000000003</v>
      </c>
    </row>
    <row r="52" spans="2:38" x14ac:dyDescent="0.25">
      <c r="B52" t="s">
        <v>19</v>
      </c>
      <c r="C52" t="s">
        <v>11</v>
      </c>
      <c r="D52" t="s">
        <v>253</v>
      </c>
      <c r="E52" t="s">
        <v>250</v>
      </c>
      <c r="F52" t="s">
        <v>6</v>
      </c>
      <c r="G52" t="s">
        <v>130</v>
      </c>
      <c r="H52" t="s">
        <v>39</v>
      </c>
      <c r="I52" t="s">
        <v>34</v>
      </c>
      <c r="J52">
        <v>8760</v>
      </c>
      <c r="K52" s="5">
        <v>1</v>
      </c>
      <c r="L52">
        <v>1</v>
      </c>
      <c r="M52" s="3">
        <f>5630.98419436319/1000</f>
        <v>5.6309841943631902</v>
      </c>
      <c r="N52" s="3">
        <f>5439.705856/1000</f>
        <v>5.4397058559999998</v>
      </c>
      <c r="O52" s="1">
        <v>0</v>
      </c>
      <c r="P52">
        <v>25</v>
      </c>
      <c r="Q52" s="1">
        <v>0.01</v>
      </c>
      <c r="R52">
        <v>1</v>
      </c>
      <c r="S52">
        <v>1</v>
      </c>
      <c r="T52" s="16">
        <f>Capacity!B55*1000</f>
        <v>13221.936034999999</v>
      </c>
      <c r="U52" s="17">
        <v>0</v>
      </c>
      <c r="V52" s="17">
        <v>0</v>
      </c>
      <c r="W52" s="17">
        <v>0</v>
      </c>
      <c r="X52" s="31"/>
      <c r="Y52" s="35" t="s">
        <v>265</v>
      </c>
      <c r="Z52">
        <v>0.35</v>
      </c>
      <c r="AA52">
        <v>0.105</v>
      </c>
      <c r="AC52" s="31">
        <v>1</v>
      </c>
      <c r="AD52" s="31"/>
      <c r="AE52" s="30"/>
      <c r="AF52">
        <v>0</v>
      </c>
      <c r="AG52">
        <f>Z52*Conversions!$D$4</f>
        <v>0.43362115351489344</v>
      </c>
      <c r="AH52" s="3">
        <f t="shared" si="5"/>
        <v>5.1973630408482965</v>
      </c>
      <c r="AI52">
        <f t="shared" si="6"/>
        <v>13</v>
      </c>
      <c r="AJ52">
        <f t="shared" si="7"/>
        <v>0.14444511726871467</v>
      </c>
      <c r="AK52" s="15">
        <f t="shared" si="8"/>
        <v>35.98157652625612</v>
      </c>
      <c r="AL52" s="1">
        <f t="shared" si="4"/>
        <v>13221.936034999999</v>
      </c>
    </row>
    <row r="53" spans="2:38" x14ac:dyDescent="0.25">
      <c r="B53" t="s">
        <v>20</v>
      </c>
      <c r="C53" t="s">
        <v>11</v>
      </c>
      <c r="D53" t="s">
        <v>253</v>
      </c>
      <c r="E53" t="s">
        <v>251</v>
      </c>
      <c r="F53" t="s">
        <v>6</v>
      </c>
      <c r="G53" t="s">
        <v>130</v>
      </c>
      <c r="H53" t="s">
        <v>39</v>
      </c>
      <c r="I53" t="s">
        <v>34</v>
      </c>
      <c r="J53">
        <v>8760</v>
      </c>
      <c r="K53" s="5">
        <v>1</v>
      </c>
      <c r="L53">
        <v>1</v>
      </c>
      <c r="M53" s="3">
        <f>5542.18769541597/1000</f>
        <v>5.5421876954159695</v>
      </c>
      <c r="N53" s="3">
        <f>5362.133837/1000</f>
        <v>5.362133837</v>
      </c>
      <c r="O53" s="1">
        <v>0</v>
      </c>
      <c r="P53">
        <v>25</v>
      </c>
      <c r="Q53" s="1">
        <v>6.0000000000000001E-3</v>
      </c>
      <c r="R53">
        <v>1</v>
      </c>
      <c r="S53">
        <v>1</v>
      </c>
      <c r="T53" s="16">
        <f>Capacity!B56*1000</f>
        <v>4503.4039650000004</v>
      </c>
      <c r="U53" s="17">
        <v>0</v>
      </c>
      <c r="V53" s="17">
        <v>0</v>
      </c>
      <c r="W53" s="17">
        <v>0</v>
      </c>
      <c r="X53" s="31"/>
      <c r="Y53" s="31"/>
      <c r="Z53">
        <v>0.51</v>
      </c>
      <c r="AA53">
        <v>0.104</v>
      </c>
      <c r="AC53" s="31">
        <v>1</v>
      </c>
      <c r="AD53" s="31"/>
      <c r="AE53" s="30"/>
      <c r="AF53">
        <v>0</v>
      </c>
      <c r="AG53">
        <f>Z53*Conversions!$D$4</f>
        <v>0.63184796655027331</v>
      </c>
      <c r="AH53" s="3">
        <f t="shared" si="5"/>
        <v>4.9103397288656963</v>
      </c>
      <c r="AI53">
        <f t="shared" si="6"/>
        <v>13</v>
      </c>
      <c r="AJ53">
        <f t="shared" si="7"/>
        <v>0.1437086289255039</v>
      </c>
      <c r="AK53" s="15">
        <f t="shared" si="8"/>
        <v>34.16871878592017</v>
      </c>
      <c r="AL53" s="1">
        <f t="shared" si="4"/>
        <v>4503.4039650000004</v>
      </c>
    </row>
    <row r="54" spans="2:38" x14ac:dyDescent="0.25">
      <c r="B54" t="s">
        <v>21</v>
      </c>
      <c r="C54" t="s">
        <v>11</v>
      </c>
      <c r="D54" t="s">
        <v>253</v>
      </c>
      <c r="E54" t="s">
        <v>252</v>
      </c>
      <c r="F54" t="s">
        <v>6</v>
      </c>
      <c r="G54" t="s">
        <v>130</v>
      </c>
      <c r="H54" t="s">
        <v>40</v>
      </c>
      <c r="I54" t="s">
        <v>34</v>
      </c>
      <c r="J54">
        <v>8760</v>
      </c>
      <c r="K54" s="5">
        <v>1</v>
      </c>
      <c r="L54">
        <v>1</v>
      </c>
      <c r="M54" s="3">
        <f>10659.4302732183/1000</f>
        <v>10.6594302732183</v>
      </c>
      <c r="N54" s="3">
        <f>10586.96446/1000</f>
        <v>10.586964459999999</v>
      </c>
      <c r="O54" s="1">
        <v>0</v>
      </c>
      <c r="P54">
        <v>25</v>
      </c>
      <c r="Q54" s="1">
        <v>5.0000000000000001E-3</v>
      </c>
      <c r="R54">
        <v>1</v>
      </c>
      <c r="S54">
        <v>1</v>
      </c>
      <c r="T54" s="16">
        <f>Capacity!B57*1000</f>
        <v>18661.04</v>
      </c>
      <c r="U54" s="17">
        <v>0</v>
      </c>
      <c r="V54" s="17">
        <v>0</v>
      </c>
      <c r="W54" s="17">
        <v>0</v>
      </c>
      <c r="X54" s="31"/>
      <c r="Y54" s="31"/>
      <c r="Z54">
        <v>0.68</v>
      </c>
      <c r="AA54">
        <v>0.105</v>
      </c>
      <c r="AC54" s="31">
        <v>1</v>
      </c>
      <c r="AD54" s="31"/>
      <c r="AE54" s="30"/>
      <c r="AF54">
        <v>0</v>
      </c>
      <c r="AG54">
        <f>Z54*Conversions!$D$4</f>
        <v>0.84246395540036456</v>
      </c>
      <c r="AH54" s="3">
        <f t="shared" si="5"/>
        <v>9.8169663178179363</v>
      </c>
      <c r="AI54">
        <f t="shared" si="6"/>
        <v>13</v>
      </c>
      <c r="AJ54">
        <f t="shared" si="7"/>
        <v>0.14444511726871467</v>
      </c>
      <c r="AK54" s="15">
        <f t="shared" si="8"/>
        <v>67.963296395510568</v>
      </c>
      <c r="AL54" s="1">
        <f t="shared" si="4"/>
        <v>18661.04</v>
      </c>
    </row>
    <row r="55" spans="2:38" s="24" customFormat="1" x14ac:dyDescent="0.25">
      <c r="B55" s="24" t="s">
        <v>23</v>
      </c>
      <c r="C55" s="24" t="s">
        <v>11</v>
      </c>
      <c r="D55" s="24" t="s">
        <v>253</v>
      </c>
      <c r="F55" s="24" t="s">
        <v>6</v>
      </c>
      <c r="G55" s="24" t="s">
        <v>130</v>
      </c>
      <c r="H55" s="24" t="s">
        <v>40</v>
      </c>
      <c r="I55" s="24" t="s">
        <v>34</v>
      </c>
      <c r="J55" s="24">
        <v>8760</v>
      </c>
      <c r="K55" s="44">
        <v>1</v>
      </c>
      <c r="L55" s="24">
        <v>1</v>
      </c>
      <c r="M55" s="45">
        <f>N55</f>
        <v>34.540361669999996</v>
      </c>
      <c r="N55" s="46">
        <f>34540.36167/1000</f>
        <v>34.540361669999996</v>
      </c>
      <c r="O55" s="47">
        <v>0</v>
      </c>
      <c r="P55" s="24">
        <v>25</v>
      </c>
      <c r="Q55" s="47">
        <v>5.0000000000000001E-3</v>
      </c>
      <c r="R55" s="24">
        <v>1</v>
      </c>
      <c r="S55" s="24">
        <v>1</v>
      </c>
      <c r="T55" s="48">
        <f>Capacity!B58*1000</f>
        <v>0</v>
      </c>
      <c r="U55" s="49">
        <v>0</v>
      </c>
      <c r="V55" s="49">
        <v>0</v>
      </c>
      <c r="W55" s="49">
        <v>0</v>
      </c>
      <c r="X55" s="50"/>
      <c r="Y55" s="50"/>
      <c r="Z55" s="24">
        <v>6.7</v>
      </c>
      <c r="AA55" s="24">
        <v>0.112</v>
      </c>
      <c r="AB55" s="51"/>
      <c r="AC55" s="50">
        <v>1</v>
      </c>
      <c r="AD55" s="50"/>
      <c r="AE55" s="52"/>
      <c r="AF55" s="24">
        <v>0</v>
      </c>
      <c r="AG55" s="24">
        <f>Z55*Conversions!$D$4</f>
        <v>8.3007477958565321</v>
      </c>
      <c r="AH55" s="46">
        <f t="shared" si="5"/>
        <v>26.239613874143465</v>
      </c>
      <c r="AI55" s="24">
        <f t="shared" si="6"/>
        <v>13</v>
      </c>
      <c r="AJ55" s="24">
        <f t="shared" si="7"/>
        <v>0.14964415165301803</v>
      </c>
      <c r="AK55" s="53">
        <f t="shared" si="8"/>
        <v>175.34673814039604</v>
      </c>
      <c r="AL55" s="47">
        <f t="shared" si="4"/>
        <v>0</v>
      </c>
    </row>
    <row r="56" spans="2:38" x14ac:dyDescent="0.25">
      <c r="B56" t="s">
        <v>13</v>
      </c>
      <c r="C56" t="s">
        <v>8</v>
      </c>
      <c r="D56" t="s">
        <v>241</v>
      </c>
      <c r="E56" t="s">
        <v>243</v>
      </c>
      <c r="F56" t="s">
        <v>6</v>
      </c>
      <c r="G56" t="s">
        <v>130</v>
      </c>
      <c r="H56" t="s">
        <v>33</v>
      </c>
      <c r="I56" t="s">
        <v>34</v>
      </c>
      <c r="J56">
        <v>8760</v>
      </c>
      <c r="K56" s="5">
        <v>0.38096819999999998</v>
      </c>
      <c r="L56">
        <v>0.85</v>
      </c>
      <c r="M56" s="3">
        <f>5822.44460147077/1000</f>
        <v>5.82244460147077</v>
      </c>
      <c r="N56" s="3">
        <f>13721.03129/1000</f>
        <v>13.721031290000001</v>
      </c>
      <c r="O56" s="1">
        <v>133.5230182</v>
      </c>
      <c r="P56">
        <v>40</v>
      </c>
      <c r="Q56" s="1">
        <v>6.6000000000000003E-2</v>
      </c>
      <c r="R56">
        <v>0.3</v>
      </c>
      <c r="S56">
        <v>0.3</v>
      </c>
      <c r="T56" s="16">
        <f>Capacity!B61*1000</f>
        <v>63929.270834999996</v>
      </c>
      <c r="U56" s="17">
        <v>0</v>
      </c>
      <c r="V56" s="17">
        <v>0</v>
      </c>
      <c r="W56" s="17">
        <v>0</v>
      </c>
      <c r="X56" s="1">
        <f>CarriersTech_characteristics!$G$2</f>
        <v>17.207187650000002</v>
      </c>
      <c r="Y56" s="1">
        <f>CarriersTech_characteristics!$H$28*1000</f>
        <v>1942097.6230000001</v>
      </c>
      <c r="Z56" s="7">
        <v>3</v>
      </c>
      <c r="AA56">
        <v>0.105</v>
      </c>
      <c r="AB56" s="41"/>
      <c r="AC56" s="1">
        <f>1/K56/(1-Q56)</f>
        <v>2.8103758044980376</v>
      </c>
      <c r="AD56" s="31"/>
      <c r="AE56" s="37">
        <f>Y56/(X56*Conversions!$D$2)</f>
        <v>0.40631575182871843</v>
      </c>
      <c r="AF56" s="11">
        <f>O56/CarriersTech_characteristics!$G$2/Conversions!$D$2*AC56</f>
        <v>7.8507860294473842E-5</v>
      </c>
      <c r="AG56">
        <f>Z56*Conversions!$D$4</f>
        <v>3.7167527444133723</v>
      </c>
      <c r="AH56" s="3">
        <f t="shared" si="5"/>
        <v>2.1056918570573977</v>
      </c>
      <c r="AI56">
        <f t="shared" si="6"/>
        <v>20</v>
      </c>
      <c r="AJ56">
        <f t="shared" si="7"/>
        <v>0.12149326526701618</v>
      </c>
      <c r="AK56" s="15">
        <f t="shared" si="8"/>
        <v>17.33175787505207</v>
      </c>
      <c r="AL56" s="1">
        <f t="shared" si="4"/>
        <v>63929.270834999996</v>
      </c>
    </row>
    <row r="57" spans="2:38" x14ac:dyDescent="0.25">
      <c r="B57" t="s">
        <v>14</v>
      </c>
      <c r="C57" t="s">
        <v>8</v>
      </c>
      <c r="D57" t="s">
        <v>241</v>
      </c>
      <c r="E57" t="s">
        <v>248</v>
      </c>
      <c r="F57" t="s">
        <v>6</v>
      </c>
      <c r="G57" t="s">
        <v>130</v>
      </c>
      <c r="H57" t="s">
        <v>35</v>
      </c>
      <c r="I57" t="s">
        <v>34</v>
      </c>
      <c r="J57">
        <v>8760</v>
      </c>
      <c r="K57" s="5">
        <v>0.40444272199999998</v>
      </c>
      <c r="L57">
        <v>0.85</v>
      </c>
      <c r="M57" s="3">
        <f>8512.22780274884/1000</f>
        <v>8.5122278027488392</v>
      </c>
      <c r="N57" s="3">
        <f>8512.227803/1000</f>
        <v>8.512227803</v>
      </c>
      <c r="O57" s="1">
        <v>0</v>
      </c>
      <c r="P57">
        <v>25</v>
      </c>
      <c r="Q57" s="1">
        <v>0.02</v>
      </c>
      <c r="R57">
        <v>0.9</v>
      </c>
      <c r="S57">
        <v>0.9</v>
      </c>
      <c r="T57" s="16">
        <f>Capacity!B62*1000</f>
        <v>7730.2171470000003</v>
      </c>
      <c r="U57" s="17">
        <v>0</v>
      </c>
      <c r="V57" s="17">
        <v>0</v>
      </c>
      <c r="W57" s="17">
        <v>0</v>
      </c>
      <c r="X57" s="1">
        <f>CarriersTech_characteristics!$G$3</f>
        <v>37.681199999999997</v>
      </c>
      <c r="Y57" s="1">
        <f>CarriersTech_characteristics!$H$3*1000</f>
        <v>3025024.5490000001</v>
      </c>
      <c r="Z57">
        <v>2.9</v>
      </c>
      <c r="AA57">
        <v>0.105</v>
      </c>
      <c r="AC57" s="1">
        <f>1/K57/(1-Q57)</f>
        <v>2.5229979617863072</v>
      </c>
      <c r="AD57" s="31"/>
      <c r="AE57" s="37">
        <f>(Y57*Conversions!$D$3)/(X57*Conversions!$D$2)</f>
        <v>0.23958587284408495</v>
      </c>
      <c r="AF57">
        <v>0</v>
      </c>
      <c r="AG57">
        <f>Z57*Conversions!$D$4</f>
        <v>3.5928609862662602</v>
      </c>
      <c r="AH57" s="3">
        <f t="shared" si="5"/>
        <v>4.9193668164825795</v>
      </c>
      <c r="AI57">
        <f t="shared" si="6"/>
        <v>13</v>
      </c>
      <c r="AJ57">
        <f t="shared" si="7"/>
        <v>0.14444511726871467</v>
      </c>
      <c r="AK57" s="15">
        <f t="shared" si="8"/>
        <v>34.056996245369547</v>
      </c>
      <c r="AL57" s="1">
        <f t="shared" si="4"/>
        <v>7730.2171470000003</v>
      </c>
    </row>
    <row r="58" spans="2:38" x14ac:dyDescent="0.25">
      <c r="B58" t="s">
        <v>16</v>
      </c>
      <c r="C58" t="s">
        <v>8</v>
      </c>
      <c r="D58" t="s">
        <v>241</v>
      </c>
      <c r="F58" t="s">
        <v>6</v>
      </c>
      <c r="G58" t="s">
        <v>130</v>
      </c>
      <c r="H58" t="s">
        <v>35</v>
      </c>
      <c r="I58" t="s">
        <v>34</v>
      </c>
      <c r="J58">
        <v>8760</v>
      </c>
      <c r="K58" s="5">
        <v>0.28070162799999998</v>
      </c>
      <c r="L58">
        <v>0.85</v>
      </c>
      <c r="M58" s="3">
        <f>6679.75064927145/1000</f>
        <v>6.6797506492714502</v>
      </c>
      <c r="N58" s="3">
        <f>6679.750649/1000</f>
        <v>6.6797506489999998</v>
      </c>
      <c r="O58" s="1">
        <v>0</v>
      </c>
      <c r="P58">
        <v>25</v>
      </c>
      <c r="Q58" s="1">
        <v>0.01</v>
      </c>
      <c r="R58">
        <v>1</v>
      </c>
      <c r="S58">
        <v>1</v>
      </c>
      <c r="T58" s="16">
        <f>Capacity!B63*1000</f>
        <v>0</v>
      </c>
      <c r="U58" s="17">
        <v>0</v>
      </c>
      <c r="V58" s="17">
        <v>0</v>
      </c>
      <c r="W58" s="17">
        <v>0</v>
      </c>
      <c r="X58" s="1">
        <f>CarriersTech_characteristics!$G$3</f>
        <v>37.681199999999997</v>
      </c>
      <c r="Y58" s="1">
        <f>CarriersTech_characteristics!$H$3*1000</f>
        <v>3025024.5490000001</v>
      </c>
      <c r="Z58">
        <v>0.7</v>
      </c>
      <c r="AA58">
        <v>0.105</v>
      </c>
      <c r="AC58" s="1">
        <f>1/K58/(1-Q58)</f>
        <v>3.5984864687033813</v>
      </c>
      <c r="AD58" s="31"/>
      <c r="AE58" s="37">
        <f>(Y58*Conversions!$D$3)/(X58*Conversions!$D$2)</f>
        <v>0.23958587284408495</v>
      </c>
      <c r="AF58">
        <v>0</v>
      </c>
      <c r="AG58">
        <f>Z58*Conversions!$D$4</f>
        <v>0.86724230702978689</v>
      </c>
      <c r="AH58" s="3">
        <f t="shared" si="5"/>
        <v>5.8125083422416637</v>
      </c>
      <c r="AI58">
        <f t="shared" si="6"/>
        <v>13</v>
      </c>
      <c r="AJ58">
        <f t="shared" si="7"/>
        <v>0.14444511726871467</v>
      </c>
      <c r="AK58" s="15">
        <f t="shared" si="8"/>
        <v>40.240254929687353</v>
      </c>
      <c r="AL58" s="1">
        <f t="shared" si="4"/>
        <v>0</v>
      </c>
    </row>
    <row r="59" spans="2:38" x14ac:dyDescent="0.25">
      <c r="B59" t="s">
        <v>17</v>
      </c>
      <c r="C59" t="s">
        <v>8</v>
      </c>
      <c r="D59" t="s">
        <v>241</v>
      </c>
      <c r="E59" t="s">
        <v>249</v>
      </c>
      <c r="F59" t="s">
        <v>6</v>
      </c>
      <c r="G59" t="s">
        <v>130</v>
      </c>
      <c r="H59" t="s">
        <v>36</v>
      </c>
      <c r="I59" t="s">
        <v>34</v>
      </c>
      <c r="J59">
        <v>8760</v>
      </c>
      <c r="K59" s="5">
        <v>1</v>
      </c>
      <c r="L59">
        <v>0.70916666699999997</v>
      </c>
      <c r="M59" s="3">
        <f>20833.2103478327/1000</f>
        <v>20.833210347832701</v>
      </c>
      <c r="N59" s="3">
        <f>20833.21035/1000</f>
        <v>20.833210350000002</v>
      </c>
      <c r="O59" s="1">
        <v>0</v>
      </c>
      <c r="P59">
        <v>40</v>
      </c>
      <c r="Q59" s="1">
        <v>0.10780000000000001</v>
      </c>
      <c r="R59">
        <v>0.01</v>
      </c>
      <c r="S59">
        <v>0.01</v>
      </c>
      <c r="T59" s="16">
        <f>Capacity!B64*1000</f>
        <v>3327.6676479999996</v>
      </c>
      <c r="U59" s="17">
        <v>0</v>
      </c>
      <c r="V59" s="17">
        <v>0</v>
      </c>
      <c r="W59" s="17">
        <v>0</v>
      </c>
      <c r="X59" s="33"/>
      <c r="Y59" s="33"/>
      <c r="Z59">
        <v>4.3</v>
      </c>
      <c r="AA59">
        <v>0.105</v>
      </c>
      <c r="AC59" s="1">
        <f>1/K59/(1-Q59)</f>
        <v>1.1208249271463797</v>
      </c>
      <c r="AD59" s="31"/>
      <c r="AE59" s="32"/>
      <c r="AF59">
        <v>0</v>
      </c>
      <c r="AG59">
        <f>Z59*Conversions!$D$4</f>
        <v>5.3273456003258337</v>
      </c>
      <c r="AH59" s="3">
        <f t="shared" si="5"/>
        <v>15.505864747506866</v>
      </c>
      <c r="AI59">
        <f t="shared" si="6"/>
        <v>20</v>
      </c>
      <c r="AJ59">
        <f t="shared" si="7"/>
        <v>0.12149326526701618</v>
      </c>
      <c r="AK59" s="15">
        <f t="shared" si="8"/>
        <v>127.6273603596734</v>
      </c>
      <c r="AL59" s="1">
        <f t="shared" si="4"/>
        <v>3327.6676479999996</v>
      </c>
    </row>
    <row r="60" spans="2:38" x14ac:dyDescent="0.25">
      <c r="B60" t="s">
        <v>22</v>
      </c>
      <c r="C60" t="s">
        <v>8</v>
      </c>
      <c r="D60" t="s">
        <v>241</v>
      </c>
      <c r="F60" t="s">
        <v>6</v>
      </c>
      <c r="G60" t="s">
        <v>130</v>
      </c>
      <c r="H60" t="s">
        <v>36</v>
      </c>
      <c r="I60" t="s">
        <v>34</v>
      </c>
      <c r="J60">
        <v>8760</v>
      </c>
      <c r="K60" s="5">
        <v>1</v>
      </c>
      <c r="L60">
        <v>0.70916666699999997</v>
      </c>
      <c r="M60" s="13">
        <f>N60</f>
        <v>35.289429389999995</v>
      </c>
      <c r="N60" s="3">
        <f>35289.42939/1000</f>
        <v>35.289429389999995</v>
      </c>
      <c r="O60" s="1">
        <v>0</v>
      </c>
      <c r="P60">
        <v>30</v>
      </c>
      <c r="Q60" s="1">
        <v>0.05</v>
      </c>
      <c r="R60">
        <v>0.01</v>
      </c>
      <c r="S60">
        <v>0.01</v>
      </c>
      <c r="T60" s="16">
        <f>Capacity!B65*1000</f>
        <v>0</v>
      </c>
      <c r="U60" s="17">
        <v>0</v>
      </c>
      <c r="V60" s="17">
        <v>0</v>
      </c>
      <c r="W60" s="17">
        <v>0</v>
      </c>
      <c r="X60" s="33"/>
      <c r="Y60" s="33"/>
      <c r="Z60">
        <v>5</v>
      </c>
      <c r="AA60">
        <v>0.105</v>
      </c>
      <c r="AC60" s="1">
        <f>1/K60/(1-Q60)</f>
        <v>1.0526315789473684</v>
      </c>
      <c r="AD60" s="31"/>
      <c r="AE60" s="32"/>
      <c r="AF60">
        <v>0</v>
      </c>
      <c r="AG60">
        <f>Z60*Conversions!$D$4</f>
        <v>6.1945879073556211</v>
      </c>
      <c r="AH60" s="3">
        <f t="shared" si="5"/>
        <v>29.094841482644373</v>
      </c>
      <c r="AI60">
        <f t="shared" si="6"/>
        <v>15</v>
      </c>
      <c r="AJ60">
        <f t="shared" si="7"/>
        <v>0.13524800152154118</v>
      </c>
      <c r="AK60" s="15">
        <f t="shared" si="8"/>
        <v>215.12215452596087</v>
      </c>
      <c r="AL60" s="1">
        <f t="shared" si="4"/>
        <v>0</v>
      </c>
    </row>
    <row r="61" spans="2:38" x14ac:dyDescent="0.25">
      <c r="B61" t="s">
        <v>15</v>
      </c>
      <c r="C61" t="s">
        <v>8</v>
      </c>
      <c r="D61" t="s">
        <v>245</v>
      </c>
      <c r="E61" t="s">
        <v>246</v>
      </c>
      <c r="F61" t="s">
        <v>6</v>
      </c>
      <c r="G61" t="s">
        <v>130</v>
      </c>
      <c r="H61" t="s">
        <v>37</v>
      </c>
      <c r="I61" t="s">
        <v>34</v>
      </c>
      <c r="J61">
        <v>8760</v>
      </c>
      <c r="K61" s="5">
        <v>1</v>
      </c>
      <c r="L61">
        <v>1</v>
      </c>
      <c r="M61" s="3">
        <f>19631.8145207228/1000</f>
        <v>19.631814520722802</v>
      </c>
      <c r="N61" s="3">
        <f>19631.81452/1000</f>
        <v>19.631814519999999</v>
      </c>
      <c r="O61" s="1">
        <v>0</v>
      </c>
      <c r="P61">
        <v>40</v>
      </c>
      <c r="Q61" s="1">
        <v>6.0000000000000001E-3</v>
      </c>
      <c r="R61">
        <v>1</v>
      </c>
      <c r="S61">
        <v>1</v>
      </c>
      <c r="T61" s="16">
        <f>Capacity!B66*1000</f>
        <v>12168.961466000001</v>
      </c>
      <c r="U61" s="17">
        <v>0</v>
      </c>
      <c r="V61" s="17">
        <v>0</v>
      </c>
      <c r="W61" s="17">
        <v>0</v>
      </c>
      <c r="X61" s="31"/>
      <c r="Y61" s="34"/>
      <c r="Z61">
        <v>4.4000000000000004</v>
      </c>
      <c r="AA61">
        <v>0.105</v>
      </c>
      <c r="AC61" s="30"/>
      <c r="AD61" s="1">
        <f>K61-Q61</f>
        <v>0.99399999999999999</v>
      </c>
      <c r="AE61" s="30"/>
      <c r="AF61">
        <v>0</v>
      </c>
      <c r="AG61">
        <f>Z61*Conversions!$D$4</f>
        <v>5.4512373584729472</v>
      </c>
      <c r="AH61" s="3">
        <f t="shared" si="5"/>
        <v>14.180577162249854</v>
      </c>
      <c r="AI61">
        <f t="shared" si="6"/>
        <v>20</v>
      </c>
      <c r="AJ61">
        <f t="shared" si="7"/>
        <v>0.12149326526701618</v>
      </c>
      <c r="AK61" s="15">
        <f t="shared" si="8"/>
        <v>116.7190389614106</v>
      </c>
      <c r="AL61" s="1">
        <f t="shared" si="4"/>
        <v>12168.961466000001</v>
      </c>
    </row>
    <row r="62" spans="2:38" x14ac:dyDescent="0.25">
      <c r="B62" t="s">
        <v>18</v>
      </c>
      <c r="C62" t="s">
        <v>8</v>
      </c>
      <c r="D62" t="s">
        <v>245</v>
      </c>
      <c r="E62" t="s">
        <v>247</v>
      </c>
      <c r="F62" t="s">
        <v>6</v>
      </c>
      <c r="G62" t="s">
        <v>130</v>
      </c>
      <c r="H62" t="s">
        <v>37</v>
      </c>
      <c r="I62" t="s">
        <v>34</v>
      </c>
      <c r="J62">
        <v>8760</v>
      </c>
      <c r="K62" s="5">
        <v>1</v>
      </c>
      <c r="L62">
        <v>1</v>
      </c>
      <c r="M62" s="3">
        <f>11825.3487554956/1000</f>
        <v>11.825348755495598</v>
      </c>
      <c r="N62" s="3">
        <f>11825.34876/1000</f>
        <v>11.825348760000001</v>
      </c>
      <c r="O62" s="1">
        <v>0</v>
      </c>
      <c r="P62">
        <v>35</v>
      </c>
      <c r="Q62" s="1">
        <v>0.01</v>
      </c>
      <c r="R62">
        <v>1</v>
      </c>
      <c r="S62">
        <v>1</v>
      </c>
      <c r="T62" s="16">
        <f>Capacity!B67*1000</f>
        <v>1924.4800000000002</v>
      </c>
      <c r="U62" s="17">
        <v>0</v>
      </c>
      <c r="V62" s="17">
        <v>0</v>
      </c>
      <c r="W62" s="17">
        <v>0</v>
      </c>
      <c r="X62" s="31"/>
      <c r="Y62" s="34"/>
      <c r="Z62">
        <f>2.4</f>
        <v>2.4</v>
      </c>
      <c r="AA62">
        <v>8.3500000000000005E-2</v>
      </c>
      <c r="AC62" s="30"/>
      <c r="AD62" s="1">
        <f>K62-Q62</f>
        <v>0.99</v>
      </c>
      <c r="AE62" s="30"/>
      <c r="AF62">
        <v>0</v>
      </c>
      <c r="AG62">
        <f>Z62*Conversions!$D$4</f>
        <v>2.973402195530698</v>
      </c>
      <c r="AH62" s="3">
        <f t="shared" si="5"/>
        <v>8.851946559964901</v>
      </c>
      <c r="AI62">
        <f t="shared" si="6"/>
        <v>18</v>
      </c>
      <c r="AJ62">
        <f t="shared" si="7"/>
        <v>0.1093062199026277</v>
      </c>
      <c r="AK62" s="15">
        <f t="shared" si="8"/>
        <v>80.983008724026888</v>
      </c>
      <c r="AL62" s="1">
        <f t="shared" si="4"/>
        <v>1924.4800000000002</v>
      </c>
    </row>
    <row r="63" spans="2:38" x14ac:dyDescent="0.25">
      <c r="B63" t="s">
        <v>7</v>
      </c>
      <c r="C63" t="s">
        <v>8</v>
      </c>
      <c r="D63" t="s">
        <v>241</v>
      </c>
      <c r="E63" t="s">
        <v>244</v>
      </c>
      <c r="F63" t="s">
        <v>6</v>
      </c>
      <c r="G63" t="s">
        <v>130</v>
      </c>
      <c r="H63" t="s">
        <v>38</v>
      </c>
      <c r="I63" t="s">
        <v>34</v>
      </c>
      <c r="J63">
        <v>8760</v>
      </c>
      <c r="K63" s="5">
        <v>0.238845897</v>
      </c>
      <c r="L63">
        <v>1</v>
      </c>
      <c r="M63" s="3">
        <f>7713.45723965334/1000</f>
        <v>7.7134572396533407</v>
      </c>
      <c r="N63" s="3">
        <f>7713.45724/1000</f>
        <v>7.7134572399999994</v>
      </c>
      <c r="O63" s="1">
        <v>0</v>
      </c>
      <c r="P63">
        <v>20</v>
      </c>
      <c r="Q63" s="1">
        <v>0.1</v>
      </c>
      <c r="R63">
        <v>0.06</v>
      </c>
      <c r="S63">
        <v>0.06</v>
      </c>
      <c r="T63" s="16">
        <f>Capacity!B68*1000</f>
        <v>3734.75</v>
      </c>
      <c r="U63" s="17">
        <v>0</v>
      </c>
      <c r="V63" s="17">
        <v>0</v>
      </c>
      <c r="W63" s="17">
        <v>0</v>
      </c>
      <c r="X63" s="1">
        <f>CarriersTech_characteristics!$G$7</f>
        <v>13.648968</v>
      </c>
      <c r="Y63" s="1">
        <f>CarriersTech_characteristics!$H$5*1000</f>
        <v>1656436.6880000001</v>
      </c>
      <c r="Z63" s="12">
        <v>1</v>
      </c>
      <c r="AA63">
        <v>8.3500000000000005E-2</v>
      </c>
      <c r="AC63" s="1">
        <f>1/K63/(1-Q63)</f>
        <v>4.6519999927447406</v>
      </c>
      <c r="AD63" s="31"/>
      <c r="AE63" s="36">
        <f>Y63/(X63*Conversions!$D$2)</f>
        <v>0.43689545093040172</v>
      </c>
      <c r="AF63">
        <v>0</v>
      </c>
      <c r="AG63">
        <f>Z63*Conversions!$D$4</f>
        <v>1.2389175814711242</v>
      </c>
      <c r="AH63" s="3">
        <f t="shared" si="5"/>
        <v>6.4745396581822163</v>
      </c>
      <c r="AI63">
        <f t="shared" si="6"/>
        <v>10</v>
      </c>
      <c r="AJ63">
        <f t="shared" si="7"/>
        <v>0.15139063026119925</v>
      </c>
      <c r="AK63" s="15">
        <f t="shared" si="8"/>
        <v>42.767109477062611</v>
      </c>
      <c r="AL63" s="1">
        <f t="shared" si="4"/>
        <v>3734.75</v>
      </c>
    </row>
    <row r="64" spans="2:38" x14ac:dyDescent="0.25">
      <c r="B64" t="s">
        <v>19</v>
      </c>
      <c r="C64" t="s">
        <v>8</v>
      </c>
      <c r="D64" t="s">
        <v>253</v>
      </c>
      <c r="E64" t="s">
        <v>250</v>
      </c>
      <c r="F64" t="s">
        <v>6</v>
      </c>
      <c r="G64" t="s">
        <v>130</v>
      </c>
      <c r="H64" t="s">
        <v>39</v>
      </c>
      <c r="I64" t="s">
        <v>34</v>
      </c>
      <c r="J64">
        <v>8760</v>
      </c>
      <c r="K64" s="5">
        <v>1</v>
      </c>
      <c r="L64">
        <v>1</v>
      </c>
      <c r="M64" s="3">
        <f>5630.98419436319/1000</f>
        <v>5.6309841943631902</v>
      </c>
      <c r="N64" s="3">
        <f>5439.705856/1000</f>
        <v>5.4397058559999998</v>
      </c>
      <c r="O64" s="1">
        <v>0</v>
      </c>
      <c r="P64">
        <v>25</v>
      </c>
      <c r="Q64" s="1">
        <v>0.01</v>
      </c>
      <c r="R64">
        <v>1</v>
      </c>
      <c r="S64">
        <v>1</v>
      </c>
      <c r="T64" s="16">
        <f>Capacity!B69*1000</f>
        <v>24128.916825999997</v>
      </c>
      <c r="U64" s="17">
        <v>0</v>
      </c>
      <c r="V64" s="17">
        <v>0</v>
      </c>
      <c r="W64" s="17">
        <v>0</v>
      </c>
      <c r="X64" s="31"/>
      <c r="Y64" s="35" t="s">
        <v>265</v>
      </c>
      <c r="Z64">
        <v>0.35</v>
      </c>
      <c r="AA64">
        <v>0.105</v>
      </c>
      <c r="AC64" s="31">
        <v>1</v>
      </c>
      <c r="AD64" s="31"/>
      <c r="AE64" s="30"/>
      <c r="AF64">
        <v>0</v>
      </c>
      <c r="AG64">
        <f>Z64*Conversions!$D$4</f>
        <v>0.43362115351489344</v>
      </c>
      <c r="AH64" s="3">
        <f t="shared" si="5"/>
        <v>5.1973630408482965</v>
      </c>
      <c r="AI64">
        <f t="shared" si="6"/>
        <v>13</v>
      </c>
      <c r="AJ64">
        <f t="shared" si="7"/>
        <v>0.14444511726871467</v>
      </c>
      <c r="AK64" s="15">
        <f t="shared" si="8"/>
        <v>35.98157652625612</v>
      </c>
      <c r="AL64" s="1">
        <f t="shared" si="4"/>
        <v>24128.916825999997</v>
      </c>
    </row>
    <row r="65" spans="1:38" x14ac:dyDescent="0.25">
      <c r="B65" t="s">
        <v>20</v>
      </c>
      <c r="C65" t="s">
        <v>8</v>
      </c>
      <c r="D65" t="s">
        <v>253</v>
      </c>
      <c r="E65" t="s">
        <v>251</v>
      </c>
      <c r="F65" t="s">
        <v>6</v>
      </c>
      <c r="G65" t="s">
        <v>130</v>
      </c>
      <c r="H65" t="s">
        <v>39</v>
      </c>
      <c r="I65" t="s">
        <v>34</v>
      </c>
      <c r="J65">
        <v>8760</v>
      </c>
      <c r="K65" s="5">
        <v>1</v>
      </c>
      <c r="L65">
        <v>1</v>
      </c>
      <c r="M65" s="3">
        <f>5542.18769541597/1000</f>
        <v>5.5421876954159695</v>
      </c>
      <c r="N65" s="3">
        <f>5362.133837/1000</f>
        <v>5.362133837</v>
      </c>
      <c r="O65" s="1">
        <v>0</v>
      </c>
      <c r="P65">
        <v>25</v>
      </c>
      <c r="Q65" s="1">
        <v>6.0000000000000001E-3</v>
      </c>
      <c r="R65">
        <v>1</v>
      </c>
      <c r="S65">
        <v>1</v>
      </c>
      <c r="T65" s="16">
        <f>Capacity!B70*1000</f>
        <v>2030.8231740000001</v>
      </c>
      <c r="U65" s="17">
        <v>0</v>
      </c>
      <c r="V65" s="17">
        <v>0</v>
      </c>
      <c r="W65" s="17">
        <v>0</v>
      </c>
      <c r="X65" s="31"/>
      <c r="Y65" s="31"/>
      <c r="Z65">
        <v>0.51</v>
      </c>
      <c r="AA65">
        <v>0.104</v>
      </c>
      <c r="AC65" s="31">
        <v>1</v>
      </c>
      <c r="AD65" s="31"/>
      <c r="AE65" s="30"/>
      <c r="AF65">
        <v>0</v>
      </c>
      <c r="AG65">
        <f>Z65*Conversions!$D$4</f>
        <v>0.63184796655027331</v>
      </c>
      <c r="AH65" s="3">
        <f t="shared" si="5"/>
        <v>4.9103397288656963</v>
      </c>
      <c r="AI65">
        <f t="shared" si="6"/>
        <v>13</v>
      </c>
      <c r="AJ65">
        <f t="shared" si="7"/>
        <v>0.1437086289255039</v>
      </c>
      <c r="AK65" s="15">
        <f t="shared" si="8"/>
        <v>34.16871878592017</v>
      </c>
      <c r="AL65" s="1">
        <f t="shared" si="4"/>
        <v>2030.8231740000001</v>
      </c>
    </row>
    <row r="66" spans="1:38" x14ac:dyDescent="0.25">
      <c r="B66" t="s">
        <v>21</v>
      </c>
      <c r="C66" t="s">
        <v>8</v>
      </c>
      <c r="D66" t="s">
        <v>253</v>
      </c>
      <c r="E66" t="s">
        <v>252</v>
      </c>
      <c r="F66" t="s">
        <v>6</v>
      </c>
      <c r="G66" t="s">
        <v>130</v>
      </c>
      <c r="H66" t="s">
        <v>40</v>
      </c>
      <c r="I66" t="s">
        <v>34</v>
      </c>
      <c r="J66">
        <v>8760</v>
      </c>
      <c r="K66" s="5">
        <v>1</v>
      </c>
      <c r="L66">
        <v>1</v>
      </c>
      <c r="M66" s="3">
        <f>10659.4302732183/1000</f>
        <v>10.6594302732183</v>
      </c>
      <c r="N66" s="3">
        <f>10586.96446/1000</f>
        <v>10.586964459999999</v>
      </c>
      <c r="O66" s="1">
        <v>0</v>
      </c>
      <c r="P66">
        <v>25</v>
      </c>
      <c r="Q66" s="1">
        <v>5.0000000000000001E-3</v>
      </c>
      <c r="R66">
        <v>1</v>
      </c>
      <c r="S66">
        <v>1</v>
      </c>
      <c r="T66" s="16">
        <f>Capacity!B71*1000</f>
        <v>22161.370000000003</v>
      </c>
      <c r="U66" s="17">
        <v>0</v>
      </c>
      <c r="V66" s="17">
        <v>0</v>
      </c>
      <c r="W66" s="17">
        <v>0</v>
      </c>
      <c r="X66" s="31"/>
      <c r="Y66" s="31"/>
      <c r="Z66">
        <v>0.68</v>
      </c>
      <c r="AA66">
        <v>0.105</v>
      </c>
      <c r="AC66" s="31">
        <v>1</v>
      </c>
      <c r="AD66" s="31"/>
      <c r="AE66" s="30"/>
      <c r="AF66">
        <v>0</v>
      </c>
      <c r="AG66">
        <f>Z66*Conversions!$D$4</f>
        <v>0.84246395540036456</v>
      </c>
      <c r="AH66" s="3">
        <f t="shared" si="5"/>
        <v>9.8169663178179363</v>
      </c>
      <c r="AI66">
        <f t="shared" si="6"/>
        <v>13</v>
      </c>
      <c r="AJ66">
        <f t="shared" si="7"/>
        <v>0.14444511726871467</v>
      </c>
      <c r="AK66" s="15">
        <f t="shared" si="8"/>
        <v>67.963296395510568</v>
      </c>
      <c r="AL66" s="1">
        <f t="shared" si="4"/>
        <v>22161.370000000003</v>
      </c>
    </row>
    <row r="67" spans="1:38" s="24" customFormat="1" x14ac:dyDescent="0.25">
      <c r="B67" s="24" t="s">
        <v>23</v>
      </c>
      <c r="C67" s="24" t="s">
        <v>8</v>
      </c>
      <c r="D67" s="24" t="s">
        <v>253</v>
      </c>
      <c r="F67" s="24" t="s">
        <v>6</v>
      </c>
      <c r="G67" s="24" t="s">
        <v>130</v>
      </c>
      <c r="H67" s="24" t="s">
        <v>40</v>
      </c>
      <c r="I67" s="24" t="s">
        <v>34</v>
      </c>
      <c r="J67" s="24">
        <v>8760</v>
      </c>
      <c r="K67" s="44">
        <v>1</v>
      </c>
      <c r="L67" s="24">
        <v>1</v>
      </c>
      <c r="M67" s="45">
        <f>N67</f>
        <v>34.540361669999996</v>
      </c>
      <c r="N67" s="46">
        <f>34540.36167/1000</f>
        <v>34.540361669999996</v>
      </c>
      <c r="O67" s="47">
        <v>0</v>
      </c>
      <c r="P67" s="24">
        <v>25</v>
      </c>
      <c r="Q67" s="47">
        <v>5.0000000000000001E-3</v>
      </c>
      <c r="R67" s="24">
        <v>1</v>
      </c>
      <c r="S67" s="24">
        <v>1</v>
      </c>
      <c r="T67" s="48">
        <f>Capacity!B72*1000</f>
        <v>0</v>
      </c>
      <c r="U67" s="49">
        <v>0</v>
      </c>
      <c r="V67" s="49">
        <v>0</v>
      </c>
      <c r="W67" s="49">
        <v>0</v>
      </c>
      <c r="X67" s="50"/>
      <c r="Y67" s="50"/>
      <c r="Z67" s="24">
        <v>6.7</v>
      </c>
      <c r="AA67" s="24">
        <v>0.112</v>
      </c>
      <c r="AB67" s="51"/>
      <c r="AC67" s="50">
        <v>1</v>
      </c>
      <c r="AD67" s="50"/>
      <c r="AE67" s="52"/>
      <c r="AF67" s="24">
        <v>0</v>
      </c>
      <c r="AG67" s="24">
        <f>Z67*Conversions!$D$4</f>
        <v>8.3007477958565321</v>
      </c>
      <c r="AH67" s="46">
        <f t="shared" si="5"/>
        <v>26.239613874143465</v>
      </c>
      <c r="AI67" s="24">
        <f t="shared" si="6"/>
        <v>13</v>
      </c>
      <c r="AJ67" s="24">
        <f t="shared" si="7"/>
        <v>0.14964415165301803</v>
      </c>
      <c r="AK67" s="53">
        <f t="shared" si="8"/>
        <v>175.34673814039604</v>
      </c>
      <c r="AL67" s="47">
        <f t="shared" si="4"/>
        <v>0</v>
      </c>
    </row>
    <row r="68" spans="1:38" x14ac:dyDescent="0.25">
      <c r="A68" s="18"/>
      <c r="B68" s="18" t="s">
        <v>13</v>
      </c>
      <c r="C68" s="18" t="s">
        <v>82</v>
      </c>
      <c r="D68" s="18" t="s">
        <v>241</v>
      </c>
      <c r="E68" s="18" t="s">
        <v>243</v>
      </c>
      <c r="F68" s="18" t="s">
        <v>6</v>
      </c>
      <c r="G68" s="18" t="s">
        <v>130</v>
      </c>
      <c r="H68" s="18" t="s">
        <v>33</v>
      </c>
      <c r="I68" s="18" t="s">
        <v>34</v>
      </c>
      <c r="J68" s="18">
        <v>8760</v>
      </c>
      <c r="K68" s="19">
        <v>0.38096819999999998</v>
      </c>
      <c r="L68" s="18"/>
      <c r="M68" s="20"/>
      <c r="N68" s="20">
        <f>13721.03129/1000</f>
        <v>13.721031290000001</v>
      </c>
      <c r="O68" s="21">
        <v>133.5230182</v>
      </c>
      <c r="P68" s="18">
        <v>40</v>
      </c>
      <c r="Q68" s="21">
        <v>6.6000000000000003E-2</v>
      </c>
      <c r="R68" s="18"/>
      <c r="S68" s="18"/>
      <c r="T68" s="25">
        <f>T8+T20+T32+T44+T56</f>
        <v>264372.46999899996</v>
      </c>
      <c r="U68" s="25">
        <f>U8+U20+U32+U44+U56</f>
        <v>0</v>
      </c>
      <c r="V68" s="25">
        <f t="shared" ref="V68:W68" si="9">V8+V20+V32+V44+V56</f>
        <v>0</v>
      </c>
      <c r="W68" s="25">
        <f t="shared" si="9"/>
        <v>0</v>
      </c>
      <c r="X68" s="1">
        <f>CarriersTech_characteristics!$G$2</f>
        <v>17.207187650000002</v>
      </c>
      <c r="Y68" s="1">
        <f>CarriersTech_characteristics!$H$28*1000</f>
        <v>1942097.6230000001</v>
      </c>
      <c r="Z68" s="18"/>
      <c r="AA68" s="18"/>
      <c r="AC68" s="1">
        <f>1/K68/(1-Q68)</f>
        <v>2.8103758044980376</v>
      </c>
      <c r="AD68" s="31"/>
      <c r="AE68" s="37">
        <f>Y68/(X68*Conversions!$D$2)</f>
        <v>0.40631575182871843</v>
      </c>
      <c r="AF68" s="22"/>
      <c r="AG68" s="18"/>
      <c r="AH68" s="18"/>
      <c r="AI68" s="18"/>
      <c r="AJ68" s="18"/>
      <c r="AK68" s="18"/>
      <c r="AL68" s="18"/>
    </row>
    <row r="69" spans="1:38" s="18" customFormat="1" x14ac:dyDescent="0.25">
      <c r="B69" s="18" t="s">
        <v>14</v>
      </c>
      <c r="C69" s="18" t="s">
        <v>82</v>
      </c>
      <c r="D69" s="18" t="s">
        <v>241</v>
      </c>
      <c r="E69" s="18" t="s">
        <v>248</v>
      </c>
      <c r="F69" s="18" t="s">
        <v>6</v>
      </c>
      <c r="G69" s="18" t="s">
        <v>130</v>
      </c>
      <c r="H69" s="18" t="s">
        <v>35</v>
      </c>
      <c r="I69" s="18" t="s">
        <v>34</v>
      </c>
      <c r="J69" s="18">
        <v>8760</v>
      </c>
      <c r="K69" s="19">
        <v>0.40444272199999998</v>
      </c>
      <c r="L69" s="18">
        <v>0.85</v>
      </c>
      <c r="M69" s="20">
        <f>8512.22780274884/1000</f>
        <v>8.5122278027488392</v>
      </c>
      <c r="N69" s="20">
        <f>8512.227803/1000</f>
        <v>8.512227803</v>
      </c>
      <c r="O69" s="21">
        <v>0</v>
      </c>
      <c r="P69" s="18">
        <v>25</v>
      </c>
      <c r="Q69" s="21">
        <v>0.02</v>
      </c>
      <c r="R69" s="18">
        <v>0.9</v>
      </c>
      <c r="S69" s="18">
        <v>0.9</v>
      </c>
      <c r="T69" s="25">
        <f t="shared" ref="T69:W69" si="10">T9+T21+T33+T45+T57</f>
        <v>31397.200000000001</v>
      </c>
      <c r="U69" s="25">
        <f t="shared" ref="U69:U79" si="11">U9+U21+U33+U45+U57</f>
        <v>0</v>
      </c>
      <c r="V69" s="25">
        <f t="shared" si="10"/>
        <v>0</v>
      </c>
      <c r="W69" s="25">
        <f t="shared" si="10"/>
        <v>0</v>
      </c>
      <c r="X69" s="1">
        <f>CarriersTech_characteristics!$G$3</f>
        <v>37.681199999999997</v>
      </c>
      <c r="Y69" s="1">
        <f>CarriersTech_characteristics!$H$3*1000</f>
        <v>3025024.5490000001</v>
      </c>
      <c r="AB69" s="42"/>
      <c r="AC69" s="1">
        <f>1/K69/(1-Q69)</f>
        <v>2.5229979617863072</v>
      </c>
      <c r="AD69" s="31"/>
      <c r="AE69" s="37">
        <f>(Y69*Conversions!$D$3)/(X69*Conversions!$D$2)</f>
        <v>0.23958587284408495</v>
      </c>
      <c r="AH69" s="20"/>
      <c r="AK69" s="23"/>
    </row>
    <row r="70" spans="1:38" s="18" customFormat="1" x14ac:dyDescent="0.25">
      <c r="B70" s="18" t="s">
        <v>16</v>
      </c>
      <c r="C70" s="18" t="s">
        <v>82</v>
      </c>
      <c r="D70" s="18" t="s">
        <v>241</v>
      </c>
      <c r="F70" s="18" t="s">
        <v>6</v>
      </c>
      <c r="G70" s="18" t="s">
        <v>130</v>
      </c>
      <c r="H70" s="18" t="s">
        <v>35</v>
      </c>
      <c r="I70" s="18" t="s">
        <v>34</v>
      </c>
      <c r="J70" s="18">
        <v>8760</v>
      </c>
      <c r="K70" s="19">
        <v>0.28070162799999998</v>
      </c>
      <c r="L70" s="18">
        <v>0.85</v>
      </c>
      <c r="M70" s="20">
        <f>6679.75064927145/1000</f>
        <v>6.6797506492714502</v>
      </c>
      <c r="N70" s="20">
        <f>6679.750649/1000</f>
        <v>6.6797506489999998</v>
      </c>
      <c r="O70" s="21">
        <v>0</v>
      </c>
      <c r="P70" s="18">
        <v>25</v>
      </c>
      <c r="Q70" s="21">
        <v>0.01</v>
      </c>
      <c r="R70" s="18">
        <v>1</v>
      </c>
      <c r="S70" s="18">
        <v>1</v>
      </c>
      <c r="T70" s="25">
        <f t="shared" ref="T70:W70" si="12">T10+T22+T34+T46+T58</f>
        <v>0</v>
      </c>
      <c r="U70" s="25">
        <f t="shared" si="11"/>
        <v>0</v>
      </c>
      <c r="V70" s="25">
        <f t="shared" si="12"/>
        <v>0</v>
      </c>
      <c r="W70" s="25">
        <f t="shared" si="12"/>
        <v>0</v>
      </c>
      <c r="X70" s="1">
        <f>CarriersTech_characteristics!$G$3</f>
        <v>37.681199999999997</v>
      </c>
      <c r="Y70" s="1">
        <f>CarriersTech_characteristics!$H$3*1000</f>
        <v>3025024.5490000001</v>
      </c>
      <c r="AB70" s="42"/>
      <c r="AC70" s="1">
        <f>1/K70/(1-Q70)</f>
        <v>3.5984864687033813</v>
      </c>
      <c r="AD70" s="31"/>
      <c r="AE70" s="37">
        <f>(Y70*Conversions!$D$3)/(X70*Conversions!$D$2)</f>
        <v>0.23958587284408495</v>
      </c>
      <c r="AH70" s="20"/>
      <c r="AK70" s="23"/>
    </row>
    <row r="71" spans="1:38" s="18" customFormat="1" x14ac:dyDescent="0.25">
      <c r="B71" s="18" t="s">
        <v>17</v>
      </c>
      <c r="C71" s="18" t="s">
        <v>82</v>
      </c>
      <c r="D71" s="18" t="s">
        <v>241</v>
      </c>
      <c r="E71" s="18" t="s">
        <v>249</v>
      </c>
      <c r="F71" s="18" t="s">
        <v>6</v>
      </c>
      <c r="G71" s="18" t="s">
        <v>130</v>
      </c>
      <c r="H71" s="18" t="s">
        <v>36</v>
      </c>
      <c r="I71" s="18" t="s">
        <v>34</v>
      </c>
      <c r="J71" s="18">
        <v>8760</v>
      </c>
      <c r="K71" s="19">
        <v>1</v>
      </c>
      <c r="L71" s="18">
        <v>0.70916666699999997</v>
      </c>
      <c r="M71" s="20">
        <f>20833.2103478327/1000</f>
        <v>20.833210347832701</v>
      </c>
      <c r="N71" s="20">
        <f>20833.21035/1000</f>
        <v>20.833210350000002</v>
      </c>
      <c r="O71" s="21">
        <v>0</v>
      </c>
      <c r="P71" s="18">
        <v>40</v>
      </c>
      <c r="Q71" s="21">
        <v>0.10780000000000001</v>
      </c>
      <c r="R71" s="18">
        <v>0.01</v>
      </c>
      <c r="S71" s="18">
        <v>0.01</v>
      </c>
      <c r="T71" s="25">
        <f t="shared" ref="T71:W71" si="13">T11+T23+T35+T47+T59</f>
        <v>8180.0099999999993</v>
      </c>
      <c r="U71" s="25">
        <f t="shared" si="11"/>
        <v>0</v>
      </c>
      <c r="V71" s="25">
        <f t="shared" si="13"/>
        <v>0</v>
      </c>
      <c r="W71" s="25">
        <f t="shared" si="13"/>
        <v>0</v>
      </c>
      <c r="X71" s="33"/>
      <c r="Y71" s="33"/>
      <c r="AB71" s="42"/>
      <c r="AC71" s="1">
        <f>1/K71/(1-Q71)</f>
        <v>1.1208249271463797</v>
      </c>
      <c r="AD71" s="31"/>
      <c r="AE71" s="32"/>
      <c r="AH71" s="20"/>
      <c r="AK71" s="23"/>
    </row>
    <row r="72" spans="1:38" s="18" customFormat="1" x14ac:dyDescent="0.25">
      <c r="B72" s="18" t="s">
        <v>22</v>
      </c>
      <c r="C72" s="18" t="s">
        <v>82</v>
      </c>
      <c r="D72" s="18" t="s">
        <v>241</v>
      </c>
      <c r="F72" s="18" t="s">
        <v>6</v>
      </c>
      <c r="G72" s="18" t="s">
        <v>130</v>
      </c>
      <c r="H72" s="18" t="s">
        <v>36</v>
      </c>
      <c r="I72" s="18" t="s">
        <v>34</v>
      </c>
      <c r="J72" s="18">
        <v>8760</v>
      </c>
      <c r="K72" s="19">
        <v>1</v>
      </c>
      <c r="L72" s="18">
        <v>0.70916666699999997</v>
      </c>
      <c r="M72" s="20"/>
      <c r="N72" s="20">
        <f>35289.42939/1000</f>
        <v>35.289429389999995</v>
      </c>
      <c r="O72" s="21">
        <v>0</v>
      </c>
      <c r="P72" s="18">
        <v>30</v>
      </c>
      <c r="Q72" s="21">
        <v>0.05</v>
      </c>
      <c r="R72" s="18">
        <v>0.01</v>
      </c>
      <c r="S72" s="18">
        <v>0.01</v>
      </c>
      <c r="T72" s="25">
        <f t="shared" ref="T72:W72" si="14">T12+T24+T36+T48+T60</f>
        <v>0</v>
      </c>
      <c r="U72" s="25">
        <f t="shared" si="11"/>
        <v>0</v>
      </c>
      <c r="V72" s="25">
        <f t="shared" si="14"/>
        <v>0</v>
      </c>
      <c r="W72" s="25">
        <f t="shared" si="14"/>
        <v>0</v>
      </c>
      <c r="X72" s="33"/>
      <c r="Y72" s="33"/>
      <c r="AB72" s="42"/>
      <c r="AC72" s="1">
        <f>1/K72/(1-Q72)</f>
        <v>1.0526315789473684</v>
      </c>
      <c r="AD72" s="31"/>
      <c r="AE72" s="32"/>
      <c r="AH72" s="20"/>
      <c r="AK72" s="23"/>
    </row>
    <row r="73" spans="1:38" s="18" customFormat="1" x14ac:dyDescent="0.25">
      <c r="B73" s="18" t="s">
        <v>15</v>
      </c>
      <c r="C73" s="18" t="s">
        <v>82</v>
      </c>
      <c r="D73" s="18" t="s">
        <v>245</v>
      </c>
      <c r="E73" s="18" t="s">
        <v>246</v>
      </c>
      <c r="F73" s="18" t="s">
        <v>6</v>
      </c>
      <c r="G73" s="18" t="s">
        <v>130</v>
      </c>
      <c r="H73" s="18" t="s">
        <v>37</v>
      </c>
      <c r="I73" s="18" t="s">
        <v>34</v>
      </c>
      <c r="J73" s="18">
        <v>8760</v>
      </c>
      <c r="K73" s="19">
        <v>1</v>
      </c>
      <c r="L73" s="18">
        <v>1</v>
      </c>
      <c r="M73" s="20">
        <f>19631.8145207228/1000</f>
        <v>19.631814520722802</v>
      </c>
      <c r="N73" s="20">
        <f>19631.81452/1000</f>
        <v>19.631814519999999</v>
      </c>
      <c r="O73" s="21">
        <v>0</v>
      </c>
      <c r="P73" s="18">
        <v>40</v>
      </c>
      <c r="Q73" s="21">
        <v>6.0000000000000001E-3</v>
      </c>
      <c r="R73" s="18">
        <v>1</v>
      </c>
      <c r="S73" s="18">
        <v>1</v>
      </c>
      <c r="T73" s="25">
        <f t="shared" ref="T73:W73" si="15">T13+T25+T37+T49+T61</f>
        <v>46491.18</v>
      </c>
      <c r="U73" s="25">
        <f t="shared" si="11"/>
        <v>0</v>
      </c>
      <c r="V73" s="25">
        <f t="shared" si="15"/>
        <v>0</v>
      </c>
      <c r="W73" s="25">
        <f t="shared" si="15"/>
        <v>0</v>
      </c>
      <c r="X73" s="31"/>
      <c r="Y73" s="34"/>
      <c r="AB73" s="42"/>
      <c r="AC73" s="30"/>
      <c r="AD73" s="1">
        <f>K73-Q73</f>
        <v>0.99399999999999999</v>
      </c>
      <c r="AE73" s="30"/>
      <c r="AH73" s="20"/>
      <c r="AK73" s="23"/>
    </row>
    <row r="74" spans="1:38" s="18" customFormat="1" x14ac:dyDescent="0.25">
      <c r="B74" s="18" t="s">
        <v>18</v>
      </c>
      <c r="C74" s="18" t="s">
        <v>82</v>
      </c>
      <c r="D74" s="18" t="s">
        <v>245</v>
      </c>
      <c r="E74" s="18" t="s">
        <v>247</v>
      </c>
      <c r="F74" s="18" t="s">
        <v>6</v>
      </c>
      <c r="G74" s="18" t="s">
        <v>130</v>
      </c>
      <c r="H74" s="18" t="s">
        <v>37</v>
      </c>
      <c r="I74" s="18" t="s">
        <v>34</v>
      </c>
      <c r="J74" s="18">
        <v>8760</v>
      </c>
      <c r="K74" s="19">
        <v>1</v>
      </c>
      <c r="L74" s="18">
        <v>1</v>
      </c>
      <c r="M74" s="20">
        <f>11825.3487554956/1000</f>
        <v>11.825348755495598</v>
      </c>
      <c r="N74" s="20">
        <f>11825.34876/1000</f>
        <v>11.825348760000001</v>
      </c>
      <c r="O74" s="21">
        <v>0</v>
      </c>
      <c r="P74" s="18">
        <v>35</v>
      </c>
      <c r="Q74" s="21">
        <v>0.01</v>
      </c>
      <c r="R74" s="18">
        <v>1</v>
      </c>
      <c r="S74" s="18">
        <v>1</v>
      </c>
      <c r="T74" s="25">
        <f t="shared" ref="T74:W74" si="16">T14+T26+T38+T50+T62</f>
        <v>4939.05</v>
      </c>
      <c r="U74" s="25">
        <f t="shared" si="11"/>
        <v>0</v>
      </c>
      <c r="V74" s="25">
        <f t="shared" si="16"/>
        <v>0</v>
      </c>
      <c r="W74" s="25">
        <f t="shared" si="16"/>
        <v>0</v>
      </c>
      <c r="X74" s="31"/>
      <c r="Y74" s="34"/>
      <c r="AB74" s="42"/>
      <c r="AC74" s="30"/>
      <c r="AD74" s="1">
        <f>K74-Q74</f>
        <v>0.99</v>
      </c>
      <c r="AE74" s="30"/>
      <c r="AH74" s="20"/>
      <c r="AK74" s="23"/>
    </row>
    <row r="75" spans="1:38" s="18" customFormat="1" x14ac:dyDescent="0.25">
      <c r="B75" s="18" t="s">
        <v>7</v>
      </c>
      <c r="C75" s="18" t="s">
        <v>82</v>
      </c>
      <c r="D75" s="18" t="s">
        <v>241</v>
      </c>
      <c r="E75" s="18" t="s">
        <v>244</v>
      </c>
      <c r="F75" s="18" t="s">
        <v>6</v>
      </c>
      <c r="G75" s="18" t="s">
        <v>130</v>
      </c>
      <c r="H75" s="18" t="s">
        <v>38</v>
      </c>
      <c r="I75" s="18" t="s">
        <v>34</v>
      </c>
      <c r="J75" s="18">
        <v>8760</v>
      </c>
      <c r="K75" s="19">
        <v>0.238845897</v>
      </c>
      <c r="L75" s="18">
        <v>1</v>
      </c>
      <c r="M75" s="20">
        <f>7713.45723965334/1000</f>
        <v>7.7134572396533407</v>
      </c>
      <c r="N75" s="20">
        <f>7713.45724/1000</f>
        <v>7.7134572399999994</v>
      </c>
      <c r="O75" s="21">
        <v>0</v>
      </c>
      <c r="P75" s="18">
        <v>20</v>
      </c>
      <c r="Q75" s="21">
        <v>0.1</v>
      </c>
      <c r="R75" s="18">
        <v>0.06</v>
      </c>
      <c r="S75" s="18">
        <v>0.06</v>
      </c>
      <c r="T75" s="25">
        <f t="shared" ref="T75:W75" si="17">T15+T27+T39+T51+T63</f>
        <v>10830.04</v>
      </c>
      <c r="U75" s="25">
        <f t="shared" si="11"/>
        <v>0</v>
      </c>
      <c r="V75" s="25">
        <f t="shared" si="17"/>
        <v>0</v>
      </c>
      <c r="W75" s="25">
        <f t="shared" si="17"/>
        <v>0</v>
      </c>
      <c r="X75" s="1">
        <f>CarriersTech_characteristics!$G$7</f>
        <v>13.648968</v>
      </c>
      <c r="Y75" s="1">
        <f>CarriersTech_characteristics!$H$5*1000</f>
        <v>1656436.6880000001</v>
      </c>
      <c r="Z75" s="26"/>
      <c r="AB75" s="42"/>
      <c r="AC75" s="1">
        <f>1/K75/(1-Q75)</f>
        <v>4.6519999927447406</v>
      </c>
      <c r="AD75" s="31"/>
      <c r="AE75" s="36">
        <f>Y75/(X75*Conversions!$D$2)</f>
        <v>0.43689545093040172</v>
      </c>
      <c r="AH75" s="20"/>
      <c r="AK75" s="23"/>
    </row>
    <row r="76" spans="1:38" s="18" customFormat="1" x14ac:dyDescent="0.25">
      <c r="B76" s="18" t="s">
        <v>19</v>
      </c>
      <c r="C76" s="18" t="s">
        <v>82</v>
      </c>
      <c r="D76" s="18" t="s">
        <v>253</v>
      </c>
      <c r="E76" s="18" t="s">
        <v>250</v>
      </c>
      <c r="F76" s="18" t="s">
        <v>6</v>
      </c>
      <c r="G76" s="18" t="s">
        <v>130</v>
      </c>
      <c r="H76" s="18" t="s">
        <v>39</v>
      </c>
      <c r="I76" s="18" t="s">
        <v>34</v>
      </c>
      <c r="J76" s="18">
        <v>8760</v>
      </c>
      <c r="K76" s="19">
        <v>1</v>
      </c>
      <c r="L76" s="18">
        <v>1</v>
      </c>
      <c r="M76" s="20">
        <f>5630.98419436319/1000</f>
        <v>5.6309841943631902</v>
      </c>
      <c r="N76" s="20">
        <f>5439.705856/1000</f>
        <v>5.4397058559999998</v>
      </c>
      <c r="O76" s="21">
        <v>0</v>
      </c>
      <c r="P76" s="18">
        <v>25</v>
      </c>
      <c r="Q76" s="21">
        <v>0.01</v>
      </c>
      <c r="R76" s="18">
        <v>1</v>
      </c>
      <c r="S76" s="18">
        <v>1</v>
      </c>
      <c r="T76" s="25">
        <f t="shared" ref="T76:W76" si="18">T16+T28+T40+T52+T64</f>
        <v>58366.792573999992</v>
      </c>
      <c r="U76" s="25">
        <f t="shared" si="11"/>
        <v>0</v>
      </c>
      <c r="V76" s="25">
        <f t="shared" si="18"/>
        <v>0</v>
      </c>
      <c r="W76" s="25">
        <f t="shared" si="18"/>
        <v>0</v>
      </c>
      <c r="X76" s="31"/>
      <c r="Y76" s="35" t="s">
        <v>265</v>
      </c>
      <c r="AB76" s="42"/>
      <c r="AC76" s="31">
        <v>1</v>
      </c>
      <c r="AD76" s="31"/>
      <c r="AE76" s="30"/>
      <c r="AH76" s="20"/>
      <c r="AK76" s="23"/>
    </row>
    <row r="77" spans="1:38" s="18" customFormat="1" x14ac:dyDescent="0.25">
      <c r="B77" s="18" t="s">
        <v>20</v>
      </c>
      <c r="C77" s="18" t="s">
        <v>82</v>
      </c>
      <c r="D77" s="18" t="s">
        <v>253</v>
      </c>
      <c r="E77" s="18" t="s">
        <v>251</v>
      </c>
      <c r="F77" s="18" t="s">
        <v>6</v>
      </c>
      <c r="G77" s="18" t="s">
        <v>130</v>
      </c>
      <c r="H77" s="18" t="s">
        <v>39</v>
      </c>
      <c r="I77" s="18" t="s">
        <v>34</v>
      </c>
      <c r="J77" s="18">
        <v>8760</v>
      </c>
      <c r="K77" s="19">
        <v>1</v>
      </c>
      <c r="L77" s="18">
        <v>1</v>
      </c>
      <c r="M77" s="20">
        <f>5542.18769541597/1000</f>
        <v>5.5421876954159695</v>
      </c>
      <c r="N77" s="20">
        <f>5362.133837/1000</f>
        <v>5.362133837</v>
      </c>
      <c r="O77" s="21">
        <v>0</v>
      </c>
      <c r="P77" s="18">
        <v>25</v>
      </c>
      <c r="Q77" s="21">
        <v>6.0000000000000001E-3</v>
      </c>
      <c r="R77" s="18">
        <v>1</v>
      </c>
      <c r="S77" s="18">
        <v>1</v>
      </c>
      <c r="T77" s="25">
        <f t="shared" ref="T77:W77" si="19">T17+T29+T41+T53+T65</f>
        <v>9468.2674249999982</v>
      </c>
      <c r="U77" s="25">
        <f t="shared" si="11"/>
        <v>0</v>
      </c>
      <c r="V77" s="25">
        <f t="shared" si="19"/>
        <v>0</v>
      </c>
      <c r="W77" s="25">
        <f t="shared" si="19"/>
        <v>0</v>
      </c>
      <c r="X77" s="31"/>
      <c r="Y77" s="31"/>
      <c r="AB77" s="42"/>
      <c r="AC77" s="31">
        <v>1</v>
      </c>
      <c r="AD77" s="31"/>
      <c r="AE77" s="30"/>
      <c r="AH77" s="20"/>
      <c r="AK77" s="23"/>
    </row>
    <row r="78" spans="1:38" s="18" customFormat="1" x14ac:dyDescent="0.25">
      <c r="B78" s="18" t="s">
        <v>21</v>
      </c>
      <c r="C78" s="18" t="s">
        <v>82</v>
      </c>
      <c r="D78" s="18" t="s">
        <v>253</v>
      </c>
      <c r="E78" s="18" t="s">
        <v>252</v>
      </c>
      <c r="F78" s="18" t="s">
        <v>6</v>
      </c>
      <c r="G78" s="18" t="s">
        <v>130</v>
      </c>
      <c r="H78" s="18" t="s">
        <v>40</v>
      </c>
      <c r="I78" s="18" t="s">
        <v>34</v>
      </c>
      <c r="J78" s="18">
        <v>8760</v>
      </c>
      <c r="K78" s="19">
        <v>1</v>
      </c>
      <c r="L78" s="18">
        <v>1</v>
      </c>
      <c r="M78" s="20">
        <f>10659.4302732183/1000</f>
        <v>10.6594302732183</v>
      </c>
      <c r="N78" s="20">
        <f>10586.96446/1000</f>
        <v>10.586964459999999</v>
      </c>
      <c r="O78" s="21">
        <v>0</v>
      </c>
      <c r="P78" s="18">
        <v>25</v>
      </c>
      <c r="Q78" s="21">
        <v>5.0000000000000001E-3</v>
      </c>
      <c r="R78" s="18">
        <v>1</v>
      </c>
      <c r="S78" s="18">
        <v>1</v>
      </c>
      <c r="T78" s="25">
        <f t="shared" ref="T78:W78" si="20">T18+T30+T42+T54+T66</f>
        <v>46169.83</v>
      </c>
      <c r="U78" s="25">
        <f t="shared" si="11"/>
        <v>0</v>
      </c>
      <c r="V78" s="25">
        <f t="shared" si="20"/>
        <v>0</v>
      </c>
      <c r="W78" s="25">
        <f t="shared" si="20"/>
        <v>0</v>
      </c>
      <c r="X78" s="31"/>
      <c r="Y78" s="31"/>
      <c r="AB78" s="42"/>
      <c r="AC78" s="31">
        <v>1</v>
      </c>
      <c r="AD78" s="31"/>
      <c r="AE78" s="30"/>
      <c r="AH78" s="20"/>
      <c r="AK78" s="23"/>
    </row>
    <row r="79" spans="1:38" s="18" customFormat="1" x14ac:dyDescent="0.25">
      <c r="B79" s="18" t="s">
        <v>23</v>
      </c>
      <c r="C79" s="18" t="s">
        <v>82</v>
      </c>
      <c r="D79" s="18" t="s">
        <v>253</v>
      </c>
      <c r="F79" s="18" t="s">
        <v>6</v>
      </c>
      <c r="G79" s="18" t="s">
        <v>130</v>
      </c>
      <c r="H79" s="18" t="s">
        <v>40</v>
      </c>
      <c r="I79" s="18" t="s">
        <v>34</v>
      </c>
      <c r="J79" s="18">
        <v>8760</v>
      </c>
      <c r="K79" s="19">
        <v>1</v>
      </c>
      <c r="L79" s="18">
        <v>1</v>
      </c>
      <c r="M79" s="20"/>
      <c r="N79" s="20">
        <f>34540.36167/1000</f>
        <v>34.540361669999996</v>
      </c>
      <c r="O79" s="21">
        <v>0</v>
      </c>
      <c r="P79" s="18">
        <v>25</v>
      </c>
      <c r="Q79" s="21">
        <v>5.0000000000000001E-3</v>
      </c>
      <c r="R79" s="18">
        <v>1</v>
      </c>
      <c r="S79" s="18">
        <v>1</v>
      </c>
      <c r="T79" s="25">
        <f t="shared" ref="T79:W79" si="21">T19+T31+T43+T55+T67</f>
        <v>0</v>
      </c>
      <c r="U79" s="25">
        <f t="shared" si="11"/>
        <v>0</v>
      </c>
      <c r="V79" s="25">
        <f t="shared" si="21"/>
        <v>0</v>
      </c>
      <c r="W79" s="25">
        <f t="shared" si="21"/>
        <v>0</v>
      </c>
      <c r="X79" s="31"/>
      <c r="Y79" s="31"/>
      <c r="AB79" s="42"/>
      <c r="AC79" s="31">
        <v>1</v>
      </c>
      <c r="AD79" s="31"/>
      <c r="AE79" s="30"/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89" spans="8:8" x14ac:dyDescent="0.25">
      <c r="H89" s="1"/>
    </row>
    <row r="90" spans="8:8" x14ac:dyDescent="0.25">
      <c r="H90" s="1"/>
    </row>
    <row r="91" spans="8:8" x14ac:dyDescent="0.25">
      <c r="H91" s="1"/>
    </row>
    <row r="92" spans="8:8" x14ac:dyDescent="0.25">
      <c r="H92" s="1"/>
    </row>
    <row r="93" spans="8:8" x14ac:dyDescent="0.25">
      <c r="H93" s="1"/>
    </row>
    <row r="94" spans="8:8" x14ac:dyDescent="0.25">
      <c r="H94" s="1"/>
    </row>
    <row r="95" spans="8:8" x14ac:dyDescent="0.25">
      <c r="H95" s="1"/>
    </row>
    <row r="96" spans="8:8" x14ac:dyDescent="0.25">
      <c r="H96" s="1"/>
    </row>
    <row r="97" spans="8:8" x14ac:dyDescent="0.25">
      <c r="H97" s="1"/>
    </row>
    <row r="98" spans="8:8" x14ac:dyDescent="0.25">
      <c r="H98" s="1"/>
    </row>
    <row r="99" spans="8:8" x14ac:dyDescent="0.25">
      <c r="H99" s="1"/>
    </row>
    <row r="100" spans="8:8" x14ac:dyDescent="0.25">
      <c r="H100" s="1"/>
    </row>
    <row r="101" spans="8:8" x14ac:dyDescent="0.25">
      <c r="H101" s="1"/>
    </row>
    <row r="102" spans="8:8" x14ac:dyDescent="0.25">
      <c r="H102" s="1"/>
    </row>
    <row r="103" spans="8:8" x14ac:dyDescent="0.25">
      <c r="H103" s="1"/>
    </row>
    <row r="104" spans="8:8" x14ac:dyDescent="0.25">
      <c r="H104" s="1"/>
    </row>
  </sheetData>
  <sortState xmlns:xlrd2="http://schemas.microsoft.com/office/spreadsheetml/2017/richdata2" ref="B23:AK67">
    <sortCondition ref="C23:C67"/>
  </sortState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B800-7660-4A55-809A-F775AB2D0288}">
  <dimension ref="A1:AL104"/>
  <sheetViews>
    <sheetView workbookViewId="0">
      <pane xSplit="3" ySplit="7" topLeftCell="V8" activePane="bottomRight" state="frozen"/>
      <selection pane="topRight" activeCell="C1" sqref="C1"/>
      <selection pane="bottomLeft" activeCell="A7" sqref="A7"/>
      <selection pane="bottomRight" activeCell="AJ9" sqref="AJ9"/>
    </sheetView>
  </sheetViews>
  <sheetFormatPr defaultRowHeight="15" x14ac:dyDescent="0.25"/>
  <cols>
    <col min="2" max="2" width="16.5703125" bestFit="1" customWidth="1"/>
    <col min="3" max="3" width="6" customWidth="1"/>
    <col min="4" max="4" width="13.85546875" bestFit="1" customWidth="1"/>
    <col min="5" max="5" width="14.85546875" bestFit="1" customWidth="1"/>
    <col min="6" max="6" width="16" bestFit="1" customWidth="1"/>
    <col min="7" max="7" width="12.140625" bestFit="1" customWidth="1"/>
    <col min="8" max="8" width="15.7109375" bestFit="1" customWidth="1"/>
    <col min="9" max="9" width="11.42578125" bestFit="1" customWidth="1"/>
    <col min="10" max="10" width="11.42578125" customWidth="1"/>
    <col min="11" max="11" width="8.28515625" bestFit="1" customWidth="1"/>
    <col min="12" max="12" width="13.140625" bestFit="1" customWidth="1"/>
    <col min="13" max="13" width="18.140625" customWidth="1"/>
    <col min="14" max="14" width="18.42578125" customWidth="1"/>
    <col min="15" max="15" width="14" customWidth="1"/>
    <col min="16" max="16" width="8.5703125" bestFit="1" customWidth="1"/>
    <col min="17" max="17" width="9.28515625" bestFit="1" customWidth="1"/>
    <col min="18" max="18" width="11.42578125" customWidth="1"/>
    <col min="19" max="19" width="13.85546875" customWidth="1"/>
    <col min="20" max="20" width="14.7109375" customWidth="1"/>
    <col min="21" max="21" width="10.140625" customWidth="1"/>
    <col min="22" max="22" width="12" customWidth="1"/>
    <col min="23" max="23" width="12.42578125" customWidth="1"/>
    <col min="24" max="24" width="18.7109375" bestFit="1" customWidth="1"/>
    <col min="25" max="25" width="19.42578125" bestFit="1" customWidth="1"/>
    <col min="28" max="28" width="10.140625" style="42" customWidth="1"/>
    <col min="29" max="29" width="17.42578125" bestFit="1" customWidth="1"/>
    <col min="30" max="30" width="17.42578125" customWidth="1"/>
    <col min="31" max="31" width="16.140625" bestFit="1" customWidth="1"/>
    <col min="32" max="32" width="20.28515625" customWidth="1"/>
    <col min="34" max="34" width="18.7109375" customWidth="1"/>
    <col min="37" max="37" width="9.5703125" bestFit="1" customWidth="1"/>
    <col min="38" max="38" width="16.5703125" bestFit="1" customWidth="1"/>
  </cols>
  <sheetData>
    <row r="1" spans="1:38" s="7" customFormat="1" x14ac:dyDescent="0.25">
      <c r="A1" s="7" t="s">
        <v>146</v>
      </c>
      <c r="G1" s="7" t="s">
        <v>179</v>
      </c>
      <c r="H1" s="7" t="s">
        <v>179</v>
      </c>
      <c r="I1" s="7" t="s">
        <v>179</v>
      </c>
      <c r="J1" s="7" t="s">
        <v>179</v>
      </c>
      <c r="K1" s="7" t="s">
        <v>145</v>
      </c>
      <c r="L1" s="7" t="s">
        <v>145</v>
      </c>
      <c r="M1" s="7" t="s">
        <v>145</v>
      </c>
      <c r="N1" s="7" t="s">
        <v>145</v>
      </c>
      <c r="O1" s="7" t="s">
        <v>145</v>
      </c>
      <c r="P1" s="7" t="s">
        <v>150</v>
      </c>
      <c r="Q1" s="7" t="s">
        <v>151</v>
      </c>
      <c r="R1" s="7" t="s">
        <v>151</v>
      </c>
      <c r="S1" s="7" t="s">
        <v>151</v>
      </c>
      <c r="T1" s="7" t="s">
        <v>152</v>
      </c>
      <c r="V1" s="7" t="s">
        <v>153</v>
      </c>
      <c r="W1" s="7" t="s">
        <v>153</v>
      </c>
      <c r="X1" s="7" t="s">
        <v>264</v>
      </c>
      <c r="Y1" s="7" t="s">
        <v>263</v>
      </c>
      <c r="Z1" s="7" t="s">
        <v>277</v>
      </c>
      <c r="AA1" s="7" t="s">
        <v>277</v>
      </c>
      <c r="AB1" s="38"/>
    </row>
    <row r="2" spans="1:38" s="27" customFormat="1" x14ac:dyDescent="0.25">
      <c r="A2" s="27" t="s">
        <v>224</v>
      </c>
      <c r="B2" s="27" t="s">
        <v>0</v>
      </c>
      <c r="C2" s="27" t="s">
        <v>2</v>
      </c>
      <c r="F2" s="27" t="s">
        <v>1</v>
      </c>
      <c r="G2" s="27" t="s">
        <v>29</v>
      </c>
      <c r="H2" s="27" t="s">
        <v>30</v>
      </c>
      <c r="I2" s="27" t="s">
        <v>31</v>
      </c>
      <c r="J2" s="27" t="s">
        <v>32</v>
      </c>
      <c r="K2" s="27" t="s">
        <v>4</v>
      </c>
      <c r="L2" s="27" t="s">
        <v>5</v>
      </c>
      <c r="M2" s="27" t="s">
        <v>231</v>
      </c>
      <c r="N2" s="27" t="s">
        <v>231</v>
      </c>
      <c r="O2" s="27" t="s">
        <v>232</v>
      </c>
      <c r="P2" s="27" t="s">
        <v>25</v>
      </c>
      <c r="Q2" s="27" t="s">
        <v>26</v>
      </c>
      <c r="R2" s="27" t="s">
        <v>27</v>
      </c>
      <c r="S2" s="27" t="s">
        <v>28</v>
      </c>
      <c r="T2" s="27" t="s">
        <v>121</v>
      </c>
      <c r="U2" s="27" t="s">
        <v>307</v>
      </c>
      <c r="V2" s="27" t="s">
        <v>236</v>
      </c>
      <c r="W2" s="27" t="s">
        <v>237</v>
      </c>
      <c r="X2" s="27" t="s">
        <v>65</v>
      </c>
      <c r="Y2" s="27" t="s">
        <v>49</v>
      </c>
      <c r="AB2" s="39"/>
    </row>
    <row r="3" spans="1:38" s="7" customFormat="1" x14ac:dyDescent="0.25">
      <c r="A3" s="7" t="s">
        <v>83</v>
      </c>
      <c r="K3" s="7" t="s">
        <v>84</v>
      </c>
      <c r="L3" s="7" t="s">
        <v>85</v>
      </c>
      <c r="M3" s="7" t="s">
        <v>86</v>
      </c>
      <c r="N3" s="7" t="s">
        <v>87</v>
      </c>
      <c r="O3" s="7" t="s">
        <v>88</v>
      </c>
      <c r="P3" s="7" t="s">
        <v>89</v>
      </c>
      <c r="Q3" s="7" t="s">
        <v>90</v>
      </c>
      <c r="R3" s="7" t="s">
        <v>91</v>
      </c>
      <c r="S3" s="7" t="s">
        <v>147</v>
      </c>
      <c r="T3" s="7" t="s">
        <v>92</v>
      </c>
      <c r="U3" s="7" t="s">
        <v>103</v>
      </c>
      <c r="V3" s="7" t="s">
        <v>148</v>
      </c>
      <c r="W3" s="7" t="s">
        <v>104</v>
      </c>
      <c r="X3" s="7" t="s">
        <v>105</v>
      </c>
      <c r="Y3" s="7" t="s">
        <v>149</v>
      </c>
      <c r="Z3" s="7" t="s">
        <v>299</v>
      </c>
      <c r="AA3" s="7" t="s">
        <v>300</v>
      </c>
      <c r="AB3" s="38"/>
      <c r="AC3" s="7" t="s">
        <v>93</v>
      </c>
      <c r="AD3" s="7" t="s">
        <v>94</v>
      </c>
      <c r="AE3" s="7" t="s">
        <v>95</v>
      </c>
      <c r="AF3" s="7" t="s">
        <v>96</v>
      </c>
      <c r="AG3" s="7" t="s">
        <v>97</v>
      </c>
      <c r="AH3" s="7" t="s">
        <v>287</v>
      </c>
      <c r="AI3" s="7" t="s">
        <v>288</v>
      </c>
      <c r="AJ3" s="7" t="s">
        <v>291</v>
      </c>
      <c r="AK3" s="7" t="s">
        <v>292</v>
      </c>
      <c r="AL3" s="7" t="s">
        <v>310</v>
      </c>
    </row>
    <row r="4" spans="1:38" s="7" customFormat="1" x14ac:dyDescent="0.25">
      <c r="A4" s="7" t="s">
        <v>155</v>
      </c>
      <c r="C4" s="7" t="s">
        <v>157</v>
      </c>
      <c r="G4" s="7" t="s">
        <v>228</v>
      </c>
      <c r="H4" s="7" t="s">
        <v>156</v>
      </c>
      <c r="I4" s="7" t="s">
        <v>156</v>
      </c>
      <c r="J4" s="7" t="s">
        <v>180</v>
      </c>
      <c r="K4" s="7" t="s">
        <v>158</v>
      </c>
      <c r="L4" s="7" t="s">
        <v>166</v>
      </c>
      <c r="M4" s="7" t="s">
        <v>159</v>
      </c>
      <c r="N4" s="7" t="s">
        <v>160</v>
      </c>
      <c r="O4" s="7" t="s">
        <v>182</v>
      </c>
      <c r="P4" s="7" t="s">
        <v>161</v>
      </c>
      <c r="Q4" s="7" t="s">
        <v>233</v>
      </c>
      <c r="T4" s="7" t="s">
        <v>162</v>
      </c>
      <c r="U4" s="7" t="s">
        <v>308</v>
      </c>
      <c r="V4" s="7" t="s">
        <v>163</v>
      </c>
      <c r="W4" s="7" t="s">
        <v>164</v>
      </c>
      <c r="X4" s="7" t="s">
        <v>102</v>
      </c>
      <c r="Y4" s="7" t="s">
        <v>102</v>
      </c>
      <c r="Z4" s="7" t="s">
        <v>282</v>
      </c>
      <c r="AA4" s="7" t="s">
        <v>290</v>
      </c>
      <c r="AB4" s="38"/>
      <c r="AC4" s="7" t="s">
        <v>256</v>
      </c>
      <c r="AD4" s="7" t="s">
        <v>260</v>
      </c>
      <c r="AE4" s="7" t="s">
        <v>266</v>
      </c>
      <c r="AH4" s="7" t="s">
        <v>283</v>
      </c>
      <c r="AI4" s="7" t="s">
        <v>286</v>
      </c>
      <c r="AL4" s="7" t="s">
        <v>311</v>
      </c>
    </row>
    <row r="5" spans="1:38" s="7" customFormat="1" x14ac:dyDescent="0.25">
      <c r="A5" s="7" t="s">
        <v>225</v>
      </c>
      <c r="G5" s="7" t="s">
        <v>154</v>
      </c>
      <c r="H5" s="7" t="s">
        <v>102</v>
      </c>
      <c r="M5" s="7" t="s">
        <v>165</v>
      </c>
      <c r="N5" s="7" t="s">
        <v>165</v>
      </c>
      <c r="P5" s="7" t="s">
        <v>102</v>
      </c>
      <c r="R5" s="7" t="s">
        <v>102</v>
      </c>
      <c r="S5" s="7" t="s">
        <v>102</v>
      </c>
      <c r="T5" s="7" t="s">
        <v>309</v>
      </c>
      <c r="U5" s="7" t="s">
        <v>309</v>
      </c>
      <c r="V5" s="7" t="s">
        <v>309</v>
      </c>
      <c r="W5" s="7" t="s">
        <v>309</v>
      </c>
      <c r="AA5" s="7" t="s">
        <v>289</v>
      </c>
      <c r="AB5" s="38"/>
      <c r="AC5" s="7" t="s">
        <v>254</v>
      </c>
      <c r="AD5" s="29" t="s">
        <v>262</v>
      </c>
      <c r="AE5" s="7" t="s">
        <v>301</v>
      </c>
      <c r="AF5" s="7" t="s">
        <v>302</v>
      </c>
      <c r="AG5" s="7" t="s">
        <v>303</v>
      </c>
      <c r="AH5" s="7" t="s">
        <v>281</v>
      </c>
      <c r="AI5" s="7" t="s">
        <v>285</v>
      </c>
      <c r="AJ5" s="7" t="s">
        <v>304</v>
      </c>
      <c r="AK5" s="7" t="s">
        <v>298</v>
      </c>
      <c r="AL5" s="7" t="s">
        <v>312</v>
      </c>
    </row>
    <row r="6" spans="1:38" s="4" customFormat="1" ht="15.75" thickBot="1" x14ac:dyDescent="0.3">
      <c r="A6" s="4" t="s">
        <v>226</v>
      </c>
      <c r="C6" s="4" t="s">
        <v>227</v>
      </c>
      <c r="D6" s="4" t="s">
        <v>240</v>
      </c>
      <c r="E6" s="4" t="s">
        <v>242</v>
      </c>
      <c r="F6" s="28"/>
      <c r="G6" s="28"/>
      <c r="H6" s="4" t="s">
        <v>229</v>
      </c>
      <c r="M6" s="4" t="s">
        <v>230</v>
      </c>
      <c r="N6" s="4" t="s">
        <v>230</v>
      </c>
      <c r="P6" s="4" t="s">
        <v>161</v>
      </c>
      <c r="R6" s="4" t="s">
        <v>234</v>
      </c>
      <c r="S6" s="4" t="s">
        <v>235</v>
      </c>
      <c r="V6" s="4" t="s">
        <v>297</v>
      </c>
      <c r="W6" s="4" t="s">
        <v>239</v>
      </c>
      <c r="AA6" s="4" t="s">
        <v>143</v>
      </c>
      <c r="AB6" s="40"/>
      <c r="AC6" s="4" t="s">
        <v>255</v>
      </c>
      <c r="AD6" s="4" t="s">
        <v>261</v>
      </c>
      <c r="AE6" s="4" t="s">
        <v>258</v>
      </c>
      <c r="AF6" s="4" t="s">
        <v>276</v>
      </c>
      <c r="AG6" s="4" t="s">
        <v>280</v>
      </c>
      <c r="AH6" s="4" t="s">
        <v>230</v>
      </c>
      <c r="AI6" s="4" t="s">
        <v>284</v>
      </c>
      <c r="AJ6" s="4" t="s">
        <v>144</v>
      </c>
      <c r="AK6" s="4" t="s">
        <v>293</v>
      </c>
      <c r="AL6" s="4" t="s">
        <v>238</v>
      </c>
    </row>
    <row r="7" spans="1:38" s="4" customFormat="1" ht="16.5" thickTop="1" thickBot="1" x14ac:dyDescent="0.3">
      <c r="A7" s="4" t="s">
        <v>98</v>
      </c>
      <c r="K7" s="4" t="s">
        <v>99</v>
      </c>
      <c r="L7" s="4" t="s">
        <v>99</v>
      </c>
      <c r="M7" s="4" t="s">
        <v>211</v>
      </c>
      <c r="N7" s="4" t="s">
        <v>211</v>
      </c>
      <c r="O7" s="4" t="s">
        <v>181</v>
      </c>
      <c r="P7" s="4" t="s">
        <v>100</v>
      </c>
      <c r="Q7" s="4" t="s">
        <v>99</v>
      </c>
      <c r="R7" s="4" t="s">
        <v>296</v>
      </c>
      <c r="S7" s="4" t="s">
        <v>296</v>
      </c>
      <c r="T7" s="4" t="s">
        <v>130</v>
      </c>
      <c r="U7" s="4" t="s">
        <v>130</v>
      </c>
      <c r="V7" s="4" t="s">
        <v>130</v>
      </c>
      <c r="W7" s="4" t="s">
        <v>130</v>
      </c>
      <c r="X7" s="4" t="s">
        <v>259</v>
      </c>
      <c r="Y7" s="4" t="s">
        <v>267</v>
      </c>
      <c r="Z7" s="4" t="s">
        <v>278</v>
      </c>
      <c r="AA7" s="4" t="s">
        <v>99</v>
      </c>
      <c r="AB7" s="40"/>
      <c r="AC7" s="4" t="s">
        <v>257</v>
      </c>
      <c r="AD7" s="4" t="s">
        <v>99</v>
      </c>
      <c r="AE7" s="4" t="s">
        <v>131</v>
      </c>
      <c r="AF7" s="4" t="s">
        <v>275</v>
      </c>
      <c r="AG7" s="4" t="s">
        <v>279</v>
      </c>
      <c r="AH7" s="4" t="s">
        <v>279</v>
      </c>
      <c r="AI7" s="4" t="s">
        <v>100</v>
      </c>
      <c r="AJ7" s="4" t="s">
        <v>295</v>
      </c>
      <c r="AK7" s="4" t="s">
        <v>294</v>
      </c>
      <c r="AL7" s="4" t="s">
        <v>130</v>
      </c>
    </row>
    <row r="8" spans="1:38" ht="15.75" thickTop="1" x14ac:dyDescent="0.25">
      <c r="B8" t="s">
        <v>13</v>
      </c>
      <c r="C8" t="s">
        <v>12</v>
      </c>
      <c r="D8" t="s">
        <v>241</v>
      </c>
      <c r="E8" t="s">
        <v>337</v>
      </c>
      <c r="F8" t="s">
        <v>6</v>
      </c>
      <c r="G8" t="s">
        <v>130</v>
      </c>
      <c r="H8" t="s">
        <v>33</v>
      </c>
      <c r="I8" t="s">
        <v>34</v>
      </c>
      <c r="J8">
        <v>8760</v>
      </c>
      <c r="K8" s="5">
        <v>0.38096819999999998</v>
      </c>
      <c r="L8">
        <v>0.85</v>
      </c>
      <c r="M8" s="3">
        <f>11751.5992748699/1000</f>
        <v>11.7515992748699</v>
      </c>
      <c r="N8" s="3">
        <f>13721.03129/1000</f>
        <v>13.721031290000001</v>
      </c>
      <c r="O8" s="1">
        <v>133.5230182</v>
      </c>
      <c r="P8">
        <v>40</v>
      </c>
      <c r="Q8" s="1">
        <v>6.6000000000000003E-2</v>
      </c>
      <c r="R8">
        <v>0.3</v>
      </c>
      <c r="S8">
        <v>0.3</v>
      </c>
      <c r="T8" s="16">
        <f>Capacity!B5*1000</f>
        <v>67226.538983999999</v>
      </c>
      <c r="U8" s="17">
        <f>Capacity!AR5*1000</f>
        <v>220</v>
      </c>
      <c r="V8" s="17">
        <f>Capacity!D5*1000</f>
        <v>0</v>
      </c>
      <c r="W8" s="17">
        <f>Capacity!X5*1000</f>
        <v>0</v>
      </c>
      <c r="X8" s="1">
        <f>CarriersTech_characteristics!$G$2</f>
        <v>17.207187650000002</v>
      </c>
      <c r="Y8" s="1">
        <f>CarriersTech_characteristics!$H$28*1000</f>
        <v>1942097.6230000001</v>
      </c>
      <c r="Z8" s="7">
        <v>3</v>
      </c>
      <c r="AA8">
        <v>0.105</v>
      </c>
      <c r="AB8" s="41"/>
      <c r="AC8" s="1">
        <f>1/K8/(1-Q8)</f>
        <v>2.8103758044980376</v>
      </c>
      <c r="AD8" s="31"/>
      <c r="AE8" s="37">
        <f>Y8/(X8*Conversions!$D$2)</f>
        <v>0.40631575182871843</v>
      </c>
      <c r="AF8" s="11">
        <f>O8/X8/Conversions!$D$2*AC8</f>
        <v>7.8507860294473842E-5</v>
      </c>
      <c r="AG8">
        <f>Z8*Conversions!$D$4</f>
        <v>3.7167527444133723</v>
      </c>
      <c r="AH8" s="3">
        <f t="shared" ref="AH8:AH39" si="0">M8-AG8</f>
        <v>8.0348465304565266</v>
      </c>
      <c r="AI8">
        <f>P8</f>
        <v>40</v>
      </c>
      <c r="AJ8">
        <f>AA8/(1-(1+AA8)^-AI8)</f>
        <v>0.10697140835497033</v>
      </c>
      <c r="AK8" s="15">
        <f t="shared" ref="AK8:AK39" si="1">AH8/AJ8</f>
        <v>75.11209447475872</v>
      </c>
      <c r="AL8" s="43">
        <f>T8-U8</f>
        <v>67006.538983999999</v>
      </c>
    </row>
    <row r="9" spans="1:38" x14ac:dyDescent="0.25">
      <c r="B9" t="s">
        <v>14</v>
      </c>
      <c r="C9" t="s">
        <v>12</v>
      </c>
      <c r="D9" t="s">
        <v>241</v>
      </c>
      <c r="E9" t="s">
        <v>340</v>
      </c>
      <c r="F9" t="s">
        <v>6</v>
      </c>
      <c r="G9" t="s">
        <v>130</v>
      </c>
      <c r="H9" t="s">
        <v>35</v>
      </c>
      <c r="I9" t="s">
        <v>34</v>
      </c>
      <c r="J9">
        <v>8760</v>
      </c>
      <c r="K9" s="5">
        <v>0.40444272199999998</v>
      </c>
      <c r="L9">
        <v>0.85</v>
      </c>
      <c r="M9" s="3">
        <f>8512.22780274884/1000</f>
        <v>8.5122278027488392</v>
      </c>
      <c r="N9" s="3">
        <f>8512.227803/1000</f>
        <v>8.512227803</v>
      </c>
      <c r="O9" s="1">
        <v>0</v>
      </c>
      <c r="P9">
        <v>25</v>
      </c>
      <c r="Q9" s="1">
        <v>0.02</v>
      </c>
      <c r="R9">
        <v>0.9</v>
      </c>
      <c r="S9">
        <v>0.9</v>
      </c>
      <c r="T9" s="16">
        <f>Capacity!B6*1000</f>
        <v>7330.5467170000011</v>
      </c>
      <c r="U9" s="17">
        <f>Capacity!AR6*1000</f>
        <v>0</v>
      </c>
      <c r="V9" s="17">
        <f>Capacity!D6*1000</f>
        <v>0</v>
      </c>
      <c r="W9" s="17">
        <f>Capacity!X6*1000</f>
        <v>0</v>
      </c>
      <c r="X9" s="1">
        <f>CarriersTech_characteristics!$G$3</f>
        <v>37.681199999999997</v>
      </c>
      <c r="Y9" s="1">
        <f>CarriersTech_characteristics!$H$3*1000</f>
        <v>3025024.5490000001</v>
      </c>
      <c r="Z9">
        <v>2.9</v>
      </c>
      <c r="AA9">
        <v>0.105</v>
      </c>
      <c r="AC9" s="1">
        <f>1/K9/(1-Q9)</f>
        <v>2.5229979617863072</v>
      </c>
      <c r="AD9" s="31"/>
      <c r="AE9" s="37">
        <f>(Y9*Conversions!$D$3)/(X9*Conversions!$D$2)</f>
        <v>0.23958587284408495</v>
      </c>
      <c r="AF9">
        <v>0</v>
      </c>
      <c r="AG9">
        <f>Z9*Conversions!$D$4</f>
        <v>3.5928609862662602</v>
      </c>
      <c r="AH9" s="3">
        <f t="shared" si="0"/>
        <v>4.9193668164825795</v>
      </c>
      <c r="AI9">
        <f t="shared" ref="AI9:AI18" si="2">P9</f>
        <v>25</v>
      </c>
      <c r="AJ9">
        <f t="shared" ref="AJ9:AJ39" si="3">AA9/(1-(1+AA9)^-AI9)</f>
        <v>0.11442931981310331</v>
      </c>
      <c r="AK9" s="15">
        <f t="shared" si="1"/>
        <v>42.990440077048</v>
      </c>
      <c r="AL9" s="43">
        <f t="shared" ref="AL9:AL67" si="4">T9-U9</f>
        <v>7330.5467170000011</v>
      </c>
    </row>
    <row r="10" spans="1:38" x14ac:dyDescent="0.25">
      <c r="B10" t="s">
        <v>16</v>
      </c>
      <c r="C10" t="s">
        <v>12</v>
      </c>
      <c r="D10" t="s">
        <v>241</v>
      </c>
      <c r="F10" t="s">
        <v>6</v>
      </c>
      <c r="G10" t="s">
        <v>130</v>
      </c>
      <c r="H10" t="s">
        <v>35</v>
      </c>
      <c r="I10" t="s">
        <v>34</v>
      </c>
      <c r="J10">
        <v>8760</v>
      </c>
      <c r="K10" s="5">
        <v>0.28070162799999998</v>
      </c>
      <c r="L10">
        <v>0.85</v>
      </c>
      <c r="M10" s="3">
        <f>6679.75064927145/1000</f>
        <v>6.6797506492714502</v>
      </c>
      <c r="N10" s="3">
        <f>6679.750649/1000</f>
        <v>6.6797506489999998</v>
      </c>
      <c r="O10" s="1">
        <v>0</v>
      </c>
      <c r="P10">
        <v>25</v>
      </c>
      <c r="Q10" s="1">
        <v>0.01</v>
      </c>
      <c r="R10">
        <v>1</v>
      </c>
      <c r="S10">
        <v>1</v>
      </c>
      <c r="T10" s="16">
        <f>Capacity!B7*1000</f>
        <v>0</v>
      </c>
      <c r="U10" s="17">
        <f>Capacity!AR7*1000</f>
        <v>0</v>
      </c>
      <c r="V10" s="17">
        <f>Capacity!D7*1000</f>
        <v>0</v>
      </c>
      <c r="W10" s="17">
        <f>Capacity!X7*1000</f>
        <v>0</v>
      </c>
      <c r="X10" s="1">
        <f>CarriersTech_characteristics!$G$3</f>
        <v>37.681199999999997</v>
      </c>
      <c r="Y10" s="1">
        <f>CarriersTech_characteristics!$H$3*1000</f>
        <v>3025024.5490000001</v>
      </c>
      <c r="Z10">
        <v>0.7</v>
      </c>
      <c r="AA10">
        <v>0.105</v>
      </c>
      <c r="AC10" s="1">
        <f>1/K10/(1-Q10)</f>
        <v>3.5984864687033813</v>
      </c>
      <c r="AD10" s="31"/>
      <c r="AE10" s="37">
        <f>(Y10*Conversions!$D$3)/(X10*Conversions!$D$2)</f>
        <v>0.23958587284408495</v>
      </c>
      <c r="AF10">
        <v>0</v>
      </c>
      <c r="AG10">
        <f>Z10*Conversions!$D$4</f>
        <v>0.86724230702978689</v>
      </c>
      <c r="AH10" s="3">
        <f t="shared" si="0"/>
        <v>5.8125083422416637</v>
      </c>
      <c r="AI10">
        <f t="shared" si="2"/>
        <v>25</v>
      </c>
      <c r="AJ10">
        <f t="shared" si="3"/>
        <v>0.11442931981310331</v>
      </c>
      <c r="AK10" s="15">
        <f t="shared" si="1"/>
        <v>50.795620840316076</v>
      </c>
      <c r="AL10" s="43">
        <f t="shared" si="4"/>
        <v>0</v>
      </c>
    </row>
    <row r="11" spans="1:38" x14ac:dyDescent="0.25">
      <c r="B11" t="s">
        <v>17</v>
      </c>
      <c r="C11" t="s">
        <v>12</v>
      </c>
      <c r="D11" t="s">
        <v>241</v>
      </c>
      <c r="E11" t="s">
        <v>338</v>
      </c>
      <c r="F11" t="s">
        <v>6</v>
      </c>
      <c r="G11" t="s">
        <v>130</v>
      </c>
      <c r="H11" t="s">
        <v>36</v>
      </c>
      <c r="I11" t="s">
        <v>34</v>
      </c>
      <c r="J11">
        <v>8760</v>
      </c>
      <c r="K11" s="5">
        <v>1</v>
      </c>
      <c r="L11">
        <v>0.70916666699999997</v>
      </c>
      <c r="M11" s="3">
        <f>20833.2103478327/1000</f>
        <v>20.833210347832701</v>
      </c>
      <c r="N11" s="3">
        <f>20833.21035/1000</f>
        <v>20.833210350000002</v>
      </c>
      <c r="O11" s="1">
        <v>0</v>
      </c>
      <c r="P11">
        <v>40</v>
      </c>
      <c r="Q11" s="1">
        <v>0.10780000000000001</v>
      </c>
      <c r="R11">
        <v>0.01</v>
      </c>
      <c r="S11">
        <v>0.01</v>
      </c>
      <c r="T11" s="16">
        <f>Capacity!B8*1000</f>
        <v>1603.5183979999999</v>
      </c>
      <c r="U11" s="17">
        <f>Capacity!AR8*1000</f>
        <v>0</v>
      </c>
      <c r="V11" s="17">
        <f>Capacity!D8*1000</f>
        <v>0</v>
      </c>
      <c r="W11" s="17">
        <f>Capacity!X8*1000</f>
        <v>0</v>
      </c>
      <c r="X11" s="33"/>
      <c r="Y11" s="33"/>
      <c r="Z11">
        <v>4.3</v>
      </c>
      <c r="AA11">
        <v>0.105</v>
      </c>
      <c r="AC11" s="1">
        <f>1/K11/(1-Q11)</f>
        <v>1.1208249271463797</v>
      </c>
      <c r="AD11" s="31"/>
      <c r="AE11" s="32"/>
      <c r="AF11">
        <v>0</v>
      </c>
      <c r="AG11">
        <f>Z11*Conversions!$D$4</f>
        <v>5.3273456003258337</v>
      </c>
      <c r="AH11" s="3">
        <f t="shared" si="0"/>
        <v>15.505864747506866</v>
      </c>
      <c r="AI11">
        <f t="shared" si="2"/>
        <v>40</v>
      </c>
      <c r="AJ11">
        <f t="shared" si="3"/>
        <v>0.10697140835497033</v>
      </c>
      <c r="AK11" s="15">
        <f t="shared" si="1"/>
        <v>144.95335703212137</v>
      </c>
      <c r="AL11" s="43">
        <f t="shared" si="4"/>
        <v>1603.5183979999999</v>
      </c>
    </row>
    <row r="12" spans="1:38" x14ac:dyDescent="0.25">
      <c r="B12" t="s">
        <v>22</v>
      </c>
      <c r="C12" t="s">
        <v>12</v>
      </c>
      <c r="D12" t="s">
        <v>241</v>
      </c>
      <c r="F12" t="s">
        <v>6</v>
      </c>
      <c r="G12" t="s">
        <v>130</v>
      </c>
      <c r="H12" t="s">
        <v>36</v>
      </c>
      <c r="I12" t="s">
        <v>34</v>
      </c>
      <c r="J12">
        <v>8760</v>
      </c>
      <c r="K12" s="5">
        <v>1</v>
      </c>
      <c r="L12">
        <v>0.70916666699999997</v>
      </c>
      <c r="M12" s="13">
        <f>N12</f>
        <v>35.289429389999995</v>
      </c>
      <c r="N12" s="3">
        <f>35289.42939/1000</f>
        <v>35.289429389999995</v>
      </c>
      <c r="O12" s="1">
        <v>0</v>
      </c>
      <c r="P12">
        <v>30</v>
      </c>
      <c r="Q12" s="1">
        <v>0.05</v>
      </c>
      <c r="R12">
        <v>0.01</v>
      </c>
      <c r="S12">
        <v>0.01</v>
      </c>
      <c r="T12" s="16">
        <f>Capacity!B9*1000</f>
        <v>0</v>
      </c>
      <c r="U12" s="17">
        <f>Capacity!AR9*1000</f>
        <v>0</v>
      </c>
      <c r="V12" s="17">
        <f>Capacity!D9*1000</f>
        <v>0</v>
      </c>
      <c r="W12" s="17">
        <f>Capacity!X9*1000</f>
        <v>0</v>
      </c>
      <c r="X12" s="33"/>
      <c r="Y12" s="33"/>
      <c r="Z12">
        <v>5</v>
      </c>
      <c r="AA12">
        <v>0.105</v>
      </c>
      <c r="AC12" s="1">
        <f>1/K12/(1-Q12)</f>
        <v>1.0526315789473684</v>
      </c>
      <c r="AD12" s="31"/>
      <c r="AE12" s="32"/>
      <c r="AF12">
        <v>0</v>
      </c>
      <c r="AG12">
        <f>Z12*Conversions!$D$4</f>
        <v>6.1945879073556211</v>
      </c>
      <c r="AH12" s="3">
        <f t="shared" si="0"/>
        <v>29.094841482644373</v>
      </c>
      <c r="AI12">
        <f t="shared" si="2"/>
        <v>30</v>
      </c>
      <c r="AJ12">
        <f t="shared" si="3"/>
        <v>0.11052848152960514</v>
      </c>
      <c r="AK12" s="15">
        <f t="shared" si="1"/>
        <v>263.2338839727143</v>
      </c>
      <c r="AL12" s="43">
        <f t="shared" si="4"/>
        <v>0</v>
      </c>
    </row>
    <row r="13" spans="1:38" x14ac:dyDescent="0.25">
      <c r="B13" t="s">
        <v>15</v>
      </c>
      <c r="C13" t="s">
        <v>12</v>
      </c>
      <c r="D13" t="s">
        <v>245</v>
      </c>
      <c r="E13" t="s">
        <v>339</v>
      </c>
      <c r="F13" t="s">
        <v>6</v>
      </c>
      <c r="G13" t="s">
        <v>130</v>
      </c>
      <c r="H13" t="s">
        <v>37</v>
      </c>
      <c r="I13" t="s">
        <v>34</v>
      </c>
      <c r="J13">
        <v>8760</v>
      </c>
      <c r="K13" s="5">
        <v>1</v>
      </c>
      <c r="L13">
        <v>1</v>
      </c>
      <c r="M13" s="3">
        <f>19631.8145207228/1000</f>
        <v>19.631814520722802</v>
      </c>
      <c r="N13" s="3">
        <f>19631.81452/1000</f>
        <v>19.631814519999999</v>
      </c>
      <c r="O13" s="1">
        <v>0</v>
      </c>
      <c r="P13">
        <v>40</v>
      </c>
      <c r="Q13" s="1">
        <v>6.0000000000000001E-3</v>
      </c>
      <c r="R13">
        <v>1</v>
      </c>
      <c r="S13">
        <v>1</v>
      </c>
      <c r="T13" s="16">
        <f>Capacity!B10*1000</f>
        <v>20527.317305</v>
      </c>
      <c r="U13" s="17">
        <f>Capacity!AR10*1000</f>
        <v>0</v>
      </c>
      <c r="V13" s="17">
        <f>Capacity!D10*1000</f>
        <v>0</v>
      </c>
      <c r="W13" s="17">
        <f>Capacity!X10*1000</f>
        <v>0</v>
      </c>
      <c r="X13" s="31"/>
      <c r="Y13" s="34"/>
      <c r="Z13">
        <v>4.4000000000000004</v>
      </c>
      <c r="AA13">
        <v>0.105</v>
      </c>
      <c r="AC13" s="30"/>
      <c r="AD13" s="1">
        <f>K13-Q13</f>
        <v>0.99399999999999999</v>
      </c>
      <c r="AE13" s="30"/>
      <c r="AF13">
        <v>0</v>
      </c>
      <c r="AG13">
        <f>Z13*Conversions!$D$4</f>
        <v>5.4512373584729472</v>
      </c>
      <c r="AH13" s="3">
        <f t="shared" si="0"/>
        <v>14.180577162249854</v>
      </c>
      <c r="AI13">
        <f t="shared" si="2"/>
        <v>40</v>
      </c>
      <c r="AJ13">
        <f t="shared" si="3"/>
        <v>0.10697140835497033</v>
      </c>
      <c r="AK13" s="15">
        <f t="shared" si="1"/>
        <v>132.56418121741001</v>
      </c>
      <c r="AL13" s="43">
        <f t="shared" si="4"/>
        <v>20527.317305</v>
      </c>
    </row>
    <row r="14" spans="1:38" x14ac:dyDescent="0.25">
      <c r="B14" t="s">
        <v>18</v>
      </c>
      <c r="C14" t="s">
        <v>12</v>
      </c>
      <c r="D14" t="s">
        <v>245</v>
      </c>
      <c r="E14" t="s">
        <v>341</v>
      </c>
      <c r="F14" t="s">
        <v>6</v>
      </c>
      <c r="G14" t="s">
        <v>130</v>
      </c>
      <c r="H14" t="s">
        <v>37</v>
      </c>
      <c r="I14" t="s">
        <v>34</v>
      </c>
      <c r="J14">
        <v>8760</v>
      </c>
      <c r="K14" s="5">
        <v>1</v>
      </c>
      <c r="L14">
        <v>1</v>
      </c>
      <c r="M14" s="3">
        <f>11825.3487554956/1000</f>
        <v>11.825348755495598</v>
      </c>
      <c r="N14" s="3">
        <f>11825.34876/1000</f>
        <v>11.825348760000001</v>
      </c>
      <c r="O14" s="1">
        <v>0</v>
      </c>
      <c r="P14">
        <v>35</v>
      </c>
      <c r="Q14" s="1">
        <v>0.01</v>
      </c>
      <c r="R14">
        <v>1</v>
      </c>
      <c r="S14">
        <v>1</v>
      </c>
      <c r="T14" s="16">
        <f>Capacity!B11*1000</f>
        <v>1698.7499999999998</v>
      </c>
      <c r="U14" s="17">
        <f>Capacity!AR11*1000</f>
        <v>0</v>
      </c>
      <c r="V14" s="17">
        <f>Capacity!D11*1000</f>
        <v>28.000000000000004</v>
      </c>
      <c r="W14" s="17">
        <f>Capacity!X11*1000</f>
        <v>28.000000000000004</v>
      </c>
      <c r="X14" s="31"/>
      <c r="Y14" s="34"/>
      <c r="Z14">
        <f>2.4</f>
        <v>2.4</v>
      </c>
      <c r="AA14">
        <v>8.3500000000000005E-2</v>
      </c>
      <c r="AC14" s="30"/>
      <c r="AD14" s="1">
        <f>K14-Q14</f>
        <v>0.99</v>
      </c>
      <c r="AE14" s="30"/>
      <c r="AF14">
        <v>0</v>
      </c>
      <c r="AG14">
        <f>Z14*Conversions!$D$4</f>
        <v>2.973402195530698</v>
      </c>
      <c r="AH14" s="3">
        <f t="shared" si="0"/>
        <v>8.851946559964901</v>
      </c>
      <c r="AI14">
        <f t="shared" si="2"/>
        <v>35</v>
      </c>
      <c r="AJ14">
        <f t="shared" si="3"/>
        <v>8.8866958914066166E-2</v>
      </c>
      <c r="AK14" s="15">
        <f t="shared" si="1"/>
        <v>99.608973550278478</v>
      </c>
      <c r="AL14" s="43">
        <f t="shared" si="4"/>
        <v>1698.7499999999998</v>
      </c>
    </row>
    <row r="15" spans="1:38" x14ac:dyDescent="0.25">
      <c r="B15" t="s">
        <v>7</v>
      </c>
      <c r="C15" t="s">
        <v>12</v>
      </c>
      <c r="D15" t="s">
        <v>241</v>
      </c>
      <c r="E15" t="s">
        <v>342</v>
      </c>
      <c r="F15" t="s">
        <v>6</v>
      </c>
      <c r="G15" t="s">
        <v>130</v>
      </c>
      <c r="H15" t="s">
        <v>38</v>
      </c>
      <c r="I15" t="s">
        <v>34</v>
      </c>
      <c r="J15">
        <v>8760</v>
      </c>
      <c r="K15" s="5">
        <v>0.238845897</v>
      </c>
      <c r="L15">
        <v>1</v>
      </c>
      <c r="M15" s="3">
        <f>7713.45723965334/1000</f>
        <v>7.7134572396533407</v>
      </c>
      <c r="N15" s="3">
        <f>7713.45724/1000</f>
        <v>7.7134572399999994</v>
      </c>
      <c r="O15" s="1">
        <v>0</v>
      </c>
      <c r="P15">
        <v>20</v>
      </c>
      <c r="Q15" s="1">
        <v>0.1</v>
      </c>
      <c r="R15">
        <v>0.06</v>
      </c>
      <c r="S15">
        <v>0.06</v>
      </c>
      <c r="T15" s="16">
        <f>Capacity!B12*1000</f>
        <v>3357.15</v>
      </c>
      <c r="U15" s="17">
        <f>Capacity!AR12*1000</f>
        <v>0</v>
      </c>
      <c r="V15" s="17">
        <f>Capacity!D12*1000</f>
        <v>143.00000000000003</v>
      </c>
      <c r="W15" s="17">
        <f>Capacity!X12*1000</f>
        <v>143.00000000000003</v>
      </c>
      <c r="X15" s="1">
        <f>CarriersTech_characteristics!$G$7</f>
        <v>13.648968</v>
      </c>
      <c r="Y15" s="1">
        <f>CarriersTech_characteristics!$H$5*1000</f>
        <v>1656436.6880000001</v>
      </c>
      <c r="Z15" s="12">
        <v>1</v>
      </c>
      <c r="AA15">
        <v>8.3500000000000005E-2</v>
      </c>
      <c r="AC15" s="1">
        <f>1/K15/(1-Q15)</f>
        <v>4.6519999927447406</v>
      </c>
      <c r="AD15" s="31"/>
      <c r="AE15" s="36">
        <f>Y15/(X15*Conversions!$D$2)</f>
        <v>0.43689545093040172</v>
      </c>
      <c r="AF15">
        <v>0</v>
      </c>
      <c r="AG15">
        <f>Z15*Conversions!$D$4</f>
        <v>1.2389175814711242</v>
      </c>
      <c r="AH15" s="3">
        <f t="shared" si="0"/>
        <v>6.4745396581822163</v>
      </c>
      <c r="AI15">
        <f t="shared" si="2"/>
        <v>20</v>
      </c>
      <c r="AJ15">
        <f t="shared" si="3"/>
        <v>0.10451929579519206</v>
      </c>
      <c r="AK15" s="15">
        <f t="shared" si="1"/>
        <v>61.945879073556178</v>
      </c>
      <c r="AL15" s="43">
        <f t="shared" si="4"/>
        <v>3357.15</v>
      </c>
    </row>
    <row r="16" spans="1:38" x14ac:dyDescent="0.25">
      <c r="B16" t="s">
        <v>19</v>
      </c>
      <c r="C16" t="s">
        <v>12</v>
      </c>
      <c r="D16" t="s">
        <v>253</v>
      </c>
      <c r="E16" t="s">
        <v>343</v>
      </c>
      <c r="F16" t="s">
        <v>6</v>
      </c>
      <c r="G16" t="s">
        <v>130</v>
      </c>
      <c r="H16" t="s">
        <v>39</v>
      </c>
      <c r="I16" t="s">
        <v>34</v>
      </c>
      <c r="J16">
        <v>8760</v>
      </c>
      <c r="K16" s="5">
        <v>1</v>
      </c>
      <c r="L16">
        <v>1</v>
      </c>
      <c r="M16" s="3">
        <f>5630.98419436319/1000</f>
        <v>5.6309841943631902</v>
      </c>
      <c r="N16" s="3">
        <f>5439.705856/1000</f>
        <v>5.4397058559999998</v>
      </c>
      <c r="O16" s="1">
        <v>0</v>
      </c>
      <c r="P16">
        <v>25</v>
      </c>
      <c r="Q16" s="1">
        <v>0.01</v>
      </c>
      <c r="R16">
        <v>1</v>
      </c>
      <c r="S16">
        <v>1</v>
      </c>
      <c r="T16" s="16">
        <f>Capacity!B13*1000</f>
        <v>19996.724187999997</v>
      </c>
      <c r="U16" s="17">
        <f>Capacity!AR13*1000</f>
        <v>0</v>
      </c>
      <c r="V16" s="17">
        <f>Capacity!D13*1000</f>
        <v>4791</v>
      </c>
      <c r="W16" s="17">
        <f>Capacity!X13*1000</f>
        <v>4791</v>
      </c>
      <c r="X16" s="31"/>
      <c r="Y16" s="35" t="s">
        <v>265</v>
      </c>
      <c r="Z16">
        <v>0.35</v>
      </c>
      <c r="AA16">
        <v>0.105</v>
      </c>
      <c r="AC16" s="31">
        <v>1</v>
      </c>
      <c r="AD16" s="31"/>
      <c r="AE16" s="30"/>
      <c r="AF16">
        <v>0</v>
      </c>
      <c r="AG16">
        <f>Z16*Conversions!$D$4</f>
        <v>0.43362115351489344</v>
      </c>
      <c r="AH16" s="3">
        <f t="shared" si="0"/>
        <v>5.1973630408482965</v>
      </c>
      <c r="AI16">
        <f t="shared" si="2"/>
        <v>25</v>
      </c>
      <c r="AJ16">
        <f t="shared" si="3"/>
        <v>0.11442931981310331</v>
      </c>
      <c r="AK16" s="15">
        <f t="shared" si="1"/>
        <v>45.419854363699066</v>
      </c>
      <c r="AL16" s="43">
        <f t="shared" si="4"/>
        <v>19996.724187999997</v>
      </c>
    </row>
    <row r="17" spans="2:38" x14ac:dyDescent="0.25">
      <c r="B17" t="s">
        <v>20</v>
      </c>
      <c r="C17" t="s">
        <v>12</v>
      </c>
      <c r="D17" t="s">
        <v>253</v>
      </c>
      <c r="E17" t="s">
        <v>344</v>
      </c>
      <c r="F17" t="s">
        <v>6</v>
      </c>
      <c r="G17" t="s">
        <v>130</v>
      </c>
      <c r="H17" t="s">
        <v>39</v>
      </c>
      <c r="I17" t="s">
        <v>34</v>
      </c>
      <c r="J17">
        <v>8760</v>
      </c>
      <c r="K17" s="5">
        <v>1</v>
      </c>
      <c r="L17">
        <v>1</v>
      </c>
      <c r="M17" s="3">
        <f>5542.18769541597/1000</f>
        <v>5.5421876954159695</v>
      </c>
      <c r="N17" s="3">
        <f>5362.133837/1000</f>
        <v>5.362133837</v>
      </c>
      <c r="O17" s="1">
        <v>0</v>
      </c>
      <c r="P17">
        <v>25</v>
      </c>
      <c r="Q17" s="1">
        <v>6.0000000000000001E-3</v>
      </c>
      <c r="R17">
        <v>1</v>
      </c>
      <c r="S17">
        <v>1</v>
      </c>
      <c r="T17" s="16">
        <f>Capacity!B14*1000</f>
        <v>2666.3458109999992</v>
      </c>
      <c r="U17" s="17">
        <f>Capacity!AR14*1000</f>
        <v>0</v>
      </c>
      <c r="V17" s="17">
        <f>Capacity!D14*1000</f>
        <v>766</v>
      </c>
      <c r="W17" s="17">
        <f>Capacity!X14*1000</f>
        <v>766</v>
      </c>
      <c r="X17" s="31"/>
      <c r="Y17" s="31"/>
      <c r="Z17">
        <v>0.51</v>
      </c>
      <c r="AA17">
        <v>0.104</v>
      </c>
      <c r="AC17" s="31">
        <v>1</v>
      </c>
      <c r="AD17" s="31"/>
      <c r="AE17" s="30"/>
      <c r="AF17">
        <v>0</v>
      </c>
      <c r="AG17">
        <f>Z17*Conversions!$D$4</f>
        <v>0.63184796655027331</v>
      </c>
      <c r="AH17" s="3">
        <f t="shared" si="0"/>
        <v>4.9103397288656963</v>
      </c>
      <c r="AI17">
        <f t="shared" si="2"/>
        <v>25</v>
      </c>
      <c r="AJ17">
        <f t="shared" si="3"/>
        <v>0.11357300490974749</v>
      </c>
      <c r="AK17" s="15">
        <f t="shared" si="1"/>
        <v>43.235095635338453</v>
      </c>
      <c r="AL17" s="43">
        <f t="shared" si="4"/>
        <v>2666.3458109999992</v>
      </c>
    </row>
    <row r="18" spans="2:38" x14ac:dyDescent="0.25">
      <c r="B18" t="s">
        <v>21</v>
      </c>
      <c r="C18" t="s">
        <v>12</v>
      </c>
      <c r="D18" t="s">
        <v>253</v>
      </c>
      <c r="E18" t="s">
        <v>345</v>
      </c>
      <c r="F18" t="s">
        <v>6</v>
      </c>
      <c r="G18" t="s">
        <v>130</v>
      </c>
      <c r="H18" t="s">
        <v>40</v>
      </c>
      <c r="I18" t="s">
        <v>34</v>
      </c>
      <c r="J18">
        <v>8760</v>
      </c>
      <c r="K18" s="5">
        <v>1</v>
      </c>
      <c r="L18">
        <v>1</v>
      </c>
      <c r="M18" s="3">
        <f>10659.4302732183/1000</f>
        <v>10.6594302732183</v>
      </c>
      <c r="N18" s="3">
        <f>10586.96446/1000</f>
        <v>10.586964459999999</v>
      </c>
      <c r="O18" s="1">
        <v>0</v>
      </c>
      <c r="P18">
        <v>25</v>
      </c>
      <c r="Q18" s="1">
        <v>5.0000000000000001E-3</v>
      </c>
      <c r="R18">
        <v>1</v>
      </c>
      <c r="S18">
        <v>1</v>
      </c>
      <c r="T18" s="16">
        <f>Capacity!B15*1000</f>
        <v>5301.42</v>
      </c>
      <c r="U18" s="17">
        <f>Capacity!AR15*1000</f>
        <v>0</v>
      </c>
      <c r="V18" s="17">
        <f>Capacity!D15*1000</f>
        <v>2</v>
      </c>
      <c r="W18" s="17">
        <f>Capacity!X15*1000</f>
        <v>2</v>
      </c>
      <c r="X18" s="31"/>
      <c r="Y18" s="31"/>
      <c r="Z18">
        <v>0.68</v>
      </c>
      <c r="AA18">
        <v>0.105</v>
      </c>
      <c r="AC18" s="31">
        <v>1</v>
      </c>
      <c r="AD18" s="31"/>
      <c r="AE18" s="30"/>
      <c r="AF18">
        <v>0</v>
      </c>
      <c r="AG18">
        <f>Z18*Conversions!$D$4</f>
        <v>0.84246395540036456</v>
      </c>
      <c r="AH18" s="3">
        <f t="shared" si="0"/>
        <v>9.8169663178179363</v>
      </c>
      <c r="AI18">
        <f t="shared" si="2"/>
        <v>25</v>
      </c>
      <c r="AJ18">
        <f t="shared" si="3"/>
        <v>0.11442931981310331</v>
      </c>
      <c r="AK18" s="15">
        <f t="shared" si="1"/>
        <v>85.790655173446154</v>
      </c>
      <c r="AL18" s="43">
        <f t="shared" si="4"/>
        <v>5301.42</v>
      </c>
    </row>
    <row r="19" spans="2:38" s="24" customFormat="1" x14ac:dyDescent="0.25">
      <c r="B19" s="24" t="s">
        <v>23</v>
      </c>
      <c r="C19" s="24" t="s">
        <v>12</v>
      </c>
      <c r="D19" s="24" t="s">
        <v>253</v>
      </c>
      <c r="F19" s="24" t="s">
        <v>6</v>
      </c>
      <c r="G19" s="24" t="s">
        <v>130</v>
      </c>
      <c r="H19" s="24" t="s">
        <v>40</v>
      </c>
      <c r="I19" s="24" t="s">
        <v>34</v>
      </c>
      <c r="J19" s="24">
        <v>8760</v>
      </c>
      <c r="K19" s="44">
        <v>1</v>
      </c>
      <c r="L19" s="24">
        <v>1</v>
      </c>
      <c r="M19" s="45">
        <f>N19</f>
        <v>34.540361669999996</v>
      </c>
      <c r="N19" s="46">
        <f>34540.36167/1000</f>
        <v>34.540361669999996</v>
      </c>
      <c r="O19" s="47">
        <v>0</v>
      </c>
      <c r="P19" s="24">
        <v>25</v>
      </c>
      <c r="Q19" s="47">
        <v>5.0000000000000001E-3</v>
      </c>
      <c r="R19" s="24">
        <v>1</v>
      </c>
      <c r="S19" s="24">
        <v>1</v>
      </c>
      <c r="T19" s="48">
        <f>Capacity!B16*1000</f>
        <v>0</v>
      </c>
      <c r="U19" s="49">
        <f>Capacity!AR16*1000</f>
        <v>0</v>
      </c>
      <c r="V19" s="49">
        <f>Capacity!D16*1000</f>
        <v>0</v>
      </c>
      <c r="W19" s="49">
        <f>Capacity!X16*1000</f>
        <v>0</v>
      </c>
      <c r="X19" s="50"/>
      <c r="Y19" s="50"/>
      <c r="Z19" s="24">
        <v>6.7</v>
      </c>
      <c r="AA19" s="24">
        <v>0.112</v>
      </c>
      <c r="AB19" s="51"/>
      <c r="AC19" s="50">
        <v>1</v>
      </c>
      <c r="AD19" s="50"/>
      <c r="AE19" s="52"/>
      <c r="AF19" s="24">
        <v>0</v>
      </c>
      <c r="AG19" s="24">
        <f>Z19*Conversions!$D$4</f>
        <v>8.3007477958565321</v>
      </c>
      <c r="AH19" s="46">
        <f t="shared" si="0"/>
        <v>26.239613874143465</v>
      </c>
      <c r="AI19" s="24">
        <f>P19</f>
        <v>25</v>
      </c>
      <c r="AJ19" s="24">
        <f t="shared" si="3"/>
        <v>0.12047788778229078</v>
      </c>
      <c r="AK19" s="53">
        <f t="shared" si="1"/>
        <v>217.79609816499843</v>
      </c>
      <c r="AL19" s="54">
        <f t="shared" si="4"/>
        <v>0</v>
      </c>
    </row>
    <row r="20" spans="2:38" x14ac:dyDescent="0.25">
      <c r="B20" t="s">
        <v>13</v>
      </c>
      <c r="C20" t="s">
        <v>9</v>
      </c>
      <c r="D20" t="s">
        <v>241</v>
      </c>
      <c r="E20" t="s">
        <v>337</v>
      </c>
      <c r="F20" t="s">
        <v>6</v>
      </c>
      <c r="G20" t="s">
        <v>130</v>
      </c>
      <c r="H20" t="s">
        <v>33</v>
      </c>
      <c r="I20" t="s">
        <v>34</v>
      </c>
      <c r="J20">
        <v>8760</v>
      </c>
      <c r="K20" s="5">
        <v>0.38096819999999998</v>
      </c>
      <c r="L20">
        <v>0.85</v>
      </c>
      <c r="M20" s="3">
        <f>26148.8463751508/1000</f>
        <v>26.1488463751508</v>
      </c>
      <c r="N20" s="3">
        <f>13721.03129/1000</f>
        <v>13.721031290000001</v>
      </c>
      <c r="O20" s="1">
        <v>133.5230182</v>
      </c>
      <c r="P20">
        <v>40</v>
      </c>
      <c r="Q20" s="1">
        <v>6.6000000000000003E-2</v>
      </c>
      <c r="R20">
        <v>0.3</v>
      </c>
      <c r="S20">
        <v>0.3</v>
      </c>
      <c r="T20" s="16">
        <f>Capacity!B19*1000</f>
        <v>1010.929706</v>
      </c>
      <c r="U20" s="17">
        <f>Capacity!AR19*1000</f>
        <v>0</v>
      </c>
      <c r="V20" s="17">
        <f>Capacity!D19*1000</f>
        <v>0</v>
      </c>
      <c r="W20" s="17">
        <f>Capacity!X19*1000</f>
        <v>0</v>
      </c>
      <c r="X20" s="1">
        <f>CarriersTech_characteristics!$G$2</f>
        <v>17.207187650000002</v>
      </c>
      <c r="Y20" s="1">
        <f>CarriersTech_characteristics!$H$28*1000</f>
        <v>1942097.6230000001</v>
      </c>
      <c r="Z20" s="7">
        <v>3</v>
      </c>
      <c r="AA20">
        <v>0.105</v>
      </c>
      <c r="AB20" s="41"/>
      <c r="AC20" s="1">
        <f>1/K20/(1-Q20)</f>
        <v>2.8103758044980376</v>
      </c>
      <c r="AD20" s="31"/>
      <c r="AE20" s="37">
        <f>Y20/(X20*Conversions!$D$2)</f>
        <v>0.40631575182871843</v>
      </c>
      <c r="AF20" s="11">
        <f>O20/CarriersTech_characteristics!$G$2/Conversions!$D$2*AC20</f>
        <v>7.8507860294473842E-5</v>
      </c>
      <c r="AG20">
        <f>Z20*Conversions!$D$4</f>
        <v>3.7167527444133723</v>
      </c>
      <c r="AH20" s="3">
        <f t="shared" si="0"/>
        <v>22.432093630737427</v>
      </c>
      <c r="AI20">
        <f>P20</f>
        <v>40</v>
      </c>
      <c r="AJ20">
        <f t="shared" si="3"/>
        <v>0.10697140835497033</v>
      </c>
      <c r="AK20" s="15">
        <f t="shared" si="1"/>
        <v>209.70176961959331</v>
      </c>
      <c r="AL20" s="43">
        <f t="shared" si="4"/>
        <v>1010.929706</v>
      </c>
    </row>
    <row r="21" spans="2:38" x14ac:dyDescent="0.25">
      <c r="B21" t="s">
        <v>14</v>
      </c>
      <c r="C21" t="s">
        <v>9</v>
      </c>
      <c r="D21" t="s">
        <v>241</v>
      </c>
      <c r="E21" t="s">
        <v>340</v>
      </c>
      <c r="F21" t="s">
        <v>6</v>
      </c>
      <c r="G21" t="s">
        <v>130</v>
      </c>
      <c r="H21" t="s">
        <v>35</v>
      </c>
      <c r="I21" t="s">
        <v>34</v>
      </c>
      <c r="J21">
        <v>8760</v>
      </c>
      <c r="K21" s="5">
        <v>0.40444272199999998</v>
      </c>
      <c r="L21">
        <v>0.85</v>
      </c>
      <c r="M21" s="3">
        <f>8512.22780274884/1000</f>
        <v>8.5122278027488392</v>
      </c>
      <c r="N21" s="3">
        <f>8512.227803/1000</f>
        <v>8.512227803</v>
      </c>
      <c r="O21" s="1">
        <v>0</v>
      </c>
      <c r="P21">
        <v>25</v>
      </c>
      <c r="Q21" s="1">
        <v>0.02</v>
      </c>
      <c r="R21">
        <v>0.9</v>
      </c>
      <c r="S21">
        <v>0.9</v>
      </c>
      <c r="T21" s="16">
        <f>Capacity!B20*1000</f>
        <v>2002.456891</v>
      </c>
      <c r="U21" s="17">
        <f>Capacity!AR20*1000</f>
        <v>0</v>
      </c>
      <c r="V21" s="17">
        <f>Capacity!D20*1000</f>
        <v>0</v>
      </c>
      <c r="W21" s="17">
        <f>Capacity!X20*1000</f>
        <v>0</v>
      </c>
      <c r="X21" s="1">
        <f>CarriersTech_characteristics!$G$3</f>
        <v>37.681199999999997</v>
      </c>
      <c r="Y21" s="1">
        <f>CarriersTech_characteristics!$H$3*1000</f>
        <v>3025024.5490000001</v>
      </c>
      <c r="Z21">
        <v>2.9</v>
      </c>
      <c r="AA21">
        <v>0.105</v>
      </c>
      <c r="AC21" s="1">
        <f>1/K21/(1-Q21)</f>
        <v>2.5229979617863072</v>
      </c>
      <c r="AD21" s="31"/>
      <c r="AE21" s="37">
        <f>(Y21*Conversions!$D$3)/(X21*Conversions!$D$2)</f>
        <v>0.23958587284408495</v>
      </c>
      <c r="AF21">
        <v>0</v>
      </c>
      <c r="AG21">
        <f>Z21*Conversions!$D$4</f>
        <v>3.5928609862662602</v>
      </c>
      <c r="AH21" s="3">
        <f t="shared" si="0"/>
        <v>4.9193668164825795</v>
      </c>
      <c r="AI21">
        <f t="shared" ref="AI21:AI30" si="5">P21</f>
        <v>25</v>
      </c>
      <c r="AJ21">
        <f t="shared" si="3"/>
        <v>0.11442931981310331</v>
      </c>
      <c r="AK21" s="15">
        <f t="shared" si="1"/>
        <v>42.990440077048</v>
      </c>
      <c r="AL21" s="43">
        <f t="shared" si="4"/>
        <v>2002.456891</v>
      </c>
    </row>
    <row r="22" spans="2:38" x14ac:dyDescent="0.25">
      <c r="B22" t="s">
        <v>16</v>
      </c>
      <c r="C22" t="s">
        <v>9</v>
      </c>
      <c r="D22" t="s">
        <v>241</v>
      </c>
      <c r="F22" t="s">
        <v>6</v>
      </c>
      <c r="G22" t="s">
        <v>130</v>
      </c>
      <c r="H22" t="s">
        <v>35</v>
      </c>
      <c r="I22" t="s">
        <v>34</v>
      </c>
      <c r="J22">
        <v>8760</v>
      </c>
      <c r="K22" s="5">
        <v>0.28070162799999998</v>
      </c>
      <c r="L22">
        <v>0.85</v>
      </c>
      <c r="M22" s="3">
        <f>6679.75064927145/1000</f>
        <v>6.6797506492714502</v>
      </c>
      <c r="N22" s="3">
        <f>6679.750649/1000</f>
        <v>6.6797506489999998</v>
      </c>
      <c r="O22" s="1">
        <v>0</v>
      </c>
      <c r="P22">
        <v>25</v>
      </c>
      <c r="Q22" s="1">
        <v>0.01</v>
      </c>
      <c r="R22">
        <v>1</v>
      </c>
      <c r="S22">
        <v>1</v>
      </c>
      <c r="T22" s="16">
        <f>Capacity!B21*1000</f>
        <v>0</v>
      </c>
      <c r="U22" s="17">
        <f>Capacity!AR21*1000</f>
        <v>0</v>
      </c>
      <c r="V22" s="17">
        <f>Capacity!D21*1000</f>
        <v>0</v>
      </c>
      <c r="W22" s="17">
        <f>Capacity!X21*1000</f>
        <v>0</v>
      </c>
      <c r="X22" s="1">
        <f>CarriersTech_characteristics!$G$3</f>
        <v>37.681199999999997</v>
      </c>
      <c r="Y22" s="1">
        <f>CarriersTech_characteristics!$H$3*1000</f>
        <v>3025024.5490000001</v>
      </c>
      <c r="Z22">
        <v>0.7</v>
      </c>
      <c r="AA22">
        <v>0.105</v>
      </c>
      <c r="AC22" s="1">
        <f>1/K22/(1-Q22)</f>
        <v>3.5984864687033813</v>
      </c>
      <c r="AD22" s="31"/>
      <c r="AE22" s="37">
        <f>(Y22*Conversions!$D$3)/(X22*Conversions!$D$2)</f>
        <v>0.23958587284408495</v>
      </c>
      <c r="AF22">
        <v>0</v>
      </c>
      <c r="AG22">
        <f>Z22*Conversions!$D$4</f>
        <v>0.86724230702978689</v>
      </c>
      <c r="AH22" s="3">
        <f t="shared" si="0"/>
        <v>5.8125083422416637</v>
      </c>
      <c r="AI22">
        <f t="shared" si="5"/>
        <v>25</v>
      </c>
      <c r="AJ22">
        <f t="shared" si="3"/>
        <v>0.11442931981310331</v>
      </c>
      <c r="AK22" s="15">
        <f t="shared" si="1"/>
        <v>50.795620840316076</v>
      </c>
      <c r="AL22" s="43">
        <f t="shared" si="4"/>
        <v>0</v>
      </c>
    </row>
    <row r="23" spans="2:38" x14ac:dyDescent="0.25">
      <c r="B23" t="s">
        <v>17</v>
      </c>
      <c r="C23" t="s">
        <v>9</v>
      </c>
      <c r="D23" t="s">
        <v>241</v>
      </c>
      <c r="E23" t="s">
        <v>338</v>
      </c>
      <c r="F23" t="s">
        <v>6</v>
      </c>
      <c r="G23" t="s">
        <v>130</v>
      </c>
      <c r="H23" t="s">
        <v>36</v>
      </c>
      <c r="I23" t="s">
        <v>34</v>
      </c>
      <c r="J23">
        <v>8760</v>
      </c>
      <c r="K23" s="5">
        <v>1</v>
      </c>
      <c r="L23">
        <v>0.70916666699999997</v>
      </c>
      <c r="M23" s="3">
        <f>20833.2103478327/1000</f>
        <v>20.833210347832701</v>
      </c>
      <c r="N23" s="3">
        <f>20833.21035/1000</f>
        <v>20.833210350000002</v>
      </c>
      <c r="O23" s="1">
        <v>0</v>
      </c>
      <c r="P23">
        <v>40</v>
      </c>
      <c r="Q23" s="1">
        <v>0.10780000000000001</v>
      </c>
      <c r="R23">
        <v>0.01</v>
      </c>
      <c r="S23">
        <v>0.01</v>
      </c>
      <c r="T23" s="16">
        <f>Capacity!B22*1000</f>
        <v>0</v>
      </c>
      <c r="U23" s="17">
        <f>Capacity!AR22*1000</f>
        <v>0</v>
      </c>
      <c r="V23" s="17">
        <f>Capacity!D22*1000</f>
        <v>0</v>
      </c>
      <c r="W23" s="17">
        <f>Capacity!X22*1000</f>
        <v>0</v>
      </c>
      <c r="X23" s="33"/>
      <c r="Y23" s="33"/>
      <c r="Z23">
        <v>4.3</v>
      </c>
      <c r="AA23">
        <v>0.105</v>
      </c>
      <c r="AC23" s="1">
        <f>1/K23/(1-Q23)</f>
        <v>1.1208249271463797</v>
      </c>
      <c r="AD23" s="31"/>
      <c r="AE23" s="32"/>
      <c r="AF23">
        <v>0</v>
      </c>
      <c r="AG23">
        <f>Z23*Conversions!$D$4</f>
        <v>5.3273456003258337</v>
      </c>
      <c r="AH23" s="3">
        <f t="shared" si="0"/>
        <v>15.505864747506866</v>
      </c>
      <c r="AI23">
        <f t="shared" si="5"/>
        <v>40</v>
      </c>
      <c r="AJ23">
        <f t="shared" si="3"/>
        <v>0.10697140835497033</v>
      </c>
      <c r="AK23" s="15">
        <f t="shared" si="1"/>
        <v>144.95335703212137</v>
      </c>
      <c r="AL23" s="43">
        <f t="shared" si="4"/>
        <v>0</v>
      </c>
    </row>
    <row r="24" spans="2:38" x14ac:dyDescent="0.25">
      <c r="B24" t="s">
        <v>22</v>
      </c>
      <c r="C24" t="s">
        <v>9</v>
      </c>
      <c r="D24" t="s">
        <v>241</v>
      </c>
      <c r="F24" t="s">
        <v>6</v>
      </c>
      <c r="G24" t="s">
        <v>130</v>
      </c>
      <c r="H24" t="s">
        <v>36</v>
      </c>
      <c r="I24" t="s">
        <v>34</v>
      </c>
      <c r="J24">
        <v>8760</v>
      </c>
      <c r="K24" s="5">
        <v>1</v>
      </c>
      <c r="L24">
        <v>0.70916666699999997</v>
      </c>
      <c r="M24" s="13">
        <f>N24</f>
        <v>35.289429389999995</v>
      </c>
      <c r="N24" s="3">
        <f>35289.42939/1000</f>
        <v>35.289429389999995</v>
      </c>
      <c r="O24" s="1">
        <v>0</v>
      </c>
      <c r="P24">
        <v>30</v>
      </c>
      <c r="Q24" s="1">
        <v>0.05</v>
      </c>
      <c r="R24">
        <v>0.01</v>
      </c>
      <c r="S24">
        <v>0.01</v>
      </c>
      <c r="T24" s="16">
        <f>Capacity!B23*1000</f>
        <v>0</v>
      </c>
      <c r="U24" s="17">
        <f>Capacity!AR23*1000</f>
        <v>0</v>
      </c>
      <c r="V24" s="17">
        <f>Capacity!D23*1000</f>
        <v>0</v>
      </c>
      <c r="W24" s="17">
        <f>Capacity!X23*1000</f>
        <v>0</v>
      </c>
      <c r="X24" s="33"/>
      <c r="Y24" s="33"/>
      <c r="Z24">
        <v>5</v>
      </c>
      <c r="AA24">
        <v>0.105</v>
      </c>
      <c r="AC24" s="1">
        <f>1/K24/(1-Q24)</f>
        <v>1.0526315789473684</v>
      </c>
      <c r="AD24" s="31"/>
      <c r="AE24" s="32"/>
      <c r="AF24">
        <v>0</v>
      </c>
      <c r="AG24">
        <f>Z24*Conversions!$D$4</f>
        <v>6.1945879073556211</v>
      </c>
      <c r="AH24" s="3">
        <f t="shared" si="0"/>
        <v>29.094841482644373</v>
      </c>
      <c r="AI24">
        <f t="shared" si="5"/>
        <v>30</v>
      </c>
      <c r="AJ24">
        <f t="shared" si="3"/>
        <v>0.11052848152960514</v>
      </c>
      <c r="AK24" s="15">
        <f t="shared" si="1"/>
        <v>263.2338839727143</v>
      </c>
      <c r="AL24" s="43">
        <f t="shared" si="4"/>
        <v>0</v>
      </c>
    </row>
    <row r="25" spans="2:38" x14ac:dyDescent="0.25">
      <c r="B25" t="s">
        <v>15</v>
      </c>
      <c r="C25" t="s">
        <v>9</v>
      </c>
      <c r="D25" t="s">
        <v>245</v>
      </c>
      <c r="E25" t="s">
        <v>339</v>
      </c>
      <c r="F25" t="s">
        <v>6</v>
      </c>
      <c r="G25" t="s">
        <v>130</v>
      </c>
      <c r="H25" t="s">
        <v>37</v>
      </c>
      <c r="I25" t="s">
        <v>34</v>
      </c>
      <c r="J25">
        <v>8760</v>
      </c>
      <c r="K25" s="5">
        <v>1</v>
      </c>
      <c r="L25">
        <v>1</v>
      </c>
      <c r="M25" s="3">
        <f>19631.8145207228/1000</f>
        <v>19.631814520722802</v>
      </c>
      <c r="N25" s="3">
        <f>19631.81452/1000</f>
        <v>19.631814519999999</v>
      </c>
      <c r="O25" s="1">
        <v>0</v>
      </c>
      <c r="P25">
        <v>40</v>
      </c>
      <c r="Q25" s="1">
        <v>6.0000000000000001E-3</v>
      </c>
      <c r="R25">
        <v>1</v>
      </c>
      <c r="S25">
        <v>1</v>
      </c>
      <c r="T25" s="16">
        <f>Capacity!B24*1000</f>
        <v>1842.8252929999999</v>
      </c>
      <c r="U25" s="17">
        <f>Capacity!AR24*1000</f>
        <v>0</v>
      </c>
      <c r="V25" s="17">
        <f>Capacity!D24*1000</f>
        <v>0</v>
      </c>
      <c r="W25" s="17">
        <f>Capacity!X24*1000</f>
        <v>0</v>
      </c>
      <c r="X25" s="31"/>
      <c r="Y25" s="34"/>
      <c r="Z25">
        <v>4.4000000000000004</v>
      </c>
      <c r="AA25">
        <v>0.105</v>
      </c>
      <c r="AC25" s="30"/>
      <c r="AD25" s="1">
        <f>K25-Q25</f>
        <v>0.99399999999999999</v>
      </c>
      <c r="AE25" s="30"/>
      <c r="AF25">
        <v>0</v>
      </c>
      <c r="AG25">
        <f>Z25*Conversions!$D$4</f>
        <v>5.4512373584729472</v>
      </c>
      <c r="AH25" s="3">
        <f t="shared" si="0"/>
        <v>14.180577162249854</v>
      </c>
      <c r="AI25">
        <f t="shared" si="5"/>
        <v>40</v>
      </c>
      <c r="AJ25">
        <f t="shared" si="3"/>
        <v>0.10697140835497033</v>
      </c>
      <c r="AK25" s="15">
        <f t="shared" si="1"/>
        <v>132.56418121741001</v>
      </c>
      <c r="AL25" s="43">
        <f t="shared" si="4"/>
        <v>1842.8252929999999</v>
      </c>
    </row>
    <row r="26" spans="2:38" x14ac:dyDescent="0.25">
      <c r="B26" t="s">
        <v>18</v>
      </c>
      <c r="C26" t="s">
        <v>9</v>
      </c>
      <c r="D26" t="s">
        <v>245</v>
      </c>
      <c r="E26" t="s">
        <v>341</v>
      </c>
      <c r="F26" t="s">
        <v>6</v>
      </c>
      <c r="G26" t="s">
        <v>130</v>
      </c>
      <c r="H26" t="s">
        <v>37</v>
      </c>
      <c r="I26" t="s">
        <v>34</v>
      </c>
      <c r="J26">
        <v>8760</v>
      </c>
      <c r="K26" s="5">
        <v>1</v>
      </c>
      <c r="L26">
        <v>1</v>
      </c>
      <c r="M26" s="3">
        <f>11825.3487554956/1000</f>
        <v>11.825348755495598</v>
      </c>
      <c r="N26" s="3">
        <f>11825.34876/1000</f>
        <v>11.825348760000001</v>
      </c>
      <c r="O26" s="1">
        <v>0</v>
      </c>
      <c r="P26">
        <v>35</v>
      </c>
      <c r="Q26" s="1">
        <v>0.01</v>
      </c>
      <c r="R26">
        <v>1</v>
      </c>
      <c r="S26">
        <v>1</v>
      </c>
      <c r="T26" s="16">
        <f>Capacity!B25*1000</f>
        <v>299.35000000000002</v>
      </c>
      <c r="U26" s="17">
        <f>Capacity!AR25*1000</f>
        <v>0</v>
      </c>
      <c r="V26" s="17">
        <f>Capacity!D25*1000</f>
        <v>9.9999999999999982</v>
      </c>
      <c r="W26" s="17">
        <f>Capacity!X25*1000</f>
        <v>9.9999999999999982</v>
      </c>
      <c r="X26" s="31"/>
      <c r="Y26" s="34"/>
      <c r="Z26">
        <f>2.4</f>
        <v>2.4</v>
      </c>
      <c r="AA26">
        <v>8.3500000000000005E-2</v>
      </c>
      <c r="AC26" s="30"/>
      <c r="AD26" s="1">
        <f>K26-Q26</f>
        <v>0.99</v>
      </c>
      <c r="AE26" s="30"/>
      <c r="AF26">
        <v>0</v>
      </c>
      <c r="AG26">
        <f>Z26*Conversions!$D$4</f>
        <v>2.973402195530698</v>
      </c>
      <c r="AH26" s="3">
        <f t="shared" si="0"/>
        <v>8.851946559964901</v>
      </c>
      <c r="AI26">
        <f t="shared" si="5"/>
        <v>35</v>
      </c>
      <c r="AJ26">
        <f t="shared" si="3"/>
        <v>8.8866958914066166E-2</v>
      </c>
      <c r="AK26" s="15">
        <f t="shared" si="1"/>
        <v>99.608973550278478</v>
      </c>
      <c r="AL26" s="43">
        <f t="shared" si="4"/>
        <v>299.35000000000002</v>
      </c>
    </row>
    <row r="27" spans="2:38" x14ac:dyDescent="0.25">
      <c r="B27" t="s">
        <v>7</v>
      </c>
      <c r="C27" t="s">
        <v>9</v>
      </c>
      <c r="D27" t="s">
        <v>241</v>
      </c>
      <c r="E27" t="s">
        <v>342</v>
      </c>
      <c r="F27" t="s">
        <v>6</v>
      </c>
      <c r="G27" t="s">
        <v>130</v>
      </c>
      <c r="H27" t="s">
        <v>38</v>
      </c>
      <c r="I27" t="s">
        <v>34</v>
      </c>
      <c r="J27">
        <v>8760</v>
      </c>
      <c r="K27" s="5">
        <v>0.238845897</v>
      </c>
      <c r="L27">
        <v>1</v>
      </c>
      <c r="M27" s="3">
        <f>7713.45723965334/1000</f>
        <v>7.7134572396533407</v>
      </c>
      <c r="N27" s="3">
        <f>7713.45724/1000</f>
        <v>7.7134572399999994</v>
      </c>
      <c r="O27" s="1">
        <v>0</v>
      </c>
      <c r="P27">
        <v>20</v>
      </c>
      <c r="Q27" s="1">
        <v>0.1</v>
      </c>
      <c r="R27">
        <v>0.06</v>
      </c>
      <c r="S27">
        <v>0.06</v>
      </c>
      <c r="T27" s="16">
        <f>Capacity!B26*1000</f>
        <v>15.8</v>
      </c>
      <c r="U27" s="17">
        <f>Capacity!AR26*1000</f>
        <v>0</v>
      </c>
      <c r="V27" s="17">
        <f>Capacity!D26*1000</f>
        <v>1</v>
      </c>
      <c r="W27" s="17">
        <f>Capacity!X26*1000</f>
        <v>1</v>
      </c>
      <c r="X27" s="1">
        <f>CarriersTech_characteristics!$G$7</f>
        <v>13.648968</v>
      </c>
      <c r="Y27" s="1">
        <f>CarriersTech_characteristics!$H$5*1000</f>
        <v>1656436.6880000001</v>
      </c>
      <c r="Z27" s="12">
        <v>1</v>
      </c>
      <c r="AA27">
        <v>8.3500000000000005E-2</v>
      </c>
      <c r="AC27" s="1">
        <f>1/K27/(1-Q27)</f>
        <v>4.6519999927447406</v>
      </c>
      <c r="AD27" s="31"/>
      <c r="AE27" s="36">
        <f>Y27/(X27*Conversions!$D$2)</f>
        <v>0.43689545093040172</v>
      </c>
      <c r="AF27">
        <v>0</v>
      </c>
      <c r="AG27">
        <f>Z27*Conversions!$D$4</f>
        <v>1.2389175814711242</v>
      </c>
      <c r="AH27" s="3">
        <f t="shared" si="0"/>
        <v>6.4745396581822163</v>
      </c>
      <c r="AI27">
        <f t="shared" si="5"/>
        <v>20</v>
      </c>
      <c r="AJ27">
        <f t="shared" si="3"/>
        <v>0.10451929579519206</v>
      </c>
      <c r="AK27" s="15">
        <f t="shared" si="1"/>
        <v>61.945879073556178</v>
      </c>
      <c r="AL27" s="43">
        <f t="shared" si="4"/>
        <v>15.8</v>
      </c>
    </row>
    <row r="28" spans="2:38" x14ac:dyDescent="0.25">
      <c r="B28" t="s">
        <v>19</v>
      </c>
      <c r="C28" t="s">
        <v>9</v>
      </c>
      <c r="D28" t="s">
        <v>253</v>
      </c>
      <c r="E28" t="s">
        <v>343</v>
      </c>
      <c r="F28" t="s">
        <v>6</v>
      </c>
      <c r="G28" t="s">
        <v>130</v>
      </c>
      <c r="H28" t="s">
        <v>39</v>
      </c>
      <c r="I28" t="s">
        <v>34</v>
      </c>
      <c r="J28">
        <v>8760</v>
      </c>
      <c r="K28" s="5">
        <v>1</v>
      </c>
      <c r="L28">
        <v>1</v>
      </c>
      <c r="M28" s="3">
        <f>5630.98419436319/1000</f>
        <v>5.6309841943631902</v>
      </c>
      <c r="N28" s="3">
        <f>5439.705856/1000</f>
        <v>5.4397058559999998</v>
      </c>
      <c r="O28" s="1">
        <v>0</v>
      </c>
      <c r="P28">
        <v>25</v>
      </c>
      <c r="Q28" s="1">
        <v>0.01</v>
      </c>
      <c r="R28">
        <v>1</v>
      </c>
      <c r="S28">
        <v>1</v>
      </c>
      <c r="T28" s="16">
        <f>Capacity!B27*1000</f>
        <v>171.48962199999997</v>
      </c>
      <c r="U28" s="17">
        <f>Capacity!AR27*1000</f>
        <v>0</v>
      </c>
      <c r="V28" s="17">
        <f>Capacity!D27*1000</f>
        <v>7</v>
      </c>
      <c r="W28" s="17">
        <f>Capacity!X27*1000</f>
        <v>7</v>
      </c>
      <c r="X28" s="31"/>
      <c r="Y28" s="35" t="s">
        <v>265</v>
      </c>
      <c r="Z28">
        <v>0.35</v>
      </c>
      <c r="AA28">
        <v>0.105</v>
      </c>
      <c r="AC28" s="31">
        <v>1</v>
      </c>
      <c r="AD28" s="31"/>
      <c r="AE28" s="30"/>
      <c r="AF28">
        <v>0</v>
      </c>
      <c r="AG28">
        <f>Z28*Conversions!$D$4</f>
        <v>0.43362115351489344</v>
      </c>
      <c r="AH28" s="3">
        <f t="shared" si="0"/>
        <v>5.1973630408482965</v>
      </c>
      <c r="AI28">
        <f t="shared" si="5"/>
        <v>25</v>
      </c>
      <c r="AJ28">
        <f t="shared" si="3"/>
        <v>0.11442931981310331</v>
      </c>
      <c r="AK28" s="15">
        <f t="shared" si="1"/>
        <v>45.419854363699066</v>
      </c>
      <c r="AL28" s="43">
        <f t="shared" si="4"/>
        <v>171.48962199999997</v>
      </c>
    </row>
    <row r="29" spans="2:38" x14ac:dyDescent="0.25">
      <c r="B29" t="s">
        <v>20</v>
      </c>
      <c r="C29" t="s">
        <v>9</v>
      </c>
      <c r="D29" t="s">
        <v>253</v>
      </c>
      <c r="E29" t="s">
        <v>344</v>
      </c>
      <c r="F29" t="s">
        <v>6</v>
      </c>
      <c r="G29" t="s">
        <v>130</v>
      </c>
      <c r="H29" t="s">
        <v>39</v>
      </c>
      <c r="I29" t="s">
        <v>34</v>
      </c>
      <c r="J29">
        <v>8760</v>
      </c>
      <c r="K29" s="5">
        <v>1</v>
      </c>
      <c r="L29">
        <v>1</v>
      </c>
      <c r="M29" s="3">
        <f>5542.18769541597/1000</f>
        <v>5.5421876954159695</v>
      </c>
      <c r="N29" s="3">
        <f>5362.133837/1000</f>
        <v>5.362133837</v>
      </c>
      <c r="O29" s="1">
        <v>0</v>
      </c>
      <c r="P29">
        <v>25</v>
      </c>
      <c r="Q29" s="1">
        <v>6.0000000000000001E-3</v>
      </c>
      <c r="R29">
        <v>1</v>
      </c>
      <c r="S29">
        <v>1</v>
      </c>
      <c r="T29" s="16">
        <f>Capacity!B28*1000</f>
        <v>67.610377999999997</v>
      </c>
      <c r="U29" s="17">
        <f>Capacity!AR28*1000</f>
        <v>0</v>
      </c>
      <c r="V29" s="17">
        <f>Capacity!D28*1000</f>
        <v>8</v>
      </c>
      <c r="W29" s="17">
        <f>Capacity!X28*1000</f>
        <v>8</v>
      </c>
      <c r="X29" s="31"/>
      <c r="Y29" s="31"/>
      <c r="Z29">
        <v>0.51</v>
      </c>
      <c r="AA29">
        <v>0.104</v>
      </c>
      <c r="AC29" s="31">
        <v>1</v>
      </c>
      <c r="AD29" s="31"/>
      <c r="AE29" s="30"/>
      <c r="AF29">
        <v>0</v>
      </c>
      <c r="AG29">
        <f>Z29*Conversions!$D$4</f>
        <v>0.63184796655027331</v>
      </c>
      <c r="AH29" s="3">
        <f t="shared" si="0"/>
        <v>4.9103397288656963</v>
      </c>
      <c r="AI29">
        <f t="shared" si="5"/>
        <v>25</v>
      </c>
      <c r="AJ29">
        <f t="shared" si="3"/>
        <v>0.11357300490974749</v>
      </c>
      <c r="AK29" s="15">
        <f t="shared" si="1"/>
        <v>43.235095635338453</v>
      </c>
      <c r="AL29" s="43">
        <f t="shared" si="4"/>
        <v>67.610377999999997</v>
      </c>
    </row>
    <row r="30" spans="2:38" x14ac:dyDescent="0.25">
      <c r="B30" t="s">
        <v>21</v>
      </c>
      <c r="C30" t="s">
        <v>9</v>
      </c>
      <c r="D30" t="s">
        <v>253</v>
      </c>
      <c r="E30" t="s">
        <v>345</v>
      </c>
      <c r="F30" t="s">
        <v>6</v>
      </c>
      <c r="G30" t="s">
        <v>130</v>
      </c>
      <c r="H30" t="s">
        <v>40</v>
      </c>
      <c r="I30" t="s">
        <v>34</v>
      </c>
      <c r="J30">
        <v>8760</v>
      </c>
      <c r="K30" s="5">
        <v>1</v>
      </c>
      <c r="L30">
        <v>1</v>
      </c>
      <c r="M30" s="3">
        <f>10659.4302732183/1000</f>
        <v>10.6594302732183</v>
      </c>
      <c r="N30" s="3">
        <f>10586.96446/1000</f>
        <v>10.586964459999999</v>
      </c>
      <c r="O30" s="1">
        <v>0</v>
      </c>
      <c r="P30">
        <v>25</v>
      </c>
      <c r="Q30" s="1">
        <v>5.0000000000000001E-3</v>
      </c>
      <c r="R30">
        <v>1</v>
      </c>
      <c r="S30">
        <v>1</v>
      </c>
      <c r="T30" s="16">
        <f>Capacity!B29*1000</f>
        <v>0</v>
      </c>
      <c r="U30" s="17">
        <f>Capacity!AR29*1000</f>
        <v>0</v>
      </c>
      <c r="V30" s="17">
        <f>Capacity!D29*1000</f>
        <v>0</v>
      </c>
      <c r="W30" s="17">
        <f>Capacity!X29*1000</f>
        <v>0</v>
      </c>
      <c r="X30" s="31"/>
      <c r="Y30" s="31"/>
      <c r="Z30">
        <v>0.68</v>
      </c>
      <c r="AA30">
        <v>0.105</v>
      </c>
      <c r="AC30" s="31">
        <v>1</v>
      </c>
      <c r="AD30" s="31"/>
      <c r="AE30" s="30"/>
      <c r="AF30">
        <v>0</v>
      </c>
      <c r="AG30">
        <f>Z30*Conversions!$D$4</f>
        <v>0.84246395540036456</v>
      </c>
      <c r="AH30" s="3">
        <f t="shared" si="0"/>
        <v>9.8169663178179363</v>
      </c>
      <c r="AI30">
        <f t="shared" si="5"/>
        <v>25</v>
      </c>
      <c r="AJ30">
        <f t="shared" si="3"/>
        <v>0.11442931981310331</v>
      </c>
      <c r="AK30" s="15">
        <f t="shared" si="1"/>
        <v>85.790655173446154</v>
      </c>
      <c r="AL30" s="43">
        <f t="shared" si="4"/>
        <v>0</v>
      </c>
    </row>
    <row r="31" spans="2:38" s="24" customFormat="1" x14ac:dyDescent="0.25">
      <c r="B31" s="24" t="s">
        <v>23</v>
      </c>
      <c r="C31" s="24" t="s">
        <v>9</v>
      </c>
      <c r="D31" s="24" t="s">
        <v>253</v>
      </c>
      <c r="F31" s="24" t="s">
        <v>6</v>
      </c>
      <c r="G31" s="24" t="s">
        <v>130</v>
      </c>
      <c r="H31" s="24" t="s">
        <v>40</v>
      </c>
      <c r="I31" s="24" t="s">
        <v>34</v>
      </c>
      <c r="J31" s="24">
        <v>8760</v>
      </c>
      <c r="K31" s="44">
        <v>1</v>
      </c>
      <c r="L31" s="24">
        <v>1</v>
      </c>
      <c r="M31" s="45">
        <f>N31</f>
        <v>34.540361669999996</v>
      </c>
      <c r="N31" s="46">
        <f>34540.36167/1000</f>
        <v>34.540361669999996</v>
      </c>
      <c r="O31" s="47">
        <v>0</v>
      </c>
      <c r="P31" s="24">
        <v>25</v>
      </c>
      <c r="Q31" s="47">
        <v>5.0000000000000001E-3</v>
      </c>
      <c r="R31" s="24">
        <v>1</v>
      </c>
      <c r="S31" s="24">
        <v>1</v>
      </c>
      <c r="T31" s="48">
        <f>Capacity!B30*1000</f>
        <v>0</v>
      </c>
      <c r="U31" s="49">
        <f>Capacity!AR30*1000</f>
        <v>0</v>
      </c>
      <c r="V31" s="49">
        <f>Capacity!D30*1000</f>
        <v>0</v>
      </c>
      <c r="W31" s="49">
        <f>Capacity!X30*1000</f>
        <v>0</v>
      </c>
      <c r="X31" s="50"/>
      <c r="Y31" s="50"/>
      <c r="Z31" s="24">
        <v>6.7</v>
      </c>
      <c r="AA31" s="24">
        <v>0.112</v>
      </c>
      <c r="AB31" s="51"/>
      <c r="AC31" s="50">
        <v>1</v>
      </c>
      <c r="AD31" s="50"/>
      <c r="AE31" s="52"/>
      <c r="AF31" s="24">
        <v>0</v>
      </c>
      <c r="AG31" s="24">
        <f>Z31*Conversions!$D$4</f>
        <v>8.3007477958565321</v>
      </c>
      <c r="AH31" s="46">
        <f t="shared" si="0"/>
        <v>26.239613874143465</v>
      </c>
      <c r="AI31" s="24">
        <f>P31</f>
        <v>25</v>
      </c>
      <c r="AJ31" s="24">
        <f t="shared" si="3"/>
        <v>0.12047788778229078</v>
      </c>
      <c r="AK31" s="53">
        <f t="shared" si="1"/>
        <v>217.79609816499843</v>
      </c>
      <c r="AL31" s="54">
        <f t="shared" si="4"/>
        <v>0</v>
      </c>
    </row>
    <row r="32" spans="2:38" x14ac:dyDescent="0.25">
      <c r="B32" t="s">
        <v>13</v>
      </c>
      <c r="C32" t="s">
        <v>10</v>
      </c>
      <c r="D32" t="s">
        <v>241</v>
      </c>
      <c r="E32" t="s">
        <v>337</v>
      </c>
      <c r="F32" t="s">
        <v>6</v>
      </c>
      <c r="G32" t="s">
        <v>130</v>
      </c>
      <c r="H32" t="s">
        <v>33</v>
      </c>
      <c r="I32" t="s">
        <v>34</v>
      </c>
      <c r="J32">
        <v>8760</v>
      </c>
      <c r="K32" s="5">
        <v>0.38096819999999998</v>
      </c>
      <c r="L32">
        <v>0.85</v>
      </c>
      <c r="M32" s="3">
        <f>6514.90571684157/1000</f>
        <v>6.5149057168415698</v>
      </c>
      <c r="N32" s="3">
        <f>13721.03129/1000</f>
        <v>13.721031290000001</v>
      </c>
      <c r="O32" s="1">
        <v>133.5230182</v>
      </c>
      <c r="P32">
        <v>40</v>
      </c>
      <c r="Q32" s="1">
        <v>6.6000000000000003E-2</v>
      </c>
      <c r="R32">
        <v>0.3</v>
      </c>
      <c r="S32">
        <v>0.3</v>
      </c>
      <c r="T32" s="16">
        <f>Capacity!B33*1000</f>
        <v>41729.904175000003</v>
      </c>
      <c r="U32" s="17">
        <f>Capacity!AR33*1000</f>
        <v>0</v>
      </c>
      <c r="V32" s="17">
        <f>Capacity!D33*1000</f>
        <v>0</v>
      </c>
      <c r="W32" s="17">
        <f>Capacity!X33*1000</f>
        <v>0</v>
      </c>
      <c r="X32" s="1">
        <f>CarriersTech_characteristics!$G$2</f>
        <v>17.207187650000002</v>
      </c>
      <c r="Y32" s="1">
        <f>CarriersTech_characteristics!$H$28*1000</f>
        <v>1942097.6230000001</v>
      </c>
      <c r="Z32" s="7">
        <v>3</v>
      </c>
      <c r="AA32">
        <v>0.105</v>
      </c>
      <c r="AB32" s="41"/>
      <c r="AC32" s="1">
        <f>1/K32/(1-Q32)</f>
        <v>2.8103758044980376</v>
      </c>
      <c r="AD32" s="31"/>
      <c r="AE32" s="37">
        <f>Y32/(X32*Conversions!$D$2)</f>
        <v>0.40631575182871843</v>
      </c>
      <c r="AF32" s="11">
        <f>O32/CarriersTech_characteristics!$G$2/Conversions!$D$2*AC32</f>
        <v>7.8507860294473842E-5</v>
      </c>
      <c r="AG32">
        <f>Z32*Conversions!$D$4</f>
        <v>3.7167527444133723</v>
      </c>
      <c r="AH32" s="3">
        <f t="shared" si="0"/>
        <v>2.7981529724281975</v>
      </c>
      <c r="AI32">
        <f>P32</f>
        <v>40</v>
      </c>
      <c r="AJ32">
        <f t="shared" si="3"/>
        <v>0.10697140835497033</v>
      </c>
      <c r="AK32" s="15">
        <f>AH32/AJ32</f>
        <v>26.157952068303153</v>
      </c>
      <c r="AL32" s="43">
        <f t="shared" si="4"/>
        <v>41729.904175000003</v>
      </c>
    </row>
    <row r="33" spans="2:38" x14ac:dyDescent="0.25">
      <c r="B33" t="s">
        <v>14</v>
      </c>
      <c r="C33" t="s">
        <v>10</v>
      </c>
      <c r="D33" t="s">
        <v>241</v>
      </c>
      <c r="E33" t="s">
        <v>340</v>
      </c>
      <c r="F33" t="s">
        <v>6</v>
      </c>
      <c r="G33" t="s">
        <v>130</v>
      </c>
      <c r="H33" t="s">
        <v>35</v>
      </c>
      <c r="I33" t="s">
        <v>34</v>
      </c>
      <c r="J33">
        <v>8760</v>
      </c>
      <c r="K33" s="5">
        <v>0.40444272199999998</v>
      </c>
      <c r="L33">
        <v>0.85</v>
      </c>
      <c r="M33" s="3">
        <f>8512.22780274884/1000</f>
        <v>8.5122278027488392</v>
      </c>
      <c r="N33" s="3">
        <f>8512.227803/1000</f>
        <v>8.512227803</v>
      </c>
      <c r="O33" s="1">
        <v>0</v>
      </c>
      <c r="P33">
        <v>25</v>
      </c>
      <c r="Q33" s="1">
        <v>0.02</v>
      </c>
      <c r="R33">
        <v>0.9</v>
      </c>
      <c r="S33">
        <v>0.9</v>
      </c>
      <c r="T33" s="16">
        <f>Capacity!B34*1000</f>
        <v>770.80433300000004</v>
      </c>
      <c r="U33" s="17">
        <f>Capacity!AR34*1000</f>
        <v>0</v>
      </c>
      <c r="V33" s="17">
        <f>Capacity!D34*1000</f>
        <v>0</v>
      </c>
      <c r="W33" s="17">
        <f>Capacity!X34*1000</f>
        <v>0</v>
      </c>
      <c r="X33" s="1">
        <f>CarriersTech_characteristics!$G$3</f>
        <v>37.681199999999997</v>
      </c>
      <c r="Y33" s="1">
        <f>CarriersTech_characteristics!$H$3*1000</f>
        <v>3025024.5490000001</v>
      </c>
      <c r="Z33">
        <v>2.9</v>
      </c>
      <c r="AA33">
        <v>0.105</v>
      </c>
      <c r="AC33" s="1">
        <f>1/K33/(1-Q33)</f>
        <v>2.5229979617863072</v>
      </c>
      <c r="AD33" s="31"/>
      <c r="AE33" s="37">
        <f>(Y33*Conversions!$D$3)/(X33*Conversions!$D$2)</f>
        <v>0.23958587284408495</v>
      </c>
      <c r="AF33">
        <v>0</v>
      </c>
      <c r="AG33">
        <f>Z33*Conversions!$D$4</f>
        <v>3.5928609862662602</v>
      </c>
      <c r="AH33" s="3">
        <f t="shared" si="0"/>
        <v>4.9193668164825795</v>
      </c>
      <c r="AI33">
        <f t="shared" ref="AI33:AI42" si="6">P33</f>
        <v>25</v>
      </c>
      <c r="AJ33">
        <f t="shared" si="3"/>
        <v>0.11442931981310331</v>
      </c>
      <c r="AK33" s="15">
        <f t="shared" si="1"/>
        <v>42.990440077048</v>
      </c>
      <c r="AL33" s="43">
        <f t="shared" si="4"/>
        <v>770.80433300000004</v>
      </c>
    </row>
    <row r="34" spans="2:38" x14ac:dyDescent="0.25">
      <c r="B34" t="s">
        <v>16</v>
      </c>
      <c r="C34" t="s">
        <v>10</v>
      </c>
      <c r="D34" t="s">
        <v>241</v>
      </c>
      <c r="F34" t="s">
        <v>6</v>
      </c>
      <c r="G34" t="s">
        <v>130</v>
      </c>
      <c r="H34" t="s">
        <v>35</v>
      </c>
      <c r="I34" t="s">
        <v>34</v>
      </c>
      <c r="J34">
        <v>8760</v>
      </c>
      <c r="K34" s="5">
        <v>0.28070162799999998</v>
      </c>
      <c r="L34">
        <v>0.85</v>
      </c>
      <c r="M34" s="3">
        <f>6679.75064927145/1000</f>
        <v>6.6797506492714502</v>
      </c>
      <c r="N34" s="3">
        <f>6679.750649/1000</f>
        <v>6.6797506489999998</v>
      </c>
      <c r="O34" s="1">
        <v>0</v>
      </c>
      <c r="P34">
        <v>25</v>
      </c>
      <c r="Q34" s="1">
        <v>0.01</v>
      </c>
      <c r="R34">
        <v>1</v>
      </c>
      <c r="S34">
        <v>1</v>
      </c>
      <c r="T34" s="16">
        <f>Capacity!B35*1000</f>
        <v>0</v>
      </c>
      <c r="U34" s="17">
        <f>Capacity!AR35*1000</f>
        <v>0</v>
      </c>
      <c r="V34" s="17">
        <f>Capacity!D35*1000</f>
        <v>0</v>
      </c>
      <c r="W34" s="17">
        <f>Capacity!X35*1000</f>
        <v>0</v>
      </c>
      <c r="X34" s="1">
        <f>CarriersTech_characteristics!$G$3</f>
        <v>37.681199999999997</v>
      </c>
      <c r="Y34" s="1">
        <f>CarriersTech_characteristics!$H$3*1000</f>
        <v>3025024.5490000001</v>
      </c>
      <c r="Z34">
        <v>0.7</v>
      </c>
      <c r="AA34">
        <v>0.105</v>
      </c>
      <c r="AC34" s="1">
        <f>1/K34/(1-Q34)</f>
        <v>3.5984864687033813</v>
      </c>
      <c r="AD34" s="31"/>
      <c r="AE34" s="37">
        <f>(Y34*Conversions!$D$3)/(X34*Conversions!$D$2)</f>
        <v>0.23958587284408495</v>
      </c>
      <c r="AF34">
        <v>0</v>
      </c>
      <c r="AG34">
        <f>Z34*Conversions!$D$4</f>
        <v>0.86724230702978689</v>
      </c>
      <c r="AH34" s="3">
        <f t="shared" si="0"/>
        <v>5.8125083422416637</v>
      </c>
      <c r="AI34">
        <f t="shared" si="6"/>
        <v>25</v>
      </c>
      <c r="AJ34">
        <f t="shared" si="3"/>
        <v>0.11442931981310331</v>
      </c>
      <c r="AK34" s="15">
        <f t="shared" si="1"/>
        <v>50.795620840316076</v>
      </c>
      <c r="AL34" s="43">
        <f t="shared" si="4"/>
        <v>0</v>
      </c>
    </row>
    <row r="35" spans="2:38" x14ac:dyDescent="0.25">
      <c r="B35" t="s">
        <v>17</v>
      </c>
      <c r="C35" t="s">
        <v>10</v>
      </c>
      <c r="D35" t="s">
        <v>241</v>
      </c>
      <c r="E35" t="s">
        <v>338</v>
      </c>
      <c r="F35" t="s">
        <v>6</v>
      </c>
      <c r="G35" t="s">
        <v>130</v>
      </c>
      <c r="H35" t="s">
        <v>36</v>
      </c>
      <c r="I35" t="s">
        <v>34</v>
      </c>
      <c r="J35">
        <v>8760</v>
      </c>
      <c r="K35" s="5">
        <v>1</v>
      </c>
      <c r="L35">
        <v>0.70916666699999997</v>
      </c>
      <c r="M35" s="3">
        <f>20833.2103478327/1000</f>
        <v>20.833210347832701</v>
      </c>
      <c r="N35" s="3">
        <f>20833.21035/1000</f>
        <v>20.833210350000002</v>
      </c>
      <c r="O35" s="1">
        <v>0</v>
      </c>
      <c r="P35">
        <v>40</v>
      </c>
      <c r="Q35" s="1">
        <v>0.10780000000000001</v>
      </c>
      <c r="R35">
        <v>0.01</v>
      </c>
      <c r="S35">
        <v>0.01</v>
      </c>
      <c r="T35" s="16">
        <f>Capacity!B36*1000</f>
        <v>0</v>
      </c>
      <c r="U35" s="17">
        <f>Capacity!AR36*1000</f>
        <v>0</v>
      </c>
      <c r="V35" s="17">
        <f>Capacity!D36*1000</f>
        <v>0</v>
      </c>
      <c r="W35" s="17">
        <f>Capacity!X36*1000</f>
        <v>0</v>
      </c>
      <c r="X35" s="33"/>
      <c r="Y35" s="33"/>
      <c r="Z35">
        <v>4.3</v>
      </c>
      <c r="AA35">
        <v>0.105</v>
      </c>
      <c r="AC35" s="1">
        <f>1/K35/(1-Q35)</f>
        <v>1.1208249271463797</v>
      </c>
      <c r="AD35" s="31"/>
      <c r="AE35" s="32"/>
      <c r="AF35">
        <v>0</v>
      </c>
      <c r="AG35">
        <f>Z35*Conversions!$D$4</f>
        <v>5.3273456003258337</v>
      </c>
      <c r="AH35" s="3">
        <f t="shared" si="0"/>
        <v>15.505864747506866</v>
      </c>
      <c r="AI35">
        <f t="shared" si="6"/>
        <v>40</v>
      </c>
      <c r="AJ35">
        <f t="shared" si="3"/>
        <v>0.10697140835497033</v>
      </c>
      <c r="AK35" s="15">
        <f t="shared" si="1"/>
        <v>144.95335703212137</v>
      </c>
      <c r="AL35" s="43">
        <f t="shared" si="4"/>
        <v>0</v>
      </c>
    </row>
    <row r="36" spans="2:38" x14ac:dyDescent="0.25">
      <c r="B36" t="s">
        <v>22</v>
      </c>
      <c r="C36" t="s">
        <v>10</v>
      </c>
      <c r="D36" t="s">
        <v>241</v>
      </c>
      <c r="F36" t="s">
        <v>6</v>
      </c>
      <c r="G36" t="s">
        <v>130</v>
      </c>
      <c r="H36" t="s">
        <v>36</v>
      </c>
      <c r="I36" t="s">
        <v>34</v>
      </c>
      <c r="J36">
        <v>8760</v>
      </c>
      <c r="K36" s="5">
        <v>1</v>
      </c>
      <c r="L36">
        <v>0.70916666699999997</v>
      </c>
      <c r="M36" s="13">
        <f>N36</f>
        <v>35.289429389999995</v>
      </c>
      <c r="N36" s="3">
        <f>35289.42939/1000</f>
        <v>35.289429389999995</v>
      </c>
      <c r="O36" s="1">
        <v>0</v>
      </c>
      <c r="P36">
        <v>30</v>
      </c>
      <c r="Q36" s="1">
        <v>0.05</v>
      </c>
      <c r="R36">
        <v>0.01</v>
      </c>
      <c r="S36">
        <v>0.01</v>
      </c>
      <c r="T36" s="16">
        <f>Capacity!B37*1000</f>
        <v>0</v>
      </c>
      <c r="U36" s="17">
        <f>Capacity!AR37*1000</f>
        <v>0</v>
      </c>
      <c r="V36" s="17">
        <f>Capacity!D37*1000</f>
        <v>0</v>
      </c>
      <c r="W36" s="17">
        <f>Capacity!X37*1000</f>
        <v>0</v>
      </c>
      <c r="X36" s="33"/>
      <c r="Y36" s="33"/>
      <c r="Z36">
        <v>5</v>
      </c>
      <c r="AA36">
        <v>0.105</v>
      </c>
      <c r="AC36" s="1">
        <f>1/K36/(1-Q36)</f>
        <v>1.0526315789473684</v>
      </c>
      <c r="AD36" s="31"/>
      <c r="AE36" s="32"/>
      <c r="AF36">
        <v>0</v>
      </c>
      <c r="AG36">
        <f>Z36*Conversions!$D$4</f>
        <v>6.1945879073556211</v>
      </c>
      <c r="AH36" s="3">
        <f t="shared" si="0"/>
        <v>29.094841482644373</v>
      </c>
      <c r="AI36">
        <f t="shared" si="6"/>
        <v>30</v>
      </c>
      <c r="AJ36">
        <f t="shared" si="3"/>
        <v>0.11052848152960514</v>
      </c>
      <c r="AK36" s="15">
        <f t="shared" si="1"/>
        <v>263.2338839727143</v>
      </c>
      <c r="AL36" s="43">
        <f t="shared" si="4"/>
        <v>0</v>
      </c>
    </row>
    <row r="37" spans="2:38" x14ac:dyDescent="0.25">
      <c r="B37" t="s">
        <v>15</v>
      </c>
      <c r="C37" t="s">
        <v>10</v>
      </c>
      <c r="D37" t="s">
        <v>245</v>
      </c>
      <c r="E37" t="s">
        <v>339</v>
      </c>
      <c r="F37" t="s">
        <v>6</v>
      </c>
      <c r="G37" t="s">
        <v>130</v>
      </c>
      <c r="H37" t="s">
        <v>37</v>
      </c>
      <c r="I37" t="s">
        <v>34</v>
      </c>
      <c r="J37">
        <v>8760</v>
      </c>
      <c r="K37" s="5">
        <v>1</v>
      </c>
      <c r="L37">
        <v>1</v>
      </c>
      <c r="M37" s="3">
        <f>19631.8145207228/1000</f>
        <v>19.631814520722802</v>
      </c>
      <c r="N37" s="3">
        <f>19631.81452/1000</f>
        <v>19.631814519999999</v>
      </c>
      <c r="O37" s="1">
        <v>0</v>
      </c>
      <c r="P37">
        <v>40</v>
      </c>
      <c r="Q37" s="1">
        <v>6.0000000000000001E-3</v>
      </c>
      <c r="R37">
        <v>1</v>
      </c>
      <c r="S37">
        <v>1</v>
      </c>
      <c r="T37" s="16">
        <f>Capacity!B38*1000</f>
        <v>4198.8602859999992</v>
      </c>
      <c r="U37" s="17">
        <f>Capacity!AR38*1000</f>
        <v>0</v>
      </c>
      <c r="V37" s="17">
        <f>Capacity!D38*1000</f>
        <v>0</v>
      </c>
      <c r="W37" s="17">
        <f>Capacity!X38*1000</f>
        <v>0</v>
      </c>
      <c r="X37" s="31"/>
      <c r="Y37" s="34"/>
      <c r="Z37">
        <v>4.4000000000000004</v>
      </c>
      <c r="AA37">
        <v>0.105</v>
      </c>
      <c r="AC37" s="30"/>
      <c r="AD37" s="1">
        <f>K37-Q37</f>
        <v>0.99399999999999999</v>
      </c>
      <c r="AE37" s="30"/>
      <c r="AF37">
        <v>0</v>
      </c>
      <c r="AG37">
        <f>Z37*Conversions!$D$4</f>
        <v>5.4512373584729472</v>
      </c>
      <c r="AH37" s="3">
        <f t="shared" si="0"/>
        <v>14.180577162249854</v>
      </c>
      <c r="AI37">
        <f t="shared" si="6"/>
        <v>40</v>
      </c>
      <c r="AJ37">
        <f t="shared" si="3"/>
        <v>0.10697140835497033</v>
      </c>
      <c r="AK37" s="15">
        <f t="shared" si="1"/>
        <v>132.56418121741001</v>
      </c>
      <c r="AL37" s="43">
        <f t="shared" si="4"/>
        <v>4198.8602859999992</v>
      </c>
    </row>
    <row r="38" spans="2:38" x14ac:dyDescent="0.25">
      <c r="B38" t="s">
        <v>18</v>
      </c>
      <c r="C38" t="s">
        <v>10</v>
      </c>
      <c r="D38" t="s">
        <v>245</v>
      </c>
      <c r="E38" t="s">
        <v>341</v>
      </c>
      <c r="F38" t="s">
        <v>6</v>
      </c>
      <c r="G38" t="s">
        <v>130</v>
      </c>
      <c r="H38" t="s">
        <v>37</v>
      </c>
      <c r="I38" t="s">
        <v>34</v>
      </c>
      <c r="J38">
        <v>8760</v>
      </c>
      <c r="K38" s="5">
        <v>1</v>
      </c>
      <c r="L38">
        <v>1</v>
      </c>
      <c r="M38" s="3">
        <f>11825.3487554956/1000</f>
        <v>11.825348755495598</v>
      </c>
      <c r="N38" s="3">
        <f>11825.34876/1000</f>
        <v>11.825348760000001</v>
      </c>
      <c r="O38" s="1">
        <v>0</v>
      </c>
      <c r="P38">
        <v>35</v>
      </c>
      <c r="Q38" s="1">
        <v>0.01</v>
      </c>
      <c r="R38">
        <v>1</v>
      </c>
      <c r="S38">
        <v>1</v>
      </c>
      <c r="T38" s="16">
        <f>Capacity!B39*1000</f>
        <v>343.99</v>
      </c>
      <c r="U38" s="17">
        <f>Capacity!AR39*1000</f>
        <v>0</v>
      </c>
      <c r="V38" s="17">
        <f>Capacity!D39*1000</f>
        <v>6</v>
      </c>
      <c r="W38" s="17">
        <f>Capacity!X39*1000</f>
        <v>6</v>
      </c>
      <c r="X38" s="31"/>
      <c r="Y38" s="34"/>
      <c r="Z38">
        <f>2.4</f>
        <v>2.4</v>
      </c>
      <c r="AA38">
        <v>8.3500000000000005E-2</v>
      </c>
      <c r="AC38" s="30"/>
      <c r="AD38" s="1">
        <f>K38-Q38</f>
        <v>0.99</v>
      </c>
      <c r="AE38" s="30"/>
      <c r="AF38">
        <v>0</v>
      </c>
      <c r="AG38">
        <f>Z38*Conversions!$D$4</f>
        <v>2.973402195530698</v>
      </c>
      <c r="AH38" s="3">
        <f t="shared" si="0"/>
        <v>8.851946559964901</v>
      </c>
      <c r="AI38">
        <f t="shared" si="6"/>
        <v>35</v>
      </c>
      <c r="AJ38">
        <f t="shared" si="3"/>
        <v>8.8866958914066166E-2</v>
      </c>
      <c r="AK38" s="15">
        <f t="shared" si="1"/>
        <v>99.608973550278478</v>
      </c>
      <c r="AL38" s="43">
        <f t="shared" si="4"/>
        <v>343.99</v>
      </c>
    </row>
    <row r="39" spans="2:38" x14ac:dyDescent="0.25">
      <c r="B39" t="s">
        <v>7</v>
      </c>
      <c r="C39" t="s">
        <v>10</v>
      </c>
      <c r="D39" t="s">
        <v>241</v>
      </c>
      <c r="E39" t="s">
        <v>342</v>
      </c>
      <c r="F39" t="s">
        <v>6</v>
      </c>
      <c r="G39" t="s">
        <v>130</v>
      </c>
      <c r="H39" t="s">
        <v>38</v>
      </c>
      <c r="I39" t="s">
        <v>34</v>
      </c>
      <c r="J39">
        <v>8760</v>
      </c>
      <c r="K39" s="5">
        <v>0.238845897</v>
      </c>
      <c r="L39">
        <v>1</v>
      </c>
      <c r="M39" s="3">
        <f>7713.45723965334/1000</f>
        <v>7.7134572396533407</v>
      </c>
      <c r="N39" s="3">
        <f>7713.45724/1000</f>
        <v>7.7134572399999994</v>
      </c>
      <c r="O39" s="1">
        <v>0</v>
      </c>
      <c r="P39">
        <v>20</v>
      </c>
      <c r="Q39" s="1">
        <v>0.1</v>
      </c>
      <c r="R39">
        <v>0.06</v>
      </c>
      <c r="S39">
        <v>0.06</v>
      </c>
      <c r="T39" s="16">
        <f>Capacity!B40*1000</f>
        <v>560.64</v>
      </c>
      <c r="U39" s="17">
        <f>Capacity!AR40*1000</f>
        <v>0</v>
      </c>
      <c r="V39" s="17">
        <f>Capacity!D40*1000</f>
        <v>23</v>
      </c>
      <c r="W39" s="17">
        <f>Capacity!X40*1000</f>
        <v>23</v>
      </c>
      <c r="X39" s="1">
        <f>CarriersTech_characteristics!$G$7</f>
        <v>13.648968</v>
      </c>
      <c r="Y39" s="1">
        <f>CarriersTech_characteristics!$H$5*1000</f>
        <v>1656436.6880000001</v>
      </c>
      <c r="Z39" s="12">
        <v>1</v>
      </c>
      <c r="AA39">
        <v>8.3500000000000005E-2</v>
      </c>
      <c r="AC39" s="1">
        <f>1/K39/(1-Q39)</f>
        <v>4.6519999927447406</v>
      </c>
      <c r="AD39" s="31"/>
      <c r="AE39" s="36">
        <f>Y39/(X39*Conversions!$D$2)</f>
        <v>0.43689545093040172</v>
      </c>
      <c r="AF39">
        <v>0</v>
      </c>
      <c r="AG39">
        <f>Z39*Conversions!$D$4</f>
        <v>1.2389175814711242</v>
      </c>
      <c r="AH39" s="3">
        <f t="shared" si="0"/>
        <v>6.4745396581822163</v>
      </c>
      <c r="AI39">
        <f t="shared" si="6"/>
        <v>20</v>
      </c>
      <c r="AJ39">
        <f t="shared" si="3"/>
        <v>0.10451929579519206</v>
      </c>
      <c r="AK39" s="15">
        <f t="shared" si="1"/>
        <v>61.945879073556178</v>
      </c>
      <c r="AL39" s="43">
        <f t="shared" si="4"/>
        <v>560.64</v>
      </c>
    </row>
    <row r="40" spans="2:38" x14ac:dyDescent="0.25">
      <c r="B40" t="s">
        <v>19</v>
      </c>
      <c r="C40" t="s">
        <v>10</v>
      </c>
      <c r="D40" t="s">
        <v>253</v>
      </c>
      <c r="E40" t="s">
        <v>343</v>
      </c>
      <c r="F40" t="s">
        <v>6</v>
      </c>
      <c r="G40" t="s">
        <v>130</v>
      </c>
      <c r="H40" t="s">
        <v>39</v>
      </c>
      <c r="I40" t="s">
        <v>34</v>
      </c>
      <c r="J40">
        <v>8760</v>
      </c>
      <c r="K40" s="5">
        <v>1</v>
      </c>
      <c r="L40">
        <v>1</v>
      </c>
      <c r="M40" s="3">
        <f>5630.98419436319/1000</f>
        <v>5.6309841943631902</v>
      </c>
      <c r="N40" s="3">
        <f>5439.705856/1000</f>
        <v>5.4397058559999998</v>
      </c>
      <c r="O40" s="1">
        <v>0</v>
      </c>
      <c r="P40">
        <v>25</v>
      </c>
      <c r="Q40" s="1">
        <v>0.01</v>
      </c>
      <c r="R40">
        <v>1</v>
      </c>
      <c r="S40">
        <v>1</v>
      </c>
      <c r="T40" s="16">
        <f>Capacity!B41*1000</f>
        <v>847.7259029999999</v>
      </c>
      <c r="U40" s="17">
        <f>Capacity!AR41*1000</f>
        <v>0</v>
      </c>
      <c r="V40" s="17">
        <f>Capacity!D41*1000</f>
        <v>40</v>
      </c>
      <c r="W40" s="17">
        <f>Capacity!X41*1000</f>
        <v>40</v>
      </c>
      <c r="X40" s="31"/>
      <c r="Y40" s="35" t="s">
        <v>265</v>
      </c>
      <c r="Z40">
        <v>0.35</v>
      </c>
      <c r="AA40">
        <v>0.105</v>
      </c>
      <c r="AC40" s="31">
        <v>1</v>
      </c>
      <c r="AD40" s="31"/>
      <c r="AE40" s="30"/>
      <c r="AF40">
        <v>0</v>
      </c>
      <c r="AG40">
        <f>Z40*Conversions!$D$4</f>
        <v>0.43362115351489344</v>
      </c>
      <c r="AH40" s="3">
        <f t="shared" ref="AH40:AH67" si="7">M40-AG40</f>
        <v>5.1973630408482965</v>
      </c>
      <c r="AI40">
        <f t="shared" si="6"/>
        <v>25</v>
      </c>
      <c r="AJ40">
        <f t="shared" ref="AJ40:AJ67" si="8">AA40/(1-(1+AA40)^-AI40)</f>
        <v>0.11442931981310331</v>
      </c>
      <c r="AK40" s="15">
        <f t="shared" ref="AK40:AK67" si="9">AH40/AJ40</f>
        <v>45.419854363699066</v>
      </c>
      <c r="AL40" s="43">
        <f t="shared" si="4"/>
        <v>847.7259029999999</v>
      </c>
    </row>
    <row r="41" spans="2:38" x14ac:dyDescent="0.25">
      <c r="B41" t="s">
        <v>20</v>
      </c>
      <c r="C41" t="s">
        <v>10</v>
      </c>
      <c r="D41" t="s">
        <v>253</v>
      </c>
      <c r="E41" t="s">
        <v>344</v>
      </c>
      <c r="F41" t="s">
        <v>6</v>
      </c>
      <c r="G41" t="s">
        <v>130</v>
      </c>
      <c r="H41" t="s">
        <v>39</v>
      </c>
      <c r="I41" t="s">
        <v>34</v>
      </c>
      <c r="J41">
        <v>8760</v>
      </c>
      <c r="K41" s="5">
        <v>1</v>
      </c>
      <c r="L41">
        <v>1</v>
      </c>
      <c r="M41" s="3">
        <f>5542.18769541597/1000</f>
        <v>5.5421876954159695</v>
      </c>
      <c r="N41" s="3">
        <f>5362.133837/1000</f>
        <v>5.362133837</v>
      </c>
      <c r="O41" s="1">
        <v>0</v>
      </c>
      <c r="P41">
        <v>25</v>
      </c>
      <c r="Q41" s="1">
        <v>6.0000000000000001E-3</v>
      </c>
      <c r="R41">
        <v>1</v>
      </c>
      <c r="S41">
        <v>1</v>
      </c>
      <c r="T41" s="16">
        <f>Capacity!B42*1000</f>
        <v>200.08409700000001</v>
      </c>
      <c r="U41" s="17">
        <f>Capacity!AR42*1000</f>
        <v>0</v>
      </c>
      <c r="V41" s="17">
        <f>Capacity!D42*1000</f>
        <v>138</v>
      </c>
      <c r="W41" s="17">
        <f>Capacity!X42*1000</f>
        <v>138</v>
      </c>
      <c r="X41" s="31"/>
      <c r="Y41" s="31"/>
      <c r="Z41">
        <v>0.51</v>
      </c>
      <c r="AA41">
        <v>0.104</v>
      </c>
      <c r="AC41" s="31">
        <v>1</v>
      </c>
      <c r="AD41" s="31"/>
      <c r="AE41" s="30"/>
      <c r="AF41">
        <v>0</v>
      </c>
      <c r="AG41">
        <f>Z41*Conversions!$D$4</f>
        <v>0.63184796655027331</v>
      </c>
      <c r="AH41" s="3">
        <f t="shared" si="7"/>
        <v>4.9103397288656963</v>
      </c>
      <c r="AI41">
        <f t="shared" si="6"/>
        <v>25</v>
      </c>
      <c r="AJ41">
        <f t="shared" si="8"/>
        <v>0.11357300490974749</v>
      </c>
      <c r="AK41" s="15">
        <f t="shared" si="9"/>
        <v>43.235095635338453</v>
      </c>
      <c r="AL41" s="43">
        <f t="shared" si="4"/>
        <v>200.08409700000001</v>
      </c>
    </row>
    <row r="42" spans="2:38" x14ac:dyDescent="0.25">
      <c r="B42" t="s">
        <v>21</v>
      </c>
      <c r="C42" t="s">
        <v>10</v>
      </c>
      <c r="D42" t="s">
        <v>253</v>
      </c>
      <c r="E42" t="s">
        <v>345</v>
      </c>
      <c r="F42" t="s">
        <v>6</v>
      </c>
      <c r="G42" t="s">
        <v>130</v>
      </c>
      <c r="H42" t="s">
        <v>40</v>
      </c>
      <c r="I42" t="s">
        <v>34</v>
      </c>
      <c r="J42">
        <v>8760</v>
      </c>
      <c r="K42" s="5">
        <v>1</v>
      </c>
      <c r="L42">
        <v>1</v>
      </c>
      <c r="M42" s="3">
        <f>10659.4302732183/1000</f>
        <v>10.6594302732183</v>
      </c>
      <c r="N42" s="3">
        <f>10586.96446/1000</f>
        <v>10.586964459999999</v>
      </c>
      <c r="O42" s="1">
        <v>0</v>
      </c>
      <c r="P42">
        <v>25</v>
      </c>
      <c r="Q42" s="1">
        <v>5.0000000000000001E-3</v>
      </c>
      <c r="R42">
        <v>1</v>
      </c>
      <c r="S42">
        <v>1</v>
      </c>
      <c r="T42" s="16">
        <f>Capacity!B43*1000</f>
        <v>46</v>
      </c>
      <c r="U42" s="17">
        <f>Capacity!AR43*1000</f>
        <v>0</v>
      </c>
      <c r="V42" s="17">
        <f>Capacity!D43*1000</f>
        <v>0</v>
      </c>
      <c r="W42" s="17">
        <f>Capacity!X43*1000</f>
        <v>0</v>
      </c>
      <c r="X42" s="31"/>
      <c r="Y42" s="31"/>
      <c r="Z42">
        <v>0.68</v>
      </c>
      <c r="AA42">
        <v>0.105</v>
      </c>
      <c r="AC42" s="31">
        <v>1</v>
      </c>
      <c r="AD42" s="31"/>
      <c r="AE42" s="30"/>
      <c r="AF42">
        <v>0</v>
      </c>
      <c r="AG42">
        <f>Z42*Conversions!$D$4</f>
        <v>0.84246395540036456</v>
      </c>
      <c r="AH42" s="3">
        <f t="shared" si="7"/>
        <v>9.8169663178179363</v>
      </c>
      <c r="AI42">
        <f t="shared" si="6"/>
        <v>25</v>
      </c>
      <c r="AJ42">
        <f t="shared" si="8"/>
        <v>0.11442931981310331</v>
      </c>
      <c r="AK42" s="15">
        <f t="shared" si="9"/>
        <v>85.790655173446154</v>
      </c>
      <c r="AL42" s="43">
        <f t="shared" si="4"/>
        <v>46</v>
      </c>
    </row>
    <row r="43" spans="2:38" s="24" customFormat="1" x14ac:dyDescent="0.25">
      <c r="B43" s="24" t="s">
        <v>23</v>
      </c>
      <c r="C43" s="24" t="s">
        <v>10</v>
      </c>
      <c r="D43" s="24" t="s">
        <v>253</v>
      </c>
      <c r="F43" s="24" t="s">
        <v>6</v>
      </c>
      <c r="G43" s="24" t="s">
        <v>130</v>
      </c>
      <c r="H43" s="24" t="s">
        <v>40</v>
      </c>
      <c r="I43" s="24" t="s">
        <v>34</v>
      </c>
      <c r="J43" s="24">
        <v>8760</v>
      </c>
      <c r="K43" s="44">
        <v>1</v>
      </c>
      <c r="L43" s="24">
        <v>1</v>
      </c>
      <c r="M43" s="45">
        <f>N43</f>
        <v>34.540361669999996</v>
      </c>
      <c r="N43" s="46">
        <f>34540.36167/1000</f>
        <v>34.540361669999996</v>
      </c>
      <c r="O43" s="47">
        <v>0</v>
      </c>
      <c r="P43" s="24">
        <v>25</v>
      </c>
      <c r="Q43" s="47">
        <v>5.0000000000000001E-3</v>
      </c>
      <c r="R43" s="24">
        <v>1</v>
      </c>
      <c r="S43" s="24">
        <v>1</v>
      </c>
      <c r="T43" s="48">
        <f>Capacity!B44*1000</f>
        <v>0</v>
      </c>
      <c r="U43" s="49">
        <f>Capacity!AR44*1000</f>
        <v>0</v>
      </c>
      <c r="V43" s="49">
        <f>Capacity!D44*1000</f>
        <v>0</v>
      </c>
      <c r="W43" s="49">
        <f>Capacity!X44*1000</f>
        <v>0</v>
      </c>
      <c r="X43" s="50"/>
      <c r="Y43" s="50"/>
      <c r="Z43" s="24">
        <v>6.7</v>
      </c>
      <c r="AA43" s="24">
        <v>0.112</v>
      </c>
      <c r="AB43" s="51"/>
      <c r="AC43" s="50">
        <v>1</v>
      </c>
      <c r="AD43" s="50"/>
      <c r="AE43" s="52"/>
      <c r="AF43" s="24">
        <v>0</v>
      </c>
      <c r="AG43" s="24">
        <f>Z43*Conversions!$D$4</f>
        <v>8.3007477958565321</v>
      </c>
      <c r="AH43" s="46">
        <f t="shared" si="7"/>
        <v>26.239613874143465</v>
      </c>
      <c r="AI43" s="24">
        <f>P43</f>
        <v>25</v>
      </c>
      <c r="AJ43" s="24">
        <f t="shared" si="8"/>
        <v>0.12047788778229078</v>
      </c>
      <c r="AK43" s="53">
        <f t="shared" si="9"/>
        <v>217.79609816499843</v>
      </c>
      <c r="AL43" s="54">
        <f t="shared" si="4"/>
        <v>0</v>
      </c>
    </row>
    <row r="44" spans="2:38" x14ac:dyDescent="0.25">
      <c r="B44" t="s">
        <v>13</v>
      </c>
      <c r="C44" t="s">
        <v>11</v>
      </c>
      <c r="D44" t="s">
        <v>241</v>
      </c>
      <c r="E44" t="s">
        <v>337</v>
      </c>
      <c r="F44" t="s">
        <v>6</v>
      </c>
      <c r="G44" t="s">
        <v>130</v>
      </c>
      <c r="H44" t="s">
        <v>33</v>
      </c>
      <c r="I44" t="s">
        <v>34</v>
      </c>
      <c r="J44">
        <v>8760</v>
      </c>
      <c r="K44" s="5">
        <v>0.38096819999999998</v>
      </c>
      <c r="L44">
        <v>0.85</v>
      </c>
      <c r="M44" s="3">
        <f>5794.65159561365/1000</f>
        <v>5.79465159561365</v>
      </c>
      <c r="N44" s="3">
        <f>13721.03129/1000</f>
        <v>13.721031290000001</v>
      </c>
      <c r="O44" s="1">
        <v>133.5230182</v>
      </c>
      <c r="P44">
        <v>40</v>
      </c>
      <c r="Q44" s="1">
        <v>6.6000000000000003E-2</v>
      </c>
      <c r="R44">
        <v>0.3</v>
      </c>
      <c r="S44">
        <v>0.3</v>
      </c>
      <c r="T44" s="16">
        <f>Capacity!B47*1000</f>
        <v>90475.826298999993</v>
      </c>
      <c r="U44" s="17">
        <f>Capacity!AR47*1000</f>
        <v>0</v>
      </c>
      <c r="V44" s="17">
        <f>Capacity!D47*1000</f>
        <v>0</v>
      </c>
      <c r="W44" s="17">
        <f>Capacity!X47*1000</f>
        <v>0</v>
      </c>
      <c r="X44" s="1">
        <f>CarriersTech_characteristics!$G$2</f>
        <v>17.207187650000002</v>
      </c>
      <c r="Y44" s="1">
        <f>CarriersTech_characteristics!$H$28*1000</f>
        <v>1942097.6230000001</v>
      </c>
      <c r="Z44" s="7">
        <v>3</v>
      </c>
      <c r="AA44">
        <v>0.105</v>
      </c>
      <c r="AB44" s="41"/>
      <c r="AC44" s="1">
        <f>1/K44/(1-Q44)</f>
        <v>2.8103758044980376</v>
      </c>
      <c r="AD44" s="31"/>
      <c r="AE44" s="37">
        <f>Y44/(X44*Conversions!$D$2)</f>
        <v>0.40631575182871843</v>
      </c>
      <c r="AF44" s="11">
        <f>O44/CarriersTech_characteristics!$G$2/Conversions!$D$2*AC44</f>
        <v>7.8507860294473842E-5</v>
      </c>
      <c r="AG44">
        <f>Z44*Conversions!$D$4</f>
        <v>3.7167527444133723</v>
      </c>
      <c r="AH44" s="3">
        <f t="shared" si="7"/>
        <v>2.0778988512002776</v>
      </c>
      <c r="AI44">
        <f>P44</f>
        <v>40</v>
      </c>
      <c r="AJ44">
        <f t="shared" si="8"/>
        <v>0.10697140835497033</v>
      </c>
      <c r="AK44" s="15">
        <f t="shared" si="9"/>
        <v>19.424805965955386</v>
      </c>
      <c r="AL44" s="43">
        <f t="shared" si="4"/>
        <v>90475.826298999993</v>
      </c>
    </row>
    <row r="45" spans="2:38" x14ac:dyDescent="0.25">
      <c r="B45" t="s">
        <v>14</v>
      </c>
      <c r="C45" t="s">
        <v>11</v>
      </c>
      <c r="D45" t="s">
        <v>241</v>
      </c>
      <c r="E45" t="s">
        <v>340</v>
      </c>
      <c r="F45" t="s">
        <v>6</v>
      </c>
      <c r="G45" t="s">
        <v>130</v>
      </c>
      <c r="H45" t="s">
        <v>35</v>
      </c>
      <c r="I45" t="s">
        <v>34</v>
      </c>
      <c r="J45">
        <v>8760</v>
      </c>
      <c r="K45" s="5">
        <v>0.40444272199999998</v>
      </c>
      <c r="L45">
        <v>0.85</v>
      </c>
      <c r="M45" s="3">
        <f>8512.22780274884/1000</f>
        <v>8.5122278027488392</v>
      </c>
      <c r="N45" s="3">
        <f>8512.227803/1000</f>
        <v>8.512227803</v>
      </c>
      <c r="O45" s="1">
        <v>0</v>
      </c>
      <c r="P45">
        <v>25</v>
      </c>
      <c r="Q45" s="1">
        <v>0.02</v>
      </c>
      <c r="R45">
        <v>0.9</v>
      </c>
      <c r="S45">
        <v>0.9</v>
      </c>
      <c r="T45" s="16">
        <f>Capacity!B48*1000</f>
        <v>13563.174911999999</v>
      </c>
      <c r="U45" s="17">
        <f>Capacity!AR48*1000</f>
        <v>0</v>
      </c>
      <c r="V45" s="17">
        <f>Capacity!D48*1000</f>
        <v>0</v>
      </c>
      <c r="W45" s="17">
        <f>Capacity!X48*1000</f>
        <v>0</v>
      </c>
      <c r="X45" s="1">
        <f>CarriersTech_characteristics!$G$3</f>
        <v>37.681199999999997</v>
      </c>
      <c r="Y45" s="1">
        <f>CarriersTech_characteristics!$H$3*1000</f>
        <v>3025024.5490000001</v>
      </c>
      <c r="Z45">
        <v>2.9</v>
      </c>
      <c r="AA45">
        <v>0.105</v>
      </c>
      <c r="AC45" s="1">
        <f>1/K45/(1-Q45)</f>
        <v>2.5229979617863072</v>
      </c>
      <c r="AD45" s="31"/>
      <c r="AE45" s="37">
        <f>(Y45*Conversions!$D$3)/(X45*Conversions!$D$2)</f>
        <v>0.23958587284408495</v>
      </c>
      <c r="AF45">
        <v>0</v>
      </c>
      <c r="AG45">
        <f>Z45*Conversions!$D$4</f>
        <v>3.5928609862662602</v>
      </c>
      <c r="AH45" s="3">
        <f t="shared" si="7"/>
        <v>4.9193668164825795</v>
      </c>
      <c r="AI45">
        <f t="shared" ref="AI45:AI54" si="10">P45</f>
        <v>25</v>
      </c>
      <c r="AJ45">
        <f t="shared" si="8"/>
        <v>0.11442931981310331</v>
      </c>
      <c r="AK45" s="15">
        <f t="shared" si="9"/>
        <v>42.990440077048</v>
      </c>
      <c r="AL45" s="43">
        <f t="shared" si="4"/>
        <v>13563.174911999999</v>
      </c>
    </row>
    <row r="46" spans="2:38" x14ac:dyDescent="0.25">
      <c r="B46" t="s">
        <v>16</v>
      </c>
      <c r="C46" t="s">
        <v>11</v>
      </c>
      <c r="D46" t="s">
        <v>241</v>
      </c>
      <c r="F46" t="s">
        <v>6</v>
      </c>
      <c r="G46" t="s">
        <v>130</v>
      </c>
      <c r="H46" t="s">
        <v>35</v>
      </c>
      <c r="I46" t="s">
        <v>34</v>
      </c>
      <c r="J46">
        <v>8760</v>
      </c>
      <c r="K46" s="5">
        <v>0.28070162799999998</v>
      </c>
      <c r="L46">
        <v>0.85</v>
      </c>
      <c r="M46" s="3">
        <f>6679.75064927145/1000</f>
        <v>6.6797506492714502</v>
      </c>
      <c r="N46" s="3">
        <f>6679.750649/1000</f>
        <v>6.6797506489999998</v>
      </c>
      <c r="O46" s="1">
        <v>0</v>
      </c>
      <c r="P46">
        <v>25</v>
      </c>
      <c r="Q46" s="1">
        <v>0.01</v>
      </c>
      <c r="R46">
        <v>1</v>
      </c>
      <c r="S46">
        <v>1</v>
      </c>
      <c r="T46" s="16">
        <f>Capacity!B49*1000</f>
        <v>0</v>
      </c>
      <c r="U46" s="17">
        <f>Capacity!AR49*1000</f>
        <v>0</v>
      </c>
      <c r="V46" s="17">
        <f>Capacity!D49*1000</f>
        <v>0</v>
      </c>
      <c r="W46" s="17">
        <f>Capacity!X49*1000</f>
        <v>0</v>
      </c>
      <c r="X46" s="1">
        <f>CarriersTech_characteristics!$G$3</f>
        <v>37.681199999999997</v>
      </c>
      <c r="Y46" s="1">
        <f>CarriersTech_characteristics!$H$3*1000</f>
        <v>3025024.5490000001</v>
      </c>
      <c r="Z46">
        <v>0.7</v>
      </c>
      <c r="AA46">
        <v>0.105</v>
      </c>
      <c r="AC46" s="1">
        <f>1/K46/(1-Q46)</f>
        <v>3.5984864687033813</v>
      </c>
      <c r="AD46" s="31"/>
      <c r="AE46" s="37">
        <f>(Y46*Conversions!$D$3)/(X46*Conversions!$D$2)</f>
        <v>0.23958587284408495</v>
      </c>
      <c r="AF46">
        <v>0</v>
      </c>
      <c r="AG46">
        <f>Z46*Conversions!$D$4</f>
        <v>0.86724230702978689</v>
      </c>
      <c r="AH46" s="3">
        <f t="shared" si="7"/>
        <v>5.8125083422416637</v>
      </c>
      <c r="AI46">
        <f t="shared" si="10"/>
        <v>25</v>
      </c>
      <c r="AJ46">
        <f t="shared" si="8"/>
        <v>0.11442931981310331</v>
      </c>
      <c r="AK46" s="15">
        <f t="shared" si="9"/>
        <v>50.795620840316076</v>
      </c>
      <c r="AL46" s="43">
        <f t="shared" si="4"/>
        <v>0</v>
      </c>
    </row>
    <row r="47" spans="2:38" x14ac:dyDescent="0.25">
      <c r="B47" t="s">
        <v>17</v>
      </c>
      <c r="C47" t="s">
        <v>11</v>
      </c>
      <c r="D47" t="s">
        <v>241</v>
      </c>
      <c r="E47" t="s">
        <v>338</v>
      </c>
      <c r="F47" t="s">
        <v>6</v>
      </c>
      <c r="G47" t="s">
        <v>130</v>
      </c>
      <c r="H47" t="s">
        <v>36</v>
      </c>
      <c r="I47" t="s">
        <v>34</v>
      </c>
      <c r="J47">
        <v>8760</v>
      </c>
      <c r="K47" s="5">
        <v>1</v>
      </c>
      <c r="L47">
        <v>0.70916666699999997</v>
      </c>
      <c r="M47" s="3">
        <f>20833.2103478327/1000</f>
        <v>20.833210347832701</v>
      </c>
      <c r="N47" s="3">
        <f>20833.21035/1000</f>
        <v>20.833210350000002</v>
      </c>
      <c r="O47" s="1">
        <v>0</v>
      </c>
      <c r="P47">
        <v>40</v>
      </c>
      <c r="Q47" s="1">
        <v>0.10780000000000001</v>
      </c>
      <c r="R47">
        <v>0.01</v>
      </c>
      <c r="S47">
        <v>0.01</v>
      </c>
      <c r="T47" s="16">
        <f>Capacity!B50*1000</f>
        <v>3248.823954</v>
      </c>
      <c r="U47" s="17">
        <f>Capacity!AR50*1000</f>
        <v>0</v>
      </c>
      <c r="V47" s="17">
        <f>Capacity!D50*1000</f>
        <v>1400</v>
      </c>
      <c r="W47" s="17">
        <f>Capacity!X50*1000</f>
        <v>1400</v>
      </c>
      <c r="X47" s="33"/>
      <c r="Y47" s="33"/>
      <c r="Z47">
        <v>4.3</v>
      </c>
      <c r="AA47">
        <v>0.105</v>
      </c>
      <c r="AC47" s="1">
        <f>1/K47/(1-Q47)</f>
        <v>1.1208249271463797</v>
      </c>
      <c r="AD47" s="31"/>
      <c r="AE47" s="32"/>
      <c r="AF47">
        <v>0</v>
      </c>
      <c r="AG47">
        <f>Z47*Conversions!$D$4</f>
        <v>5.3273456003258337</v>
      </c>
      <c r="AH47" s="3">
        <f t="shared" si="7"/>
        <v>15.505864747506866</v>
      </c>
      <c r="AI47">
        <f t="shared" si="10"/>
        <v>40</v>
      </c>
      <c r="AJ47">
        <f t="shared" si="8"/>
        <v>0.10697140835497033</v>
      </c>
      <c r="AK47" s="15">
        <f t="shared" si="9"/>
        <v>144.95335703212137</v>
      </c>
      <c r="AL47" s="43">
        <f t="shared" si="4"/>
        <v>3248.823954</v>
      </c>
    </row>
    <row r="48" spans="2:38" x14ac:dyDescent="0.25">
      <c r="B48" t="s">
        <v>22</v>
      </c>
      <c r="C48" t="s">
        <v>11</v>
      </c>
      <c r="D48" t="s">
        <v>241</v>
      </c>
      <c r="F48" t="s">
        <v>6</v>
      </c>
      <c r="G48" t="s">
        <v>130</v>
      </c>
      <c r="H48" t="s">
        <v>36</v>
      </c>
      <c r="I48" t="s">
        <v>34</v>
      </c>
      <c r="J48">
        <v>8760</v>
      </c>
      <c r="K48" s="5">
        <v>1</v>
      </c>
      <c r="L48">
        <v>0.70916666699999997</v>
      </c>
      <c r="M48" s="13">
        <f>N48</f>
        <v>35.289429389999995</v>
      </c>
      <c r="N48" s="3">
        <f>35289.42939/1000</f>
        <v>35.289429389999995</v>
      </c>
      <c r="O48" s="1">
        <v>0</v>
      </c>
      <c r="P48">
        <v>30</v>
      </c>
      <c r="Q48" s="1">
        <v>0.05</v>
      </c>
      <c r="R48">
        <v>0.01</v>
      </c>
      <c r="S48">
        <v>0.01</v>
      </c>
      <c r="T48" s="16">
        <f>Capacity!B51*1000</f>
        <v>0</v>
      </c>
      <c r="U48" s="17">
        <f>Capacity!AR51*1000</f>
        <v>0</v>
      </c>
      <c r="V48" s="17">
        <f>Capacity!D51*1000</f>
        <v>0</v>
      </c>
      <c r="W48" s="17">
        <f>Capacity!X51*1000</f>
        <v>0</v>
      </c>
      <c r="X48" s="33"/>
      <c r="Y48" s="33"/>
      <c r="Z48">
        <v>5</v>
      </c>
      <c r="AA48">
        <v>0.105</v>
      </c>
      <c r="AC48" s="1">
        <f>1/K48/(1-Q48)</f>
        <v>1.0526315789473684</v>
      </c>
      <c r="AD48" s="31"/>
      <c r="AE48" s="32"/>
      <c r="AF48">
        <v>0</v>
      </c>
      <c r="AG48">
        <f>Z48*Conversions!$D$4</f>
        <v>6.1945879073556211</v>
      </c>
      <c r="AH48" s="3">
        <f t="shared" si="7"/>
        <v>29.094841482644373</v>
      </c>
      <c r="AI48">
        <f t="shared" si="10"/>
        <v>30</v>
      </c>
      <c r="AJ48">
        <f t="shared" si="8"/>
        <v>0.11052848152960514</v>
      </c>
      <c r="AK48" s="15">
        <f t="shared" si="9"/>
        <v>263.2338839727143</v>
      </c>
      <c r="AL48" s="43">
        <f t="shared" si="4"/>
        <v>0</v>
      </c>
    </row>
    <row r="49" spans="2:38" x14ac:dyDescent="0.25">
      <c r="B49" t="s">
        <v>15</v>
      </c>
      <c r="C49" t="s">
        <v>11</v>
      </c>
      <c r="D49" t="s">
        <v>245</v>
      </c>
      <c r="E49" t="s">
        <v>339</v>
      </c>
      <c r="F49" t="s">
        <v>6</v>
      </c>
      <c r="G49" t="s">
        <v>130</v>
      </c>
      <c r="H49" t="s">
        <v>37</v>
      </c>
      <c r="I49" t="s">
        <v>34</v>
      </c>
      <c r="J49">
        <v>8760</v>
      </c>
      <c r="K49" s="5">
        <v>1</v>
      </c>
      <c r="L49">
        <v>1</v>
      </c>
      <c r="M49" s="3">
        <f>19631.8145207228/1000</f>
        <v>19.631814520722802</v>
      </c>
      <c r="N49" s="3">
        <f>19631.81452/1000</f>
        <v>19.631814519999999</v>
      </c>
      <c r="O49" s="1">
        <v>0</v>
      </c>
      <c r="P49">
        <v>40</v>
      </c>
      <c r="Q49" s="1">
        <v>6.0000000000000001E-3</v>
      </c>
      <c r="R49">
        <v>1</v>
      </c>
      <c r="S49">
        <v>1</v>
      </c>
      <c r="T49" s="16">
        <f>Capacity!B52*1000</f>
        <v>7753.2156499999992</v>
      </c>
      <c r="U49" s="17">
        <f>Capacity!AR52*1000</f>
        <v>0</v>
      </c>
      <c r="V49" s="17">
        <f>Capacity!D52*1000</f>
        <v>0</v>
      </c>
      <c r="W49" s="17">
        <f>Capacity!X52*1000</f>
        <v>0</v>
      </c>
      <c r="X49" s="31"/>
      <c r="Y49" s="34"/>
      <c r="Z49">
        <v>4.4000000000000004</v>
      </c>
      <c r="AA49">
        <v>0.105</v>
      </c>
      <c r="AC49" s="30"/>
      <c r="AD49" s="1">
        <f>K49-Q49</f>
        <v>0.99399999999999999</v>
      </c>
      <c r="AE49" s="30"/>
      <c r="AF49">
        <v>0</v>
      </c>
      <c r="AG49">
        <f>Z49*Conversions!$D$4</f>
        <v>5.4512373584729472</v>
      </c>
      <c r="AH49" s="3">
        <f t="shared" si="7"/>
        <v>14.180577162249854</v>
      </c>
      <c r="AI49">
        <f t="shared" si="10"/>
        <v>40</v>
      </c>
      <c r="AJ49">
        <f t="shared" si="8"/>
        <v>0.10697140835497033</v>
      </c>
      <c r="AK49" s="15">
        <f t="shared" si="9"/>
        <v>132.56418121741001</v>
      </c>
      <c r="AL49" s="43">
        <f t="shared" si="4"/>
        <v>7753.2156499999992</v>
      </c>
    </row>
    <row r="50" spans="2:38" x14ac:dyDescent="0.25">
      <c r="B50" t="s">
        <v>18</v>
      </c>
      <c r="C50" t="s">
        <v>11</v>
      </c>
      <c r="D50" t="s">
        <v>245</v>
      </c>
      <c r="E50" t="s">
        <v>341</v>
      </c>
      <c r="F50" t="s">
        <v>6</v>
      </c>
      <c r="G50" t="s">
        <v>130</v>
      </c>
      <c r="H50" t="s">
        <v>37</v>
      </c>
      <c r="I50" t="s">
        <v>34</v>
      </c>
      <c r="J50">
        <v>8760</v>
      </c>
      <c r="K50" s="5">
        <v>1</v>
      </c>
      <c r="L50">
        <v>1</v>
      </c>
      <c r="M50" s="3">
        <f>11825.3487554956/1000</f>
        <v>11.825348755495598</v>
      </c>
      <c r="N50" s="3">
        <f>11825.34876/1000</f>
        <v>11.825348760000001</v>
      </c>
      <c r="O50" s="1">
        <v>0</v>
      </c>
      <c r="P50">
        <v>35</v>
      </c>
      <c r="Q50" s="1">
        <v>0.01</v>
      </c>
      <c r="R50">
        <v>1</v>
      </c>
      <c r="S50">
        <v>1</v>
      </c>
      <c r="T50" s="16">
        <f>Capacity!B53*1000</f>
        <v>672.48</v>
      </c>
      <c r="U50" s="17">
        <f>Capacity!AR53*1000</f>
        <v>0</v>
      </c>
      <c r="V50" s="17">
        <f>Capacity!D53*1000</f>
        <v>11</v>
      </c>
      <c r="W50" s="17">
        <f>Capacity!X53*1000</f>
        <v>11</v>
      </c>
      <c r="X50" s="31"/>
      <c r="Y50" s="34"/>
      <c r="Z50">
        <f>2.4</f>
        <v>2.4</v>
      </c>
      <c r="AA50">
        <v>8.3500000000000005E-2</v>
      </c>
      <c r="AC50" s="30"/>
      <c r="AD50" s="1">
        <f>K50-Q50</f>
        <v>0.99</v>
      </c>
      <c r="AE50" s="30"/>
      <c r="AF50">
        <v>0</v>
      </c>
      <c r="AG50">
        <f>Z50*Conversions!$D$4</f>
        <v>2.973402195530698</v>
      </c>
      <c r="AH50" s="3">
        <f t="shared" si="7"/>
        <v>8.851946559964901</v>
      </c>
      <c r="AI50">
        <f t="shared" si="10"/>
        <v>35</v>
      </c>
      <c r="AJ50">
        <f t="shared" si="8"/>
        <v>8.8866958914066166E-2</v>
      </c>
      <c r="AK50" s="15">
        <f t="shared" si="9"/>
        <v>99.608973550278478</v>
      </c>
      <c r="AL50" s="43">
        <f t="shared" si="4"/>
        <v>672.48</v>
      </c>
    </row>
    <row r="51" spans="2:38" x14ac:dyDescent="0.25">
      <c r="B51" t="s">
        <v>7</v>
      </c>
      <c r="C51" t="s">
        <v>11</v>
      </c>
      <c r="D51" t="s">
        <v>241</v>
      </c>
      <c r="E51" t="s">
        <v>342</v>
      </c>
      <c r="F51" t="s">
        <v>6</v>
      </c>
      <c r="G51" t="s">
        <v>130</v>
      </c>
      <c r="H51" t="s">
        <v>38</v>
      </c>
      <c r="I51" t="s">
        <v>34</v>
      </c>
      <c r="J51">
        <v>8760</v>
      </c>
      <c r="K51" s="5">
        <v>0.238845897</v>
      </c>
      <c r="L51">
        <v>1</v>
      </c>
      <c r="M51" s="3">
        <f>7713.45723965334/1000</f>
        <v>7.7134572396533407</v>
      </c>
      <c r="N51" s="3">
        <f>7713.45724/1000</f>
        <v>7.7134572399999994</v>
      </c>
      <c r="O51" s="1">
        <v>0</v>
      </c>
      <c r="P51">
        <v>20</v>
      </c>
      <c r="Q51" s="1">
        <v>0.1</v>
      </c>
      <c r="R51">
        <v>0.06</v>
      </c>
      <c r="S51">
        <v>0.06</v>
      </c>
      <c r="T51" s="16">
        <f>Capacity!B54*1000</f>
        <v>3161.7000000000003</v>
      </c>
      <c r="U51" s="17">
        <f>Capacity!AR54*1000</f>
        <v>0</v>
      </c>
      <c r="V51" s="17">
        <f>Capacity!D54*1000</f>
        <v>136</v>
      </c>
      <c r="W51" s="17">
        <f>Capacity!X54*1000</f>
        <v>136</v>
      </c>
      <c r="X51" s="1">
        <f>CarriersTech_characteristics!$G$7</f>
        <v>13.648968</v>
      </c>
      <c r="Y51" s="1">
        <f>CarriersTech_characteristics!$H$5*1000</f>
        <v>1656436.6880000001</v>
      </c>
      <c r="Z51" s="12">
        <v>1</v>
      </c>
      <c r="AA51">
        <v>8.3500000000000005E-2</v>
      </c>
      <c r="AC51" s="1">
        <f>1/K51/(1-Q51)</f>
        <v>4.6519999927447406</v>
      </c>
      <c r="AD51" s="31"/>
      <c r="AE51" s="36">
        <f>Y51/(X51*Conversions!$D$2)</f>
        <v>0.43689545093040172</v>
      </c>
      <c r="AF51">
        <v>0</v>
      </c>
      <c r="AG51">
        <f>Z51*Conversions!$D$4</f>
        <v>1.2389175814711242</v>
      </c>
      <c r="AH51" s="3">
        <f t="shared" si="7"/>
        <v>6.4745396581822163</v>
      </c>
      <c r="AI51">
        <f t="shared" si="10"/>
        <v>20</v>
      </c>
      <c r="AJ51">
        <f t="shared" si="8"/>
        <v>0.10451929579519206</v>
      </c>
      <c r="AK51" s="15">
        <f t="shared" si="9"/>
        <v>61.945879073556178</v>
      </c>
      <c r="AL51" s="43">
        <f t="shared" si="4"/>
        <v>3161.7000000000003</v>
      </c>
    </row>
    <row r="52" spans="2:38" x14ac:dyDescent="0.25">
      <c r="B52" t="s">
        <v>19</v>
      </c>
      <c r="C52" t="s">
        <v>11</v>
      </c>
      <c r="D52" t="s">
        <v>253</v>
      </c>
      <c r="E52" t="s">
        <v>343</v>
      </c>
      <c r="F52" t="s">
        <v>6</v>
      </c>
      <c r="G52" t="s">
        <v>130</v>
      </c>
      <c r="H52" t="s">
        <v>39</v>
      </c>
      <c r="I52" t="s">
        <v>34</v>
      </c>
      <c r="J52">
        <v>8760</v>
      </c>
      <c r="K52" s="5">
        <v>1</v>
      </c>
      <c r="L52">
        <v>1</v>
      </c>
      <c r="M52" s="3">
        <f>5630.98419436319/1000</f>
        <v>5.6309841943631902</v>
      </c>
      <c r="N52" s="3">
        <f>5439.705856/1000</f>
        <v>5.4397058559999998</v>
      </c>
      <c r="O52" s="1">
        <v>0</v>
      </c>
      <c r="P52">
        <v>25</v>
      </c>
      <c r="Q52" s="1">
        <v>0.01</v>
      </c>
      <c r="R52">
        <v>1</v>
      </c>
      <c r="S52">
        <v>1</v>
      </c>
      <c r="T52" s="16">
        <f>Capacity!B55*1000</f>
        <v>13221.936034999999</v>
      </c>
      <c r="U52" s="17">
        <f>Capacity!AR55*1000</f>
        <v>0</v>
      </c>
      <c r="V52" s="17">
        <f>Capacity!D55*1000</f>
        <v>5560</v>
      </c>
      <c r="W52" s="17">
        <f>Capacity!X55*1000</f>
        <v>5560</v>
      </c>
      <c r="X52" s="31"/>
      <c r="Y52" s="35" t="s">
        <v>265</v>
      </c>
      <c r="Z52">
        <v>0.35</v>
      </c>
      <c r="AA52">
        <v>0.105</v>
      </c>
      <c r="AC52" s="31">
        <v>1</v>
      </c>
      <c r="AD52" s="31"/>
      <c r="AE52" s="30"/>
      <c r="AF52">
        <v>0</v>
      </c>
      <c r="AG52">
        <f>Z52*Conversions!$D$4</f>
        <v>0.43362115351489344</v>
      </c>
      <c r="AH52" s="3">
        <f t="shared" si="7"/>
        <v>5.1973630408482965</v>
      </c>
      <c r="AI52">
        <f t="shared" si="10"/>
        <v>25</v>
      </c>
      <c r="AJ52">
        <f t="shared" si="8"/>
        <v>0.11442931981310331</v>
      </c>
      <c r="AK52" s="15">
        <f t="shared" si="9"/>
        <v>45.419854363699066</v>
      </c>
      <c r="AL52" s="43">
        <f t="shared" si="4"/>
        <v>13221.936034999999</v>
      </c>
    </row>
    <row r="53" spans="2:38" x14ac:dyDescent="0.25">
      <c r="B53" t="s">
        <v>20</v>
      </c>
      <c r="C53" t="s">
        <v>11</v>
      </c>
      <c r="D53" t="s">
        <v>253</v>
      </c>
      <c r="E53" t="s">
        <v>344</v>
      </c>
      <c r="F53" t="s">
        <v>6</v>
      </c>
      <c r="G53" t="s">
        <v>130</v>
      </c>
      <c r="H53" t="s">
        <v>39</v>
      </c>
      <c r="I53" t="s">
        <v>34</v>
      </c>
      <c r="J53">
        <v>8760</v>
      </c>
      <c r="K53" s="5">
        <v>1</v>
      </c>
      <c r="L53">
        <v>1</v>
      </c>
      <c r="M53" s="3">
        <f>5542.18769541597/1000</f>
        <v>5.5421876954159695</v>
      </c>
      <c r="N53" s="3">
        <f>5362.133837/1000</f>
        <v>5.362133837</v>
      </c>
      <c r="O53" s="1">
        <v>0</v>
      </c>
      <c r="P53">
        <v>25</v>
      </c>
      <c r="Q53" s="1">
        <v>6.0000000000000001E-3</v>
      </c>
      <c r="R53">
        <v>1</v>
      </c>
      <c r="S53">
        <v>1</v>
      </c>
      <c r="T53" s="16">
        <f>Capacity!B56*1000</f>
        <v>4503.4039650000004</v>
      </c>
      <c r="U53" s="17">
        <f>Capacity!AR56*1000</f>
        <v>0</v>
      </c>
      <c r="V53" s="17">
        <f>Capacity!D56*1000</f>
        <v>1704</v>
      </c>
      <c r="W53" s="17">
        <f>Capacity!X56*1000</f>
        <v>1704</v>
      </c>
      <c r="X53" s="31"/>
      <c r="Y53" s="31"/>
      <c r="Z53">
        <v>0.51</v>
      </c>
      <c r="AA53">
        <v>0.104</v>
      </c>
      <c r="AC53" s="31">
        <v>1</v>
      </c>
      <c r="AD53" s="31"/>
      <c r="AE53" s="30"/>
      <c r="AF53">
        <v>0</v>
      </c>
      <c r="AG53">
        <f>Z53*Conversions!$D$4</f>
        <v>0.63184796655027331</v>
      </c>
      <c r="AH53" s="3">
        <f t="shared" si="7"/>
        <v>4.9103397288656963</v>
      </c>
      <c r="AI53">
        <f t="shared" si="10"/>
        <v>25</v>
      </c>
      <c r="AJ53">
        <f t="shared" si="8"/>
        <v>0.11357300490974749</v>
      </c>
      <c r="AK53" s="15">
        <f t="shared" si="9"/>
        <v>43.235095635338453</v>
      </c>
      <c r="AL53" s="43">
        <f t="shared" si="4"/>
        <v>4503.4039650000004</v>
      </c>
    </row>
    <row r="54" spans="2:38" x14ac:dyDescent="0.25">
      <c r="B54" t="s">
        <v>21</v>
      </c>
      <c r="C54" t="s">
        <v>11</v>
      </c>
      <c r="D54" t="s">
        <v>253</v>
      </c>
      <c r="E54" t="s">
        <v>345</v>
      </c>
      <c r="F54" t="s">
        <v>6</v>
      </c>
      <c r="G54" t="s">
        <v>130</v>
      </c>
      <c r="H54" t="s">
        <v>40</v>
      </c>
      <c r="I54" t="s">
        <v>34</v>
      </c>
      <c r="J54">
        <v>8760</v>
      </c>
      <c r="K54" s="5">
        <v>1</v>
      </c>
      <c r="L54">
        <v>1</v>
      </c>
      <c r="M54" s="3">
        <f>10659.4302732183/1000</f>
        <v>10.6594302732183</v>
      </c>
      <c r="N54" s="3">
        <f>10586.96446/1000</f>
        <v>10.586964459999999</v>
      </c>
      <c r="O54" s="1">
        <v>0</v>
      </c>
      <c r="P54">
        <v>25</v>
      </c>
      <c r="Q54" s="1">
        <v>5.0000000000000001E-3</v>
      </c>
      <c r="R54">
        <v>1</v>
      </c>
      <c r="S54">
        <v>1</v>
      </c>
      <c r="T54" s="16">
        <f>Capacity!B57*1000</f>
        <v>18661.04</v>
      </c>
      <c r="U54" s="17">
        <f>Capacity!AR57*1000</f>
        <v>0</v>
      </c>
      <c r="V54" s="17">
        <f>Capacity!D57*1000</f>
        <v>1939</v>
      </c>
      <c r="W54" s="17">
        <f>Capacity!X57*1000</f>
        <v>1939</v>
      </c>
      <c r="X54" s="31"/>
      <c r="Y54" s="31"/>
      <c r="Z54">
        <v>0.68</v>
      </c>
      <c r="AA54">
        <v>0.105</v>
      </c>
      <c r="AC54" s="31">
        <v>1</v>
      </c>
      <c r="AD54" s="31"/>
      <c r="AE54" s="30"/>
      <c r="AF54">
        <v>0</v>
      </c>
      <c r="AG54">
        <f>Z54*Conversions!$D$4</f>
        <v>0.84246395540036456</v>
      </c>
      <c r="AH54" s="3">
        <f t="shared" si="7"/>
        <v>9.8169663178179363</v>
      </c>
      <c r="AI54">
        <f t="shared" si="10"/>
        <v>25</v>
      </c>
      <c r="AJ54">
        <f t="shared" si="8"/>
        <v>0.11442931981310331</v>
      </c>
      <c r="AK54" s="15">
        <f t="shared" si="9"/>
        <v>85.790655173446154</v>
      </c>
      <c r="AL54" s="43">
        <f t="shared" si="4"/>
        <v>18661.04</v>
      </c>
    </row>
    <row r="55" spans="2:38" s="24" customFormat="1" x14ac:dyDescent="0.25">
      <c r="B55" s="24" t="s">
        <v>23</v>
      </c>
      <c r="C55" s="24" t="s">
        <v>11</v>
      </c>
      <c r="D55" s="24" t="s">
        <v>253</v>
      </c>
      <c r="F55" s="24" t="s">
        <v>6</v>
      </c>
      <c r="G55" s="24" t="s">
        <v>130</v>
      </c>
      <c r="H55" s="24" t="s">
        <v>40</v>
      </c>
      <c r="I55" s="24" t="s">
        <v>34</v>
      </c>
      <c r="J55" s="24">
        <v>8760</v>
      </c>
      <c r="K55" s="44">
        <v>1</v>
      </c>
      <c r="L55" s="24">
        <v>1</v>
      </c>
      <c r="M55" s="45">
        <f>N55</f>
        <v>34.540361669999996</v>
      </c>
      <c r="N55" s="46">
        <f>34540.36167/1000</f>
        <v>34.540361669999996</v>
      </c>
      <c r="O55" s="47">
        <v>0</v>
      </c>
      <c r="P55" s="24">
        <v>25</v>
      </c>
      <c r="Q55" s="47">
        <v>5.0000000000000001E-3</v>
      </c>
      <c r="R55" s="24">
        <v>1</v>
      </c>
      <c r="S55" s="24">
        <v>1</v>
      </c>
      <c r="T55" s="48">
        <f>Capacity!B58*1000</f>
        <v>0</v>
      </c>
      <c r="U55" s="49">
        <f>Capacity!AR58*1000</f>
        <v>0</v>
      </c>
      <c r="V55" s="49">
        <f>Capacity!D58*1000</f>
        <v>0</v>
      </c>
      <c r="W55" s="49">
        <f>Capacity!X58*1000</f>
        <v>0</v>
      </c>
      <c r="X55" s="50"/>
      <c r="Y55" s="50"/>
      <c r="Z55" s="24">
        <v>6.7</v>
      </c>
      <c r="AA55" s="24">
        <v>0.112</v>
      </c>
      <c r="AB55" s="51"/>
      <c r="AC55" s="50">
        <v>1</v>
      </c>
      <c r="AD55" s="50"/>
      <c r="AE55" s="52"/>
      <c r="AF55" s="24">
        <v>0</v>
      </c>
      <c r="AG55" s="24">
        <f>Z55*Conversions!$D$4</f>
        <v>8.3007477958565321</v>
      </c>
      <c r="AH55" s="46">
        <f t="shared" si="7"/>
        <v>26.239613874143465</v>
      </c>
      <c r="AI55" s="24">
        <f>P55</f>
        <v>25</v>
      </c>
      <c r="AJ55" s="24">
        <f t="shared" si="8"/>
        <v>0.12047788778229078</v>
      </c>
      <c r="AK55" s="53">
        <f t="shared" si="9"/>
        <v>217.79609816499843</v>
      </c>
      <c r="AL55" s="54">
        <f t="shared" si="4"/>
        <v>0</v>
      </c>
    </row>
    <row r="56" spans="2:38" x14ac:dyDescent="0.25">
      <c r="B56" t="s">
        <v>13</v>
      </c>
      <c r="C56" t="s">
        <v>8</v>
      </c>
      <c r="D56" t="s">
        <v>241</v>
      </c>
      <c r="E56" t="s">
        <v>337</v>
      </c>
      <c r="F56" t="s">
        <v>6</v>
      </c>
      <c r="G56" t="s">
        <v>130</v>
      </c>
      <c r="H56" t="s">
        <v>33</v>
      </c>
      <c r="I56" t="s">
        <v>34</v>
      </c>
      <c r="J56">
        <v>8760</v>
      </c>
      <c r="K56" s="5">
        <v>0.38096819999999998</v>
      </c>
      <c r="L56">
        <v>0.85</v>
      </c>
      <c r="M56" s="3">
        <f>5822.44460147077/1000</f>
        <v>5.82244460147077</v>
      </c>
      <c r="N56" s="3">
        <f>13721.03129/1000</f>
        <v>13.721031290000001</v>
      </c>
      <c r="O56" s="1">
        <v>133.5230182</v>
      </c>
      <c r="P56">
        <v>40</v>
      </c>
      <c r="Q56" s="1">
        <v>6.6000000000000003E-2</v>
      </c>
      <c r="R56">
        <v>0.3</v>
      </c>
      <c r="S56">
        <v>0.3</v>
      </c>
      <c r="T56" s="16">
        <f>Capacity!B61*1000</f>
        <v>63929.270834999996</v>
      </c>
      <c r="U56" s="17">
        <f>Capacity!AR61*1000</f>
        <v>0</v>
      </c>
      <c r="V56" s="17">
        <f>Capacity!D61*1000</f>
        <v>0</v>
      </c>
      <c r="W56" s="17">
        <f>Capacity!X61*1000</f>
        <v>0</v>
      </c>
      <c r="X56" s="1">
        <f>CarriersTech_characteristics!$G$2</f>
        <v>17.207187650000002</v>
      </c>
      <c r="Y56" s="1">
        <f>CarriersTech_characteristics!$H$28*1000</f>
        <v>1942097.6230000001</v>
      </c>
      <c r="Z56" s="7">
        <v>3</v>
      </c>
      <c r="AA56">
        <v>0.105</v>
      </c>
      <c r="AB56" s="41"/>
      <c r="AC56" s="1">
        <f>1/K56/(1-Q56)</f>
        <v>2.8103758044980376</v>
      </c>
      <c r="AD56" s="31"/>
      <c r="AE56" s="37">
        <f>Y56/(X56*Conversions!$D$2)</f>
        <v>0.40631575182871843</v>
      </c>
      <c r="AF56" s="11">
        <f>O56/CarriersTech_characteristics!$G$2/Conversions!$D$2*AC56</f>
        <v>7.8507860294473842E-5</v>
      </c>
      <c r="AG56">
        <f>Z56*Conversions!$D$4</f>
        <v>3.7167527444133723</v>
      </c>
      <c r="AH56" s="3">
        <f t="shared" si="7"/>
        <v>2.1056918570573977</v>
      </c>
      <c r="AI56">
        <f>P56</f>
        <v>40</v>
      </c>
      <c r="AJ56">
        <f t="shared" si="8"/>
        <v>0.10697140835497033</v>
      </c>
      <c r="AK56" s="15">
        <f t="shared" si="9"/>
        <v>19.684623110410406</v>
      </c>
      <c r="AL56" s="43">
        <f t="shared" si="4"/>
        <v>63929.270834999996</v>
      </c>
    </row>
    <row r="57" spans="2:38" x14ac:dyDescent="0.25">
      <c r="B57" t="s">
        <v>14</v>
      </c>
      <c r="C57" t="s">
        <v>8</v>
      </c>
      <c r="D57" t="s">
        <v>241</v>
      </c>
      <c r="E57" t="s">
        <v>340</v>
      </c>
      <c r="F57" t="s">
        <v>6</v>
      </c>
      <c r="G57" t="s">
        <v>130</v>
      </c>
      <c r="H57" t="s">
        <v>35</v>
      </c>
      <c r="I57" t="s">
        <v>34</v>
      </c>
      <c r="J57">
        <v>8760</v>
      </c>
      <c r="K57" s="5">
        <v>0.40444272199999998</v>
      </c>
      <c r="L57">
        <v>0.85</v>
      </c>
      <c r="M57" s="3">
        <f>8512.22780274884/1000</f>
        <v>8.5122278027488392</v>
      </c>
      <c r="N57" s="3">
        <f>8512.227803/1000</f>
        <v>8.512227803</v>
      </c>
      <c r="O57" s="1">
        <v>0</v>
      </c>
      <c r="P57">
        <v>25</v>
      </c>
      <c r="Q57" s="1">
        <v>0.02</v>
      </c>
      <c r="R57">
        <v>0.9</v>
      </c>
      <c r="S57">
        <v>0.9</v>
      </c>
      <c r="T57" s="16">
        <f>Capacity!B62*1000</f>
        <v>7730.2171470000003</v>
      </c>
      <c r="U57" s="17">
        <f>Capacity!AR62*1000</f>
        <v>0</v>
      </c>
      <c r="V57" s="17">
        <f>Capacity!D62*1000</f>
        <v>370</v>
      </c>
      <c r="W57" s="17">
        <f>Capacity!X62*1000</f>
        <v>370</v>
      </c>
      <c r="X57" s="1">
        <f>CarriersTech_characteristics!$G$3</f>
        <v>37.681199999999997</v>
      </c>
      <c r="Y57" s="1">
        <f>CarriersTech_characteristics!$H$3*1000</f>
        <v>3025024.5490000001</v>
      </c>
      <c r="Z57">
        <v>2.9</v>
      </c>
      <c r="AA57">
        <v>0.105</v>
      </c>
      <c r="AC57" s="1">
        <f>1/K57/(1-Q57)</f>
        <v>2.5229979617863072</v>
      </c>
      <c r="AD57" s="31"/>
      <c r="AE57" s="37">
        <f>(Y57*Conversions!$D$3)/(X57*Conversions!$D$2)</f>
        <v>0.23958587284408495</v>
      </c>
      <c r="AF57">
        <v>0</v>
      </c>
      <c r="AG57">
        <f>Z57*Conversions!$D$4</f>
        <v>3.5928609862662602</v>
      </c>
      <c r="AH57" s="3">
        <f t="shared" si="7"/>
        <v>4.9193668164825795</v>
      </c>
      <c r="AI57">
        <f t="shared" ref="AI57:AI66" si="11">P57</f>
        <v>25</v>
      </c>
      <c r="AJ57">
        <f t="shared" si="8"/>
        <v>0.11442931981310331</v>
      </c>
      <c r="AK57" s="15">
        <f t="shared" si="9"/>
        <v>42.990440077048</v>
      </c>
      <c r="AL57" s="43">
        <f t="shared" si="4"/>
        <v>7730.2171470000003</v>
      </c>
    </row>
    <row r="58" spans="2:38" x14ac:dyDescent="0.25">
      <c r="B58" t="s">
        <v>16</v>
      </c>
      <c r="C58" t="s">
        <v>8</v>
      </c>
      <c r="D58" t="s">
        <v>241</v>
      </c>
      <c r="F58" t="s">
        <v>6</v>
      </c>
      <c r="G58" t="s">
        <v>130</v>
      </c>
      <c r="H58" t="s">
        <v>35</v>
      </c>
      <c r="I58" t="s">
        <v>34</v>
      </c>
      <c r="J58">
        <v>8760</v>
      </c>
      <c r="K58" s="5">
        <v>0.28070162799999998</v>
      </c>
      <c r="L58">
        <v>0.85</v>
      </c>
      <c r="M58" s="3">
        <f>6679.75064927145/1000</f>
        <v>6.6797506492714502</v>
      </c>
      <c r="N58" s="3">
        <f>6679.750649/1000</f>
        <v>6.6797506489999998</v>
      </c>
      <c r="O58" s="1">
        <v>0</v>
      </c>
      <c r="P58">
        <v>25</v>
      </c>
      <c r="Q58" s="1">
        <v>0.01</v>
      </c>
      <c r="R58">
        <v>1</v>
      </c>
      <c r="S58">
        <v>1</v>
      </c>
      <c r="T58" s="16">
        <f>Capacity!B63*1000</f>
        <v>0</v>
      </c>
      <c r="U58" s="17">
        <f>Capacity!AR63*1000</f>
        <v>0</v>
      </c>
      <c r="V58" s="17">
        <f>Capacity!D63*1000</f>
        <v>0</v>
      </c>
      <c r="W58" s="17">
        <f>Capacity!X63*1000</f>
        <v>0</v>
      </c>
      <c r="X58" s="1">
        <f>CarriersTech_characteristics!$G$3</f>
        <v>37.681199999999997</v>
      </c>
      <c r="Y58" s="1">
        <f>CarriersTech_characteristics!$H$3*1000</f>
        <v>3025024.5490000001</v>
      </c>
      <c r="Z58">
        <v>0.7</v>
      </c>
      <c r="AA58">
        <v>0.105</v>
      </c>
      <c r="AC58" s="1">
        <f>1/K58/(1-Q58)</f>
        <v>3.5984864687033813</v>
      </c>
      <c r="AD58" s="31"/>
      <c r="AE58" s="37">
        <f>(Y58*Conversions!$D$3)/(X58*Conversions!$D$2)</f>
        <v>0.23958587284408495</v>
      </c>
      <c r="AF58">
        <v>0</v>
      </c>
      <c r="AG58">
        <f>Z58*Conversions!$D$4</f>
        <v>0.86724230702978689</v>
      </c>
      <c r="AH58" s="3">
        <f t="shared" si="7"/>
        <v>5.8125083422416637</v>
      </c>
      <c r="AI58">
        <f t="shared" si="11"/>
        <v>25</v>
      </c>
      <c r="AJ58">
        <f t="shared" si="8"/>
        <v>0.11442931981310331</v>
      </c>
      <c r="AK58" s="15">
        <f t="shared" si="9"/>
        <v>50.795620840316076</v>
      </c>
      <c r="AL58" s="43">
        <f t="shared" si="4"/>
        <v>0</v>
      </c>
    </row>
    <row r="59" spans="2:38" x14ac:dyDescent="0.25">
      <c r="B59" t="s">
        <v>17</v>
      </c>
      <c r="C59" t="s">
        <v>8</v>
      </c>
      <c r="D59" t="s">
        <v>241</v>
      </c>
      <c r="E59" t="s">
        <v>338</v>
      </c>
      <c r="F59" t="s">
        <v>6</v>
      </c>
      <c r="G59" t="s">
        <v>130</v>
      </c>
      <c r="H59" t="s">
        <v>36</v>
      </c>
      <c r="I59" t="s">
        <v>34</v>
      </c>
      <c r="J59">
        <v>8760</v>
      </c>
      <c r="K59" s="5">
        <v>1</v>
      </c>
      <c r="L59">
        <v>0.70916666699999997</v>
      </c>
      <c r="M59" s="3">
        <f>20833.2103478327/1000</f>
        <v>20.833210347832701</v>
      </c>
      <c r="N59" s="3">
        <f>20833.21035/1000</f>
        <v>20.833210350000002</v>
      </c>
      <c r="O59" s="1">
        <v>0</v>
      </c>
      <c r="P59">
        <v>40</v>
      </c>
      <c r="Q59" s="1">
        <v>0.10780000000000001</v>
      </c>
      <c r="R59">
        <v>0.01</v>
      </c>
      <c r="S59">
        <v>0.01</v>
      </c>
      <c r="T59" s="16">
        <f>Capacity!B64*1000</f>
        <v>3327.6676479999996</v>
      </c>
      <c r="U59" s="17">
        <f>Capacity!AR64*1000</f>
        <v>0</v>
      </c>
      <c r="V59" s="17">
        <f>Capacity!D64*1000</f>
        <v>0</v>
      </c>
      <c r="W59" s="17">
        <f>Capacity!X64*1000</f>
        <v>0</v>
      </c>
      <c r="X59" s="33"/>
      <c r="Y59" s="33"/>
      <c r="Z59">
        <v>4.3</v>
      </c>
      <c r="AA59">
        <v>0.105</v>
      </c>
      <c r="AC59" s="1">
        <f>1/K59/(1-Q59)</f>
        <v>1.1208249271463797</v>
      </c>
      <c r="AD59" s="31"/>
      <c r="AE59" s="32"/>
      <c r="AF59">
        <v>0</v>
      </c>
      <c r="AG59">
        <f>Z59*Conversions!$D$4</f>
        <v>5.3273456003258337</v>
      </c>
      <c r="AH59" s="3">
        <f t="shared" si="7"/>
        <v>15.505864747506866</v>
      </c>
      <c r="AI59">
        <f t="shared" si="11"/>
        <v>40</v>
      </c>
      <c r="AJ59">
        <f t="shared" si="8"/>
        <v>0.10697140835497033</v>
      </c>
      <c r="AK59" s="15">
        <f t="shared" si="9"/>
        <v>144.95335703212137</v>
      </c>
      <c r="AL59" s="43">
        <f t="shared" si="4"/>
        <v>3327.6676479999996</v>
      </c>
    </row>
    <row r="60" spans="2:38" x14ac:dyDescent="0.25">
      <c r="B60" t="s">
        <v>22</v>
      </c>
      <c r="C60" t="s">
        <v>8</v>
      </c>
      <c r="D60" t="s">
        <v>241</v>
      </c>
      <c r="F60" t="s">
        <v>6</v>
      </c>
      <c r="G60" t="s">
        <v>130</v>
      </c>
      <c r="H60" t="s">
        <v>36</v>
      </c>
      <c r="I60" t="s">
        <v>34</v>
      </c>
      <c r="J60">
        <v>8760</v>
      </c>
      <c r="K60" s="5">
        <v>1</v>
      </c>
      <c r="L60">
        <v>0.70916666699999997</v>
      </c>
      <c r="M60" s="13">
        <f>N60</f>
        <v>35.289429389999995</v>
      </c>
      <c r="N60" s="3">
        <f>35289.42939/1000</f>
        <v>35.289429389999995</v>
      </c>
      <c r="O60" s="1">
        <v>0</v>
      </c>
      <c r="P60">
        <v>30</v>
      </c>
      <c r="Q60" s="1">
        <v>0.05</v>
      </c>
      <c r="R60">
        <v>0.01</v>
      </c>
      <c r="S60">
        <v>0.01</v>
      </c>
      <c r="T60" s="16">
        <f>Capacity!B65*1000</f>
        <v>0</v>
      </c>
      <c r="U60" s="17">
        <f>Capacity!AR65*1000</f>
        <v>0</v>
      </c>
      <c r="V60" s="17">
        <f>Capacity!D65*1000</f>
        <v>0</v>
      </c>
      <c r="W60" s="17">
        <f>Capacity!X65*1000</f>
        <v>0</v>
      </c>
      <c r="X60" s="33"/>
      <c r="Y60" s="33"/>
      <c r="Z60">
        <v>5</v>
      </c>
      <c r="AA60">
        <v>0.105</v>
      </c>
      <c r="AC60" s="1">
        <f>1/K60/(1-Q60)</f>
        <v>1.0526315789473684</v>
      </c>
      <c r="AD60" s="31"/>
      <c r="AE60" s="32"/>
      <c r="AF60">
        <v>0</v>
      </c>
      <c r="AG60">
        <f>Z60*Conversions!$D$4</f>
        <v>6.1945879073556211</v>
      </c>
      <c r="AH60" s="3">
        <f t="shared" si="7"/>
        <v>29.094841482644373</v>
      </c>
      <c r="AI60">
        <f t="shared" si="11"/>
        <v>30</v>
      </c>
      <c r="AJ60">
        <f t="shared" si="8"/>
        <v>0.11052848152960514</v>
      </c>
      <c r="AK60" s="15">
        <f t="shared" si="9"/>
        <v>263.2338839727143</v>
      </c>
      <c r="AL60" s="43">
        <f t="shared" si="4"/>
        <v>0</v>
      </c>
    </row>
    <row r="61" spans="2:38" x14ac:dyDescent="0.25">
      <c r="B61" t="s">
        <v>15</v>
      </c>
      <c r="C61" t="s">
        <v>8</v>
      </c>
      <c r="D61" t="s">
        <v>245</v>
      </c>
      <c r="E61" t="s">
        <v>339</v>
      </c>
      <c r="F61" t="s">
        <v>6</v>
      </c>
      <c r="G61" t="s">
        <v>130</v>
      </c>
      <c r="H61" t="s">
        <v>37</v>
      </c>
      <c r="I61" t="s">
        <v>34</v>
      </c>
      <c r="J61">
        <v>8760</v>
      </c>
      <c r="K61" s="5">
        <v>1</v>
      </c>
      <c r="L61">
        <v>1</v>
      </c>
      <c r="M61" s="3">
        <f>19631.8145207228/1000</f>
        <v>19.631814520722802</v>
      </c>
      <c r="N61" s="3">
        <f>19631.81452/1000</f>
        <v>19.631814519999999</v>
      </c>
      <c r="O61" s="1">
        <v>0</v>
      </c>
      <c r="P61">
        <v>40</v>
      </c>
      <c r="Q61" s="1">
        <v>6.0000000000000001E-3</v>
      </c>
      <c r="R61">
        <v>1</v>
      </c>
      <c r="S61">
        <v>1</v>
      </c>
      <c r="T61" s="16">
        <f>Capacity!B66*1000</f>
        <v>12168.961466000001</v>
      </c>
      <c r="U61" s="17">
        <f>Capacity!AR66*1000</f>
        <v>0</v>
      </c>
      <c r="V61" s="17">
        <f>Capacity!D66*1000</f>
        <v>0</v>
      </c>
      <c r="W61" s="17">
        <f>Capacity!X66*1000</f>
        <v>0</v>
      </c>
      <c r="X61" s="31"/>
      <c r="Y61" s="34"/>
      <c r="Z61">
        <v>4.4000000000000004</v>
      </c>
      <c r="AA61">
        <v>0.105</v>
      </c>
      <c r="AC61" s="30"/>
      <c r="AD61" s="1">
        <f>K61-Q61</f>
        <v>0.99399999999999999</v>
      </c>
      <c r="AE61" s="30"/>
      <c r="AF61">
        <v>0</v>
      </c>
      <c r="AG61">
        <f>Z61*Conversions!$D$4</f>
        <v>5.4512373584729472</v>
      </c>
      <c r="AH61" s="3">
        <f t="shared" si="7"/>
        <v>14.180577162249854</v>
      </c>
      <c r="AI61">
        <f t="shared" si="11"/>
        <v>40</v>
      </c>
      <c r="AJ61">
        <f t="shared" si="8"/>
        <v>0.10697140835497033</v>
      </c>
      <c r="AK61" s="15">
        <f t="shared" si="9"/>
        <v>132.56418121741001</v>
      </c>
      <c r="AL61" s="43">
        <f t="shared" si="4"/>
        <v>12168.961466000001</v>
      </c>
    </row>
    <row r="62" spans="2:38" x14ac:dyDescent="0.25">
      <c r="B62" t="s">
        <v>18</v>
      </c>
      <c r="C62" t="s">
        <v>8</v>
      </c>
      <c r="D62" t="s">
        <v>245</v>
      </c>
      <c r="E62" t="s">
        <v>341</v>
      </c>
      <c r="F62" t="s">
        <v>6</v>
      </c>
      <c r="G62" t="s">
        <v>130</v>
      </c>
      <c r="H62" t="s">
        <v>37</v>
      </c>
      <c r="I62" t="s">
        <v>34</v>
      </c>
      <c r="J62">
        <v>8760</v>
      </c>
      <c r="K62" s="5">
        <v>1</v>
      </c>
      <c r="L62">
        <v>1</v>
      </c>
      <c r="M62" s="3">
        <f>11825.3487554956/1000</f>
        <v>11.825348755495598</v>
      </c>
      <c r="N62" s="3">
        <f>11825.34876/1000</f>
        <v>11.825348760000001</v>
      </c>
      <c r="O62" s="1">
        <v>0</v>
      </c>
      <c r="P62">
        <v>35</v>
      </c>
      <c r="Q62" s="1">
        <v>0.01</v>
      </c>
      <c r="R62">
        <v>1</v>
      </c>
      <c r="S62">
        <v>1</v>
      </c>
      <c r="T62" s="16">
        <f>Capacity!B67*1000</f>
        <v>1924.4800000000002</v>
      </c>
      <c r="U62" s="17">
        <f>Capacity!AR67*1000</f>
        <v>0</v>
      </c>
      <c r="V62" s="17">
        <f>Capacity!D67*1000</f>
        <v>17</v>
      </c>
      <c r="W62" s="17">
        <f>Capacity!X67*1000</f>
        <v>17</v>
      </c>
      <c r="X62" s="31"/>
      <c r="Y62" s="34"/>
      <c r="Z62">
        <f>2.4</f>
        <v>2.4</v>
      </c>
      <c r="AA62">
        <v>8.3500000000000005E-2</v>
      </c>
      <c r="AC62" s="30"/>
      <c r="AD62" s="1">
        <f>K62-Q62</f>
        <v>0.99</v>
      </c>
      <c r="AE62" s="30"/>
      <c r="AF62">
        <v>0</v>
      </c>
      <c r="AG62">
        <f>Z62*Conversions!$D$4</f>
        <v>2.973402195530698</v>
      </c>
      <c r="AH62" s="3">
        <f t="shared" si="7"/>
        <v>8.851946559964901</v>
      </c>
      <c r="AI62">
        <f t="shared" si="11"/>
        <v>35</v>
      </c>
      <c r="AJ62">
        <f t="shared" si="8"/>
        <v>8.8866958914066166E-2</v>
      </c>
      <c r="AK62" s="15">
        <f t="shared" si="9"/>
        <v>99.608973550278478</v>
      </c>
      <c r="AL62" s="43">
        <f t="shared" si="4"/>
        <v>1924.4800000000002</v>
      </c>
    </row>
    <row r="63" spans="2:38" x14ac:dyDescent="0.25">
      <c r="B63" t="s">
        <v>7</v>
      </c>
      <c r="C63" t="s">
        <v>8</v>
      </c>
      <c r="D63" t="s">
        <v>241</v>
      </c>
      <c r="E63" t="s">
        <v>342</v>
      </c>
      <c r="F63" t="s">
        <v>6</v>
      </c>
      <c r="G63" t="s">
        <v>130</v>
      </c>
      <c r="H63" t="s">
        <v>38</v>
      </c>
      <c r="I63" t="s">
        <v>34</v>
      </c>
      <c r="J63">
        <v>8760</v>
      </c>
      <c r="K63" s="5">
        <v>0.238845897</v>
      </c>
      <c r="L63">
        <v>1</v>
      </c>
      <c r="M63" s="3">
        <f>7713.45723965334/1000</f>
        <v>7.7134572396533407</v>
      </c>
      <c r="N63" s="3">
        <f>7713.45724/1000</f>
        <v>7.7134572399999994</v>
      </c>
      <c r="O63" s="1">
        <v>0</v>
      </c>
      <c r="P63">
        <v>20</v>
      </c>
      <c r="Q63" s="1">
        <v>0.1</v>
      </c>
      <c r="R63">
        <v>0.06</v>
      </c>
      <c r="S63">
        <v>0.06</v>
      </c>
      <c r="T63" s="16">
        <f>Capacity!B68*1000</f>
        <v>3734.75</v>
      </c>
      <c r="U63" s="17">
        <f>Capacity!AR68*1000</f>
        <v>0</v>
      </c>
      <c r="V63" s="17">
        <f>Capacity!D68*1000</f>
        <v>160.00000000000003</v>
      </c>
      <c r="W63" s="17">
        <f>Capacity!X68*1000</f>
        <v>160.00000000000003</v>
      </c>
      <c r="X63" s="1">
        <f>CarriersTech_characteristics!$G$7</f>
        <v>13.648968</v>
      </c>
      <c r="Y63" s="1">
        <f>CarriersTech_characteristics!$H$5*1000</f>
        <v>1656436.6880000001</v>
      </c>
      <c r="Z63" s="12">
        <v>1</v>
      </c>
      <c r="AA63">
        <v>8.3500000000000005E-2</v>
      </c>
      <c r="AC63" s="1">
        <f>1/K63/(1-Q63)</f>
        <v>4.6519999927447406</v>
      </c>
      <c r="AD63" s="31"/>
      <c r="AE63" s="36">
        <f>Y63/(X63*Conversions!$D$2)</f>
        <v>0.43689545093040172</v>
      </c>
      <c r="AF63">
        <v>0</v>
      </c>
      <c r="AG63">
        <f>Z63*Conversions!$D$4</f>
        <v>1.2389175814711242</v>
      </c>
      <c r="AH63" s="3">
        <f t="shared" si="7"/>
        <v>6.4745396581822163</v>
      </c>
      <c r="AI63">
        <f t="shared" si="11"/>
        <v>20</v>
      </c>
      <c r="AJ63">
        <f t="shared" si="8"/>
        <v>0.10451929579519206</v>
      </c>
      <c r="AK63" s="15">
        <f t="shared" si="9"/>
        <v>61.945879073556178</v>
      </c>
      <c r="AL63" s="43">
        <f t="shared" si="4"/>
        <v>3734.75</v>
      </c>
    </row>
    <row r="64" spans="2:38" x14ac:dyDescent="0.25">
      <c r="B64" t="s">
        <v>19</v>
      </c>
      <c r="C64" t="s">
        <v>8</v>
      </c>
      <c r="D64" t="s">
        <v>253</v>
      </c>
      <c r="E64" t="s">
        <v>343</v>
      </c>
      <c r="F64" t="s">
        <v>6</v>
      </c>
      <c r="G64" t="s">
        <v>130</v>
      </c>
      <c r="H64" t="s">
        <v>39</v>
      </c>
      <c r="I64" t="s">
        <v>34</v>
      </c>
      <c r="J64">
        <v>8760</v>
      </c>
      <c r="K64" s="5">
        <v>1</v>
      </c>
      <c r="L64">
        <v>1</v>
      </c>
      <c r="M64" s="3">
        <f>5630.98419436319/1000</f>
        <v>5.6309841943631902</v>
      </c>
      <c r="N64" s="3">
        <f>5439.705856/1000</f>
        <v>5.4397058559999998</v>
      </c>
      <c r="O64" s="1">
        <v>0</v>
      </c>
      <c r="P64">
        <v>25</v>
      </c>
      <c r="Q64" s="1">
        <v>0.01</v>
      </c>
      <c r="R64">
        <v>1</v>
      </c>
      <c r="S64">
        <v>1</v>
      </c>
      <c r="T64" s="16">
        <f>Capacity!B69*1000</f>
        <v>24128.916825999997</v>
      </c>
      <c r="U64" s="17">
        <f>Capacity!AR69*1000</f>
        <v>0</v>
      </c>
      <c r="V64" s="17">
        <f>Capacity!D69*1000</f>
        <v>1622</v>
      </c>
      <c r="W64" s="17">
        <f>Capacity!X69*1000</f>
        <v>1622</v>
      </c>
      <c r="X64" s="31"/>
      <c r="Y64" s="35" t="s">
        <v>265</v>
      </c>
      <c r="Z64">
        <v>0.35</v>
      </c>
      <c r="AA64">
        <v>0.105</v>
      </c>
      <c r="AC64" s="31">
        <v>1</v>
      </c>
      <c r="AD64" s="31"/>
      <c r="AE64" s="30"/>
      <c r="AF64">
        <v>0</v>
      </c>
      <c r="AG64">
        <f>Z64*Conversions!$D$4</f>
        <v>0.43362115351489344</v>
      </c>
      <c r="AH64" s="3">
        <f t="shared" si="7"/>
        <v>5.1973630408482965</v>
      </c>
      <c r="AI64">
        <f t="shared" si="11"/>
        <v>25</v>
      </c>
      <c r="AJ64">
        <f t="shared" si="8"/>
        <v>0.11442931981310331</v>
      </c>
      <c r="AK64" s="15">
        <f t="shared" si="9"/>
        <v>45.419854363699066</v>
      </c>
      <c r="AL64" s="43">
        <f t="shared" si="4"/>
        <v>24128.916825999997</v>
      </c>
    </row>
    <row r="65" spans="1:38" x14ac:dyDescent="0.25">
      <c r="B65" t="s">
        <v>20</v>
      </c>
      <c r="C65" t="s">
        <v>8</v>
      </c>
      <c r="D65" t="s">
        <v>253</v>
      </c>
      <c r="E65" t="s">
        <v>344</v>
      </c>
      <c r="F65" t="s">
        <v>6</v>
      </c>
      <c r="G65" t="s">
        <v>130</v>
      </c>
      <c r="H65" t="s">
        <v>39</v>
      </c>
      <c r="I65" t="s">
        <v>34</v>
      </c>
      <c r="J65">
        <v>8760</v>
      </c>
      <c r="K65" s="5">
        <v>1</v>
      </c>
      <c r="L65">
        <v>1</v>
      </c>
      <c r="M65" s="3">
        <f>5542.18769541597/1000</f>
        <v>5.5421876954159695</v>
      </c>
      <c r="N65" s="3">
        <f>5362.133837/1000</f>
        <v>5.362133837</v>
      </c>
      <c r="O65" s="1">
        <v>0</v>
      </c>
      <c r="P65">
        <v>25</v>
      </c>
      <c r="Q65" s="1">
        <v>6.0000000000000001E-3</v>
      </c>
      <c r="R65">
        <v>1</v>
      </c>
      <c r="S65">
        <v>1</v>
      </c>
      <c r="T65" s="16">
        <f>Capacity!B70*1000</f>
        <v>2030.8231740000001</v>
      </c>
      <c r="U65" s="17">
        <f>Capacity!AR70*1000</f>
        <v>0</v>
      </c>
      <c r="V65" s="17">
        <f>Capacity!D70*1000</f>
        <v>618</v>
      </c>
      <c r="W65" s="17">
        <f>Capacity!X70*1000</f>
        <v>618</v>
      </c>
      <c r="X65" s="31"/>
      <c r="Y65" s="31"/>
      <c r="Z65">
        <v>0.51</v>
      </c>
      <c r="AA65">
        <v>0.104</v>
      </c>
      <c r="AC65" s="31">
        <v>1</v>
      </c>
      <c r="AD65" s="31"/>
      <c r="AE65" s="30"/>
      <c r="AF65">
        <v>0</v>
      </c>
      <c r="AG65">
        <f>Z65*Conversions!$D$4</f>
        <v>0.63184796655027331</v>
      </c>
      <c r="AH65" s="3">
        <f t="shared" si="7"/>
        <v>4.9103397288656963</v>
      </c>
      <c r="AI65">
        <f t="shared" si="11"/>
        <v>25</v>
      </c>
      <c r="AJ65">
        <f t="shared" si="8"/>
        <v>0.11357300490974749</v>
      </c>
      <c r="AK65" s="15">
        <f t="shared" si="9"/>
        <v>43.235095635338453</v>
      </c>
      <c r="AL65" s="43">
        <f t="shared" si="4"/>
        <v>2030.8231740000001</v>
      </c>
    </row>
    <row r="66" spans="1:38" x14ac:dyDescent="0.25">
      <c r="B66" t="s">
        <v>21</v>
      </c>
      <c r="C66" t="s">
        <v>8</v>
      </c>
      <c r="D66" t="s">
        <v>253</v>
      </c>
      <c r="E66" t="s">
        <v>345</v>
      </c>
      <c r="F66" t="s">
        <v>6</v>
      </c>
      <c r="G66" t="s">
        <v>130</v>
      </c>
      <c r="H66" t="s">
        <v>40</v>
      </c>
      <c r="I66" t="s">
        <v>34</v>
      </c>
      <c r="J66">
        <v>8760</v>
      </c>
      <c r="K66" s="5">
        <v>1</v>
      </c>
      <c r="L66">
        <v>1</v>
      </c>
      <c r="M66" s="3">
        <f>10659.4302732183/1000</f>
        <v>10.6594302732183</v>
      </c>
      <c r="N66" s="3">
        <f>10586.96446/1000</f>
        <v>10.586964459999999</v>
      </c>
      <c r="O66" s="1">
        <v>0</v>
      </c>
      <c r="P66">
        <v>25</v>
      </c>
      <c r="Q66" s="1">
        <v>5.0000000000000001E-3</v>
      </c>
      <c r="R66">
        <v>1</v>
      </c>
      <c r="S66">
        <v>1</v>
      </c>
      <c r="T66" s="16">
        <f>Capacity!B71*1000</f>
        <v>22161.370000000003</v>
      </c>
      <c r="U66" s="17">
        <f>Capacity!AR71*1000</f>
        <v>0</v>
      </c>
      <c r="V66" s="17">
        <f>Capacity!D71*1000</f>
        <v>1311.9999999999998</v>
      </c>
      <c r="W66" s="17">
        <f>Capacity!X71*1000</f>
        <v>1311.9999999999998</v>
      </c>
      <c r="X66" s="31"/>
      <c r="Y66" s="31"/>
      <c r="Z66">
        <v>0.68</v>
      </c>
      <c r="AA66">
        <v>0.105</v>
      </c>
      <c r="AC66" s="31">
        <v>1</v>
      </c>
      <c r="AD66" s="31"/>
      <c r="AE66" s="30"/>
      <c r="AF66">
        <v>0</v>
      </c>
      <c r="AG66">
        <f>Z66*Conversions!$D$4</f>
        <v>0.84246395540036456</v>
      </c>
      <c r="AH66" s="3">
        <f t="shared" si="7"/>
        <v>9.8169663178179363</v>
      </c>
      <c r="AI66">
        <f t="shared" si="11"/>
        <v>25</v>
      </c>
      <c r="AJ66">
        <f t="shared" si="8"/>
        <v>0.11442931981310331</v>
      </c>
      <c r="AK66" s="15">
        <f t="shared" si="9"/>
        <v>85.790655173446154</v>
      </c>
      <c r="AL66" s="43">
        <f t="shared" si="4"/>
        <v>22161.370000000003</v>
      </c>
    </row>
    <row r="67" spans="1:38" s="24" customFormat="1" x14ac:dyDescent="0.25">
      <c r="B67" s="24" t="s">
        <v>23</v>
      </c>
      <c r="C67" s="24" t="s">
        <v>8</v>
      </c>
      <c r="D67" s="24" t="s">
        <v>253</v>
      </c>
      <c r="F67" s="24" t="s">
        <v>6</v>
      </c>
      <c r="G67" s="24" t="s">
        <v>130</v>
      </c>
      <c r="H67" s="24" t="s">
        <v>40</v>
      </c>
      <c r="I67" s="24" t="s">
        <v>34</v>
      </c>
      <c r="J67" s="24">
        <v>8760</v>
      </c>
      <c r="K67" s="44">
        <v>1</v>
      </c>
      <c r="L67" s="24">
        <v>1</v>
      </c>
      <c r="M67" s="45">
        <f>N67</f>
        <v>34.540361669999996</v>
      </c>
      <c r="N67" s="46">
        <f>34540.36167/1000</f>
        <v>34.540361669999996</v>
      </c>
      <c r="O67" s="47">
        <v>0</v>
      </c>
      <c r="P67" s="24">
        <v>25</v>
      </c>
      <c r="Q67" s="47">
        <v>5.0000000000000001E-3</v>
      </c>
      <c r="R67" s="24">
        <v>1</v>
      </c>
      <c r="S67" s="24">
        <v>1</v>
      </c>
      <c r="T67" s="48">
        <f>Capacity!B72*1000</f>
        <v>0</v>
      </c>
      <c r="U67" s="49">
        <f>Capacity!AR72*1000</f>
        <v>0</v>
      </c>
      <c r="V67" s="49">
        <f>Capacity!D72*1000</f>
        <v>0</v>
      </c>
      <c r="W67" s="49">
        <f>Capacity!X72*1000</f>
        <v>0</v>
      </c>
      <c r="X67" s="50"/>
      <c r="Y67" s="50"/>
      <c r="Z67" s="24">
        <v>6.7</v>
      </c>
      <c r="AA67" s="24">
        <v>0.112</v>
      </c>
      <c r="AB67" s="51"/>
      <c r="AC67" s="50">
        <v>1</v>
      </c>
      <c r="AD67" s="50"/>
      <c r="AE67" s="52"/>
      <c r="AF67" s="24">
        <v>0</v>
      </c>
      <c r="AG67" s="24">
        <f>Z67*Conversions!$D$4</f>
        <v>8.3007477958565321</v>
      </c>
      <c r="AH67" s="46">
        <f t="shared" si="7"/>
        <v>26.239613874143465</v>
      </c>
      <c r="AI67" s="24">
        <f>P67</f>
        <v>25</v>
      </c>
      <c r="AJ67" s="24">
        <f t="shared" si="8"/>
        <v>0.12047788778229078</v>
      </c>
      <c r="AK67" s="53">
        <f t="shared" si="9"/>
        <v>217.79609816499843</v>
      </c>
      <c r="AL67" s="54">
        <f t="shared" si="4"/>
        <v>0</v>
      </c>
    </row>
    <row r="68" spans="1:38" x14ac:dyDescent="0.25">
      <c r="A68" s="18"/>
      <c r="B68" s="18" t="s">
        <v>13</v>
      </c>
      <c r="C68" s="18" t="s">
        <v>82</v>
      </c>
      <c r="D68" s="18" t="s">
        <v>241</v>
      </c>
      <c r="E68" s="18" t="s">
        <v>337</v>
      </c>
      <c r="F68" s="18" t="s">
        <v>6</v>
      </c>
      <c r="G68" s="18" t="s">
        <v>130</v>
      </c>
      <c r="H68" s="18" t="s">
        <v>33</v>
      </c>
      <c r="I68" s="18" t="s">
        <v>34</v>
      </c>
      <c r="J68" s="18">
        <v>8760</v>
      </c>
      <c r="K68" s="19">
        <v>0.38096819999999998</v>
      </c>
      <c r="L68" s="18"/>
      <c r="M68" s="20"/>
      <c r="N68" s="20">
        <f>13721.03129/1000</f>
        <v>13.721031290000001</v>
      </c>
      <c r="O68" s="21">
        <v>133.5230182</v>
      </c>
      <c r="P68" s="18">
        <v>40</v>
      </c>
      <c r="Q68" s="21">
        <v>6.6000000000000003E-2</v>
      </c>
      <c r="R68" s="18"/>
      <c r="S68" s="18"/>
      <c r="T68" s="25">
        <f>T8+T20+T32+T44+T56</f>
        <v>264372.46999899996</v>
      </c>
      <c r="U68" s="25">
        <f>U8+U20+U32+U44+U56</f>
        <v>220</v>
      </c>
      <c r="V68" s="25">
        <f t="shared" ref="V68:W68" si="12">V8+V20+V32+V44+V56</f>
        <v>0</v>
      </c>
      <c r="W68" s="25">
        <f t="shared" si="12"/>
        <v>0</v>
      </c>
      <c r="X68" s="1">
        <f>CarriersTech_characteristics!$G$2</f>
        <v>17.207187650000002</v>
      </c>
      <c r="Y68" s="1">
        <f>CarriersTech_characteristics!$H$28*1000</f>
        <v>1942097.6230000001</v>
      </c>
      <c r="Z68" s="18"/>
      <c r="AA68" s="18"/>
      <c r="AC68" s="1">
        <f>1/K68/(1-Q68)</f>
        <v>2.8103758044980376</v>
      </c>
      <c r="AD68" s="31"/>
      <c r="AE68" s="37">
        <f>Y68/(X68*Conversions!$D$2)</f>
        <v>0.40631575182871843</v>
      </c>
      <c r="AF68" s="22"/>
      <c r="AG68" s="18"/>
      <c r="AH68" s="18"/>
      <c r="AI68" s="18"/>
      <c r="AJ68" s="18"/>
      <c r="AK68" s="18"/>
      <c r="AL68" s="25">
        <f t="shared" ref="AL68:AL79" si="13">AL8+AL20+AL32+AL44+AL56</f>
        <v>264152.46999899996</v>
      </c>
    </row>
    <row r="69" spans="1:38" s="18" customFormat="1" x14ac:dyDescent="0.25">
      <c r="B69" s="18" t="s">
        <v>14</v>
      </c>
      <c r="C69" s="18" t="s">
        <v>82</v>
      </c>
      <c r="D69" s="18" t="s">
        <v>241</v>
      </c>
      <c r="E69" s="18" t="s">
        <v>340</v>
      </c>
      <c r="F69" s="18" t="s">
        <v>6</v>
      </c>
      <c r="G69" s="18" t="s">
        <v>130</v>
      </c>
      <c r="H69" s="18" t="s">
        <v>35</v>
      </c>
      <c r="I69" s="18" t="s">
        <v>34</v>
      </c>
      <c r="J69" s="18">
        <v>8760</v>
      </c>
      <c r="K69" s="19">
        <v>0.40444272199999998</v>
      </c>
      <c r="L69" s="18">
        <v>0.85</v>
      </c>
      <c r="M69" s="20">
        <f>8512.22780274884/1000</f>
        <v>8.5122278027488392</v>
      </c>
      <c r="N69" s="20">
        <f>8512.227803/1000</f>
        <v>8.512227803</v>
      </c>
      <c r="O69" s="21">
        <v>0</v>
      </c>
      <c r="P69" s="18">
        <v>25</v>
      </c>
      <c r="Q69" s="21">
        <v>0.02</v>
      </c>
      <c r="R69" s="18">
        <v>0.9</v>
      </c>
      <c r="S69" s="18">
        <v>0.9</v>
      </c>
      <c r="T69" s="25">
        <f t="shared" ref="T69:W79" si="14">T9+T21+T33+T45+T57</f>
        <v>31397.200000000001</v>
      </c>
      <c r="U69" s="25">
        <f t="shared" ref="U69:U79" si="15">U9+U21+U33+U45+U57</f>
        <v>0</v>
      </c>
      <c r="V69" s="25">
        <f t="shared" si="14"/>
        <v>370</v>
      </c>
      <c r="W69" s="25">
        <f t="shared" si="14"/>
        <v>370</v>
      </c>
      <c r="X69" s="1">
        <f>CarriersTech_characteristics!$G$3</f>
        <v>37.681199999999997</v>
      </c>
      <c r="Y69" s="1">
        <f>CarriersTech_characteristics!$H$3*1000</f>
        <v>3025024.5490000001</v>
      </c>
      <c r="AB69" s="42"/>
      <c r="AC69" s="1">
        <f>1/K69/(1-Q69)</f>
        <v>2.5229979617863072</v>
      </c>
      <c r="AD69" s="31"/>
      <c r="AE69" s="37">
        <f>(Y69*Conversions!$D$3)/(X69*Conversions!$D$2)</f>
        <v>0.23958587284408495</v>
      </c>
      <c r="AH69" s="20"/>
      <c r="AK69" s="23"/>
      <c r="AL69" s="25">
        <f t="shared" si="13"/>
        <v>31397.200000000001</v>
      </c>
    </row>
    <row r="70" spans="1:38" s="18" customFormat="1" x14ac:dyDescent="0.25">
      <c r="B70" s="18" t="s">
        <v>16</v>
      </c>
      <c r="C70" s="18" t="s">
        <v>82</v>
      </c>
      <c r="D70" s="18" t="s">
        <v>241</v>
      </c>
      <c r="F70" s="18" t="s">
        <v>6</v>
      </c>
      <c r="G70" s="18" t="s">
        <v>130</v>
      </c>
      <c r="H70" s="18" t="s">
        <v>35</v>
      </c>
      <c r="I70" s="18" t="s">
        <v>34</v>
      </c>
      <c r="J70" s="18">
        <v>8760</v>
      </c>
      <c r="K70" s="19">
        <v>0.28070162799999998</v>
      </c>
      <c r="L70" s="18">
        <v>0.85</v>
      </c>
      <c r="M70" s="20">
        <f>6679.75064927145/1000</f>
        <v>6.6797506492714502</v>
      </c>
      <c r="N70" s="20">
        <f>6679.750649/1000</f>
        <v>6.6797506489999998</v>
      </c>
      <c r="O70" s="21">
        <v>0</v>
      </c>
      <c r="P70" s="18">
        <v>25</v>
      </c>
      <c r="Q70" s="21">
        <v>0.01</v>
      </c>
      <c r="R70" s="18">
        <v>1</v>
      </c>
      <c r="S70" s="18">
        <v>1</v>
      </c>
      <c r="T70" s="25">
        <f t="shared" si="14"/>
        <v>0</v>
      </c>
      <c r="U70" s="25">
        <f t="shared" si="15"/>
        <v>0</v>
      </c>
      <c r="V70" s="25">
        <f t="shared" si="14"/>
        <v>0</v>
      </c>
      <c r="W70" s="25">
        <f t="shared" si="14"/>
        <v>0</v>
      </c>
      <c r="X70" s="1">
        <f>CarriersTech_characteristics!$G$3</f>
        <v>37.681199999999997</v>
      </c>
      <c r="Y70" s="1">
        <f>CarriersTech_characteristics!$H$3*1000</f>
        <v>3025024.5490000001</v>
      </c>
      <c r="AB70" s="42"/>
      <c r="AC70" s="1">
        <f>1/K70/(1-Q70)</f>
        <v>3.5984864687033813</v>
      </c>
      <c r="AD70" s="31"/>
      <c r="AE70" s="37">
        <f>(Y70*Conversions!$D$3)/(X70*Conversions!$D$2)</f>
        <v>0.23958587284408495</v>
      </c>
      <c r="AH70" s="20"/>
      <c r="AK70" s="23"/>
      <c r="AL70" s="25">
        <f t="shared" si="13"/>
        <v>0</v>
      </c>
    </row>
    <row r="71" spans="1:38" s="18" customFormat="1" x14ac:dyDescent="0.25">
      <c r="B71" s="18" t="s">
        <v>17</v>
      </c>
      <c r="C71" s="18" t="s">
        <v>82</v>
      </c>
      <c r="D71" s="18" t="s">
        <v>241</v>
      </c>
      <c r="E71" s="18" t="s">
        <v>338</v>
      </c>
      <c r="F71" s="18" t="s">
        <v>6</v>
      </c>
      <c r="G71" s="18" t="s">
        <v>130</v>
      </c>
      <c r="H71" s="18" t="s">
        <v>36</v>
      </c>
      <c r="I71" s="18" t="s">
        <v>34</v>
      </c>
      <c r="J71" s="18">
        <v>8760</v>
      </c>
      <c r="K71" s="19">
        <v>1</v>
      </c>
      <c r="L71" s="18">
        <v>0.70916666699999997</v>
      </c>
      <c r="M71" s="20">
        <f>20833.2103478327/1000</f>
        <v>20.833210347832701</v>
      </c>
      <c r="N71" s="20">
        <f>20833.21035/1000</f>
        <v>20.833210350000002</v>
      </c>
      <c r="O71" s="21">
        <v>0</v>
      </c>
      <c r="P71" s="18">
        <v>40</v>
      </c>
      <c r="Q71" s="21">
        <v>0.10780000000000001</v>
      </c>
      <c r="R71" s="18">
        <v>0.01</v>
      </c>
      <c r="S71" s="18">
        <v>0.01</v>
      </c>
      <c r="T71" s="25">
        <f t="shared" si="14"/>
        <v>8180.0099999999993</v>
      </c>
      <c r="U71" s="25">
        <f t="shared" si="15"/>
        <v>0</v>
      </c>
      <c r="V71" s="25">
        <f t="shared" si="14"/>
        <v>1400</v>
      </c>
      <c r="W71" s="25">
        <f t="shared" si="14"/>
        <v>1400</v>
      </c>
      <c r="X71" s="33"/>
      <c r="Y71" s="33"/>
      <c r="AB71" s="42"/>
      <c r="AC71" s="1">
        <f>1/K71/(1-Q71)</f>
        <v>1.1208249271463797</v>
      </c>
      <c r="AD71" s="31"/>
      <c r="AE71" s="32"/>
      <c r="AH71" s="20"/>
      <c r="AK71" s="23"/>
      <c r="AL71" s="25">
        <f t="shared" si="13"/>
        <v>8180.0099999999993</v>
      </c>
    </row>
    <row r="72" spans="1:38" s="18" customFormat="1" x14ac:dyDescent="0.25">
      <c r="B72" s="18" t="s">
        <v>22</v>
      </c>
      <c r="C72" s="18" t="s">
        <v>82</v>
      </c>
      <c r="D72" s="18" t="s">
        <v>241</v>
      </c>
      <c r="F72" s="18" t="s">
        <v>6</v>
      </c>
      <c r="G72" s="18" t="s">
        <v>130</v>
      </c>
      <c r="H72" s="18" t="s">
        <v>36</v>
      </c>
      <c r="I72" s="18" t="s">
        <v>34</v>
      </c>
      <c r="J72" s="18">
        <v>8760</v>
      </c>
      <c r="K72" s="19">
        <v>1</v>
      </c>
      <c r="L72" s="18">
        <v>0.70916666699999997</v>
      </c>
      <c r="M72" s="20"/>
      <c r="N72" s="20">
        <f>35289.42939/1000</f>
        <v>35.289429389999995</v>
      </c>
      <c r="O72" s="21">
        <v>0</v>
      </c>
      <c r="P72" s="18">
        <v>30</v>
      </c>
      <c r="Q72" s="21">
        <v>0.05</v>
      </c>
      <c r="R72" s="18">
        <v>0.01</v>
      </c>
      <c r="S72" s="18">
        <v>0.01</v>
      </c>
      <c r="T72" s="25">
        <f t="shared" si="14"/>
        <v>0</v>
      </c>
      <c r="U72" s="25">
        <f t="shared" si="15"/>
        <v>0</v>
      </c>
      <c r="V72" s="25">
        <f t="shared" si="14"/>
        <v>0</v>
      </c>
      <c r="W72" s="25">
        <f t="shared" si="14"/>
        <v>0</v>
      </c>
      <c r="X72" s="33"/>
      <c r="Y72" s="33"/>
      <c r="AB72" s="42"/>
      <c r="AC72" s="1">
        <f>1/K72/(1-Q72)</f>
        <v>1.0526315789473684</v>
      </c>
      <c r="AD72" s="31"/>
      <c r="AE72" s="32"/>
      <c r="AH72" s="20"/>
      <c r="AK72" s="23"/>
      <c r="AL72" s="25">
        <f t="shared" si="13"/>
        <v>0</v>
      </c>
    </row>
    <row r="73" spans="1:38" s="18" customFormat="1" x14ac:dyDescent="0.25">
      <c r="B73" s="18" t="s">
        <v>15</v>
      </c>
      <c r="C73" s="18" t="s">
        <v>82</v>
      </c>
      <c r="D73" s="18" t="s">
        <v>245</v>
      </c>
      <c r="E73" s="18" t="s">
        <v>339</v>
      </c>
      <c r="F73" s="18" t="s">
        <v>6</v>
      </c>
      <c r="G73" s="18" t="s">
        <v>130</v>
      </c>
      <c r="H73" s="18" t="s">
        <v>37</v>
      </c>
      <c r="I73" s="18" t="s">
        <v>34</v>
      </c>
      <c r="J73" s="18">
        <v>8760</v>
      </c>
      <c r="K73" s="19">
        <v>1</v>
      </c>
      <c r="L73" s="18">
        <v>1</v>
      </c>
      <c r="M73" s="20">
        <f>19631.8145207228/1000</f>
        <v>19.631814520722802</v>
      </c>
      <c r="N73" s="20">
        <f>19631.81452/1000</f>
        <v>19.631814519999999</v>
      </c>
      <c r="O73" s="21">
        <v>0</v>
      </c>
      <c r="P73" s="18">
        <v>40</v>
      </c>
      <c r="Q73" s="21">
        <v>6.0000000000000001E-3</v>
      </c>
      <c r="R73" s="18">
        <v>1</v>
      </c>
      <c r="S73" s="18">
        <v>1</v>
      </c>
      <c r="T73" s="25">
        <f t="shared" si="14"/>
        <v>46491.18</v>
      </c>
      <c r="U73" s="25">
        <f t="shared" si="15"/>
        <v>0</v>
      </c>
      <c r="V73" s="25">
        <f t="shared" si="14"/>
        <v>0</v>
      </c>
      <c r="W73" s="25">
        <f t="shared" si="14"/>
        <v>0</v>
      </c>
      <c r="X73" s="31"/>
      <c r="Y73" s="34"/>
      <c r="AB73" s="42"/>
      <c r="AC73" s="30"/>
      <c r="AD73" s="1">
        <f>K73-Q73</f>
        <v>0.99399999999999999</v>
      </c>
      <c r="AE73" s="30"/>
      <c r="AH73" s="20"/>
      <c r="AK73" s="23"/>
      <c r="AL73" s="25">
        <f t="shared" si="13"/>
        <v>46491.18</v>
      </c>
    </row>
    <row r="74" spans="1:38" s="18" customFormat="1" x14ac:dyDescent="0.25">
      <c r="B74" s="18" t="s">
        <v>18</v>
      </c>
      <c r="C74" s="18" t="s">
        <v>82</v>
      </c>
      <c r="D74" s="18" t="s">
        <v>245</v>
      </c>
      <c r="E74" s="18" t="s">
        <v>341</v>
      </c>
      <c r="F74" s="18" t="s">
        <v>6</v>
      </c>
      <c r="G74" s="18" t="s">
        <v>130</v>
      </c>
      <c r="H74" s="18" t="s">
        <v>37</v>
      </c>
      <c r="I74" s="18" t="s">
        <v>34</v>
      </c>
      <c r="J74" s="18">
        <v>8760</v>
      </c>
      <c r="K74" s="19">
        <v>1</v>
      </c>
      <c r="L74" s="18">
        <v>1</v>
      </c>
      <c r="M74" s="20">
        <f>11825.3487554956/1000</f>
        <v>11.825348755495598</v>
      </c>
      <c r="N74" s="20">
        <f>11825.34876/1000</f>
        <v>11.825348760000001</v>
      </c>
      <c r="O74" s="21">
        <v>0</v>
      </c>
      <c r="P74" s="18">
        <v>35</v>
      </c>
      <c r="Q74" s="21">
        <v>0.01</v>
      </c>
      <c r="R74" s="18">
        <v>1</v>
      </c>
      <c r="S74" s="18">
        <v>1</v>
      </c>
      <c r="T74" s="25">
        <f t="shared" si="14"/>
        <v>4939.05</v>
      </c>
      <c r="U74" s="25">
        <f t="shared" si="15"/>
        <v>0</v>
      </c>
      <c r="V74" s="25">
        <f t="shared" si="14"/>
        <v>72</v>
      </c>
      <c r="W74" s="25">
        <f t="shared" si="14"/>
        <v>72</v>
      </c>
      <c r="X74" s="31"/>
      <c r="Y74" s="34"/>
      <c r="AB74" s="42"/>
      <c r="AC74" s="30"/>
      <c r="AD74" s="1">
        <f>K74-Q74</f>
        <v>0.99</v>
      </c>
      <c r="AE74" s="30"/>
      <c r="AH74" s="20"/>
      <c r="AK74" s="23"/>
      <c r="AL74" s="25">
        <f t="shared" si="13"/>
        <v>4939.05</v>
      </c>
    </row>
    <row r="75" spans="1:38" s="18" customFormat="1" x14ac:dyDescent="0.25">
      <c r="B75" s="18" t="s">
        <v>7</v>
      </c>
      <c r="C75" s="18" t="s">
        <v>82</v>
      </c>
      <c r="D75" s="18" t="s">
        <v>241</v>
      </c>
      <c r="E75" s="18" t="s">
        <v>342</v>
      </c>
      <c r="F75" s="18" t="s">
        <v>6</v>
      </c>
      <c r="G75" s="18" t="s">
        <v>130</v>
      </c>
      <c r="H75" s="18" t="s">
        <v>38</v>
      </c>
      <c r="I75" s="18" t="s">
        <v>34</v>
      </c>
      <c r="J75" s="18">
        <v>8760</v>
      </c>
      <c r="K75" s="19">
        <v>0.238845897</v>
      </c>
      <c r="L75" s="18">
        <v>1</v>
      </c>
      <c r="M75" s="20">
        <f>7713.45723965334/1000</f>
        <v>7.7134572396533407</v>
      </c>
      <c r="N75" s="20">
        <f>7713.45724/1000</f>
        <v>7.7134572399999994</v>
      </c>
      <c r="O75" s="21">
        <v>0</v>
      </c>
      <c r="P75" s="18">
        <v>20</v>
      </c>
      <c r="Q75" s="21">
        <v>0.1</v>
      </c>
      <c r="R75" s="18">
        <v>0.06</v>
      </c>
      <c r="S75" s="18">
        <v>0.06</v>
      </c>
      <c r="T75" s="25">
        <f t="shared" si="14"/>
        <v>10830.04</v>
      </c>
      <c r="U75" s="25">
        <f t="shared" si="15"/>
        <v>0</v>
      </c>
      <c r="V75" s="25">
        <f t="shared" si="14"/>
        <v>463</v>
      </c>
      <c r="W75" s="25">
        <f t="shared" si="14"/>
        <v>463</v>
      </c>
      <c r="X75" s="1">
        <f>CarriersTech_characteristics!$G$7</f>
        <v>13.648968</v>
      </c>
      <c r="Y75" s="1">
        <f>CarriersTech_characteristics!$H$5*1000</f>
        <v>1656436.6880000001</v>
      </c>
      <c r="Z75" s="26"/>
      <c r="AB75" s="42"/>
      <c r="AC75" s="1">
        <f>1/K75/(1-Q75)</f>
        <v>4.6519999927447406</v>
      </c>
      <c r="AD75" s="31"/>
      <c r="AE75" s="36">
        <f>Y75/(X75*Conversions!$D$2)</f>
        <v>0.43689545093040172</v>
      </c>
      <c r="AH75" s="20"/>
      <c r="AK75" s="23"/>
      <c r="AL75" s="25">
        <f t="shared" si="13"/>
        <v>10830.04</v>
      </c>
    </row>
    <row r="76" spans="1:38" s="18" customFormat="1" x14ac:dyDescent="0.25">
      <c r="B76" s="18" t="s">
        <v>19</v>
      </c>
      <c r="C76" s="18" t="s">
        <v>82</v>
      </c>
      <c r="D76" s="18" t="s">
        <v>253</v>
      </c>
      <c r="E76" s="18" t="s">
        <v>343</v>
      </c>
      <c r="F76" s="18" t="s">
        <v>6</v>
      </c>
      <c r="G76" s="18" t="s">
        <v>130</v>
      </c>
      <c r="H76" s="18" t="s">
        <v>39</v>
      </c>
      <c r="I76" s="18" t="s">
        <v>34</v>
      </c>
      <c r="J76" s="18">
        <v>8760</v>
      </c>
      <c r="K76" s="19">
        <v>1</v>
      </c>
      <c r="L76" s="18">
        <v>1</v>
      </c>
      <c r="M76" s="20">
        <f>5630.98419436319/1000</f>
        <v>5.6309841943631902</v>
      </c>
      <c r="N76" s="20">
        <f>5439.705856/1000</f>
        <v>5.4397058559999998</v>
      </c>
      <c r="O76" s="21">
        <v>0</v>
      </c>
      <c r="P76" s="18">
        <v>25</v>
      </c>
      <c r="Q76" s="21">
        <v>0.01</v>
      </c>
      <c r="R76" s="18">
        <v>1</v>
      </c>
      <c r="S76" s="18">
        <v>1</v>
      </c>
      <c r="T76" s="25">
        <f t="shared" si="14"/>
        <v>58366.792573999992</v>
      </c>
      <c r="U76" s="25">
        <f t="shared" si="15"/>
        <v>0</v>
      </c>
      <c r="V76" s="25">
        <f t="shared" si="14"/>
        <v>12020</v>
      </c>
      <c r="W76" s="25">
        <f t="shared" si="14"/>
        <v>12020</v>
      </c>
      <c r="X76" s="31"/>
      <c r="Y76" s="35" t="s">
        <v>265</v>
      </c>
      <c r="AB76" s="42"/>
      <c r="AC76" s="31">
        <v>1</v>
      </c>
      <c r="AD76" s="31"/>
      <c r="AE76" s="30"/>
      <c r="AH76" s="20"/>
      <c r="AK76" s="23"/>
      <c r="AL76" s="25">
        <f t="shared" si="13"/>
        <v>58366.792573999992</v>
      </c>
    </row>
    <row r="77" spans="1:38" s="18" customFormat="1" x14ac:dyDescent="0.25">
      <c r="B77" s="18" t="s">
        <v>20</v>
      </c>
      <c r="C77" s="18" t="s">
        <v>82</v>
      </c>
      <c r="D77" s="18" t="s">
        <v>253</v>
      </c>
      <c r="E77" s="18" t="s">
        <v>344</v>
      </c>
      <c r="F77" s="18" t="s">
        <v>6</v>
      </c>
      <c r="G77" s="18" t="s">
        <v>130</v>
      </c>
      <c r="H77" s="18" t="s">
        <v>39</v>
      </c>
      <c r="I77" s="18" t="s">
        <v>34</v>
      </c>
      <c r="J77" s="18">
        <v>8760</v>
      </c>
      <c r="K77" s="19">
        <v>1</v>
      </c>
      <c r="L77" s="18">
        <v>1</v>
      </c>
      <c r="M77" s="20">
        <f>5542.18769541597/1000</f>
        <v>5.5421876954159695</v>
      </c>
      <c r="N77" s="20">
        <f>5362.133837/1000</f>
        <v>5.362133837</v>
      </c>
      <c r="O77" s="21">
        <v>0</v>
      </c>
      <c r="P77" s="18">
        <v>25</v>
      </c>
      <c r="Q77" s="21">
        <v>6.0000000000000001E-3</v>
      </c>
      <c r="R77" s="18">
        <v>1</v>
      </c>
      <c r="S77" s="18">
        <v>1</v>
      </c>
      <c r="T77" s="25">
        <f t="shared" si="14"/>
        <v>9468.2674249999982</v>
      </c>
      <c r="U77" s="25">
        <f t="shared" si="15"/>
        <v>0</v>
      </c>
      <c r="V77" s="25">
        <f t="shared" si="14"/>
        <v>3234</v>
      </c>
      <c r="W77" s="25">
        <f t="shared" si="14"/>
        <v>3234</v>
      </c>
      <c r="X77" s="31"/>
      <c r="Y77" s="31"/>
      <c r="AB77" s="42"/>
      <c r="AC77" s="31">
        <v>1</v>
      </c>
      <c r="AD77" s="31"/>
      <c r="AE77" s="30"/>
      <c r="AH77" s="20"/>
      <c r="AK77" s="23"/>
      <c r="AL77" s="25">
        <f t="shared" si="13"/>
        <v>9468.2674249999982</v>
      </c>
    </row>
    <row r="78" spans="1:38" s="18" customFormat="1" x14ac:dyDescent="0.25">
      <c r="B78" s="18" t="s">
        <v>21</v>
      </c>
      <c r="C78" s="18" t="s">
        <v>82</v>
      </c>
      <c r="D78" s="18" t="s">
        <v>253</v>
      </c>
      <c r="E78" s="18" t="s">
        <v>345</v>
      </c>
      <c r="F78" s="18" t="s">
        <v>6</v>
      </c>
      <c r="G78" s="18" t="s">
        <v>130</v>
      </c>
      <c r="H78" s="18" t="s">
        <v>40</v>
      </c>
      <c r="I78" s="18" t="s">
        <v>34</v>
      </c>
      <c r="J78" s="18">
        <v>8760</v>
      </c>
      <c r="K78" s="19">
        <v>1</v>
      </c>
      <c r="L78" s="18">
        <v>1</v>
      </c>
      <c r="M78" s="20">
        <f>10659.4302732183/1000</f>
        <v>10.6594302732183</v>
      </c>
      <c r="N78" s="20">
        <f>10586.96446/1000</f>
        <v>10.586964459999999</v>
      </c>
      <c r="O78" s="21">
        <v>0</v>
      </c>
      <c r="P78" s="18">
        <v>25</v>
      </c>
      <c r="Q78" s="21">
        <v>5.0000000000000001E-3</v>
      </c>
      <c r="R78" s="18">
        <v>1</v>
      </c>
      <c r="S78" s="18">
        <v>1</v>
      </c>
      <c r="T78" s="25">
        <f t="shared" si="14"/>
        <v>46169.83</v>
      </c>
      <c r="U78" s="25">
        <f t="shared" si="15"/>
        <v>0</v>
      </c>
      <c r="V78" s="25">
        <f t="shared" si="14"/>
        <v>3253</v>
      </c>
      <c r="W78" s="25">
        <f t="shared" si="14"/>
        <v>3253</v>
      </c>
      <c r="X78" s="31"/>
      <c r="Y78" s="31"/>
      <c r="AB78" s="42"/>
      <c r="AC78" s="31">
        <v>1</v>
      </c>
      <c r="AD78" s="31"/>
      <c r="AE78" s="30"/>
      <c r="AH78" s="20"/>
      <c r="AK78" s="23"/>
      <c r="AL78" s="25">
        <f t="shared" si="13"/>
        <v>46169.83</v>
      </c>
    </row>
    <row r="79" spans="1:38" s="18" customFormat="1" x14ac:dyDescent="0.25">
      <c r="B79" s="18" t="s">
        <v>23</v>
      </c>
      <c r="C79" s="18" t="s">
        <v>82</v>
      </c>
      <c r="D79" s="18" t="s">
        <v>253</v>
      </c>
      <c r="F79" s="18" t="s">
        <v>6</v>
      </c>
      <c r="G79" s="18" t="s">
        <v>130</v>
      </c>
      <c r="H79" s="18" t="s">
        <v>40</v>
      </c>
      <c r="I79" s="18" t="s">
        <v>34</v>
      </c>
      <c r="J79" s="18">
        <v>8760</v>
      </c>
      <c r="K79" s="19">
        <v>1</v>
      </c>
      <c r="L79" s="18">
        <v>1</v>
      </c>
      <c r="M79" s="20"/>
      <c r="N79" s="20">
        <f>34540.36167/1000</f>
        <v>34.540361669999996</v>
      </c>
      <c r="O79" s="21">
        <v>0</v>
      </c>
      <c r="P79" s="18">
        <v>25</v>
      </c>
      <c r="Q79" s="21">
        <v>5.0000000000000001E-3</v>
      </c>
      <c r="R79" s="18">
        <v>1</v>
      </c>
      <c r="S79" s="18">
        <v>1</v>
      </c>
      <c r="T79" s="25">
        <f t="shared" si="14"/>
        <v>0</v>
      </c>
      <c r="U79" s="25">
        <f t="shared" si="15"/>
        <v>0</v>
      </c>
      <c r="V79" s="25">
        <f t="shared" si="14"/>
        <v>0</v>
      </c>
      <c r="W79" s="25">
        <f t="shared" si="14"/>
        <v>0</v>
      </c>
      <c r="X79" s="31"/>
      <c r="Y79" s="31"/>
      <c r="AB79" s="42"/>
      <c r="AC79" s="31">
        <v>1</v>
      </c>
      <c r="AD79" s="31"/>
      <c r="AE79" s="30"/>
      <c r="AL79" s="25">
        <f t="shared" si="13"/>
        <v>0</v>
      </c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89" spans="8:8" x14ac:dyDescent="0.25">
      <c r="H89" s="1"/>
    </row>
    <row r="90" spans="8:8" x14ac:dyDescent="0.25">
      <c r="H90" s="1"/>
    </row>
    <row r="91" spans="8:8" x14ac:dyDescent="0.25">
      <c r="H91" s="1"/>
    </row>
    <row r="92" spans="8:8" x14ac:dyDescent="0.25">
      <c r="H92" s="1"/>
    </row>
    <row r="93" spans="8:8" x14ac:dyDescent="0.25">
      <c r="H93" s="1"/>
    </row>
    <row r="94" spans="8:8" x14ac:dyDescent="0.25">
      <c r="H94" s="1"/>
    </row>
    <row r="95" spans="8:8" x14ac:dyDescent="0.25">
      <c r="H95" s="1"/>
    </row>
    <row r="96" spans="8:8" x14ac:dyDescent="0.25">
      <c r="H96" s="1"/>
    </row>
    <row r="97" spans="8:8" x14ac:dyDescent="0.25">
      <c r="H97" s="1"/>
    </row>
    <row r="98" spans="8:8" x14ac:dyDescent="0.25">
      <c r="H98" s="1"/>
    </row>
    <row r="99" spans="8:8" x14ac:dyDescent="0.25">
      <c r="H99" s="1"/>
    </row>
    <row r="100" spans="8:8" x14ac:dyDescent="0.25">
      <c r="H100" s="1"/>
    </row>
    <row r="101" spans="8:8" x14ac:dyDescent="0.25">
      <c r="H101" s="1"/>
    </row>
    <row r="102" spans="8:8" x14ac:dyDescent="0.25">
      <c r="H102" s="1"/>
    </row>
    <row r="103" spans="8:8" x14ac:dyDescent="0.25">
      <c r="H103" s="1"/>
    </row>
    <row r="104" spans="8:8" x14ac:dyDescent="0.25">
      <c r="H104" s="1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B4FB-5F84-411F-BF7D-598478696040}">
  <dimension ref="A1:AC56"/>
  <sheetViews>
    <sheetView workbookViewId="0">
      <pane xSplit="3" ySplit="7" topLeftCell="I8" activePane="bottomRight" state="frozen"/>
      <selection pane="topRight" activeCell="C1" sqref="C1"/>
      <selection pane="bottomLeft" activeCell="A7" sqref="A7"/>
      <selection pane="bottomRight" activeCell="R21" sqref="R21"/>
    </sheetView>
  </sheetViews>
  <sheetFormatPr defaultRowHeight="15" x14ac:dyDescent="0.25"/>
  <cols>
    <col min="2" max="2" width="16.5703125" bestFit="1" customWidth="1"/>
    <col min="3" max="3" width="6" customWidth="1"/>
    <col min="4" max="4" width="13.85546875" bestFit="1" customWidth="1"/>
    <col min="5" max="5" width="14.85546875" bestFit="1" customWidth="1"/>
    <col min="6" max="6" width="16" bestFit="1" customWidth="1"/>
    <col min="7" max="7" width="12.140625" bestFit="1" customWidth="1"/>
    <col min="8" max="8" width="13.42578125" customWidth="1"/>
    <col min="9" max="9" width="11.42578125" bestFit="1" customWidth="1"/>
    <col min="10" max="10" width="11.42578125" customWidth="1"/>
    <col min="11" max="11" width="8.28515625" bestFit="1" customWidth="1"/>
    <col min="12" max="12" width="8.140625" customWidth="1"/>
    <col min="13" max="13" width="11.42578125" customWidth="1"/>
    <col min="14" max="14" width="13.85546875" customWidth="1"/>
    <col min="15" max="15" width="9.28515625" bestFit="1" customWidth="1"/>
    <col min="16" max="16" width="8.5703125" bestFit="1" customWidth="1"/>
    <col min="17" max="17" width="8.5703125" customWidth="1"/>
    <col min="18" max="18" width="18.140625" customWidth="1"/>
    <col min="19" max="19" width="14.7109375" customWidth="1"/>
    <col min="20" max="20" width="12" customWidth="1"/>
    <col min="21" max="21" width="13.42578125" customWidth="1"/>
    <col min="24" max="24" width="10.140625" style="42" customWidth="1"/>
    <col min="25" max="25" width="12.85546875" customWidth="1"/>
    <col min="26" max="26" width="12.140625" customWidth="1"/>
    <col min="27" max="27" width="11.5703125" customWidth="1"/>
    <col min="29" max="29" width="9.5703125" bestFit="1" customWidth="1"/>
  </cols>
  <sheetData>
    <row r="1" spans="1:29" s="7" customFormat="1" x14ac:dyDescent="0.25">
      <c r="A1" s="7" t="s">
        <v>146</v>
      </c>
      <c r="G1" s="61" t="s">
        <v>179</v>
      </c>
      <c r="H1" s="7" t="s">
        <v>346</v>
      </c>
      <c r="I1" s="7" t="s">
        <v>346</v>
      </c>
      <c r="J1" s="7" t="s">
        <v>346</v>
      </c>
      <c r="K1" s="7" t="s">
        <v>346</v>
      </c>
      <c r="L1" s="7" t="s">
        <v>346</v>
      </c>
      <c r="M1" s="7" t="s">
        <v>348</v>
      </c>
      <c r="N1" s="7" t="s">
        <v>348</v>
      </c>
      <c r="O1" s="7" t="s">
        <v>350</v>
      </c>
      <c r="P1" s="7" t="s">
        <v>355</v>
      </c>
      <c r="Q1" s="7" t="s">
        <v>355</v>
      </c>
      <c r="R1" s="7" t="s">
        <v>350</v>
      </c>
      <c r="S1" s="7" t="s">
        <v>356</v>
      </c>
      <c r="T1" s="7" t="s">
        <v>358</v>
      </c>
      <c r="U1" s="7" t="s">
        <v>358</v>
      </c>
      <c r="V1" s="7" t="s">
        <v>357</v>
      </c>
      <c r="W1" s="7" t="s">
        <v>357</v>
      </c>
      <c r="X1" s="38"/>
    </row>
    <row r="2" spans="1:29" s="27" customFormat="1" x14ac:dyDescent="0.25">
      <c r="A2" s="27" t="s">
        <v>224</v>
      </c>
      <c r="B2" s="27" t="s">
        <v>0</v>
      </c>
      <c r="C2" s="27" t="s">
        <v>2</v>
      </c>
      <c r="F2" s="27" t="s">
        <v>1</v>
      </c>
      <c r="G2" s="27" t="s">
        <v>29</v>
      </c>
      <c r="H2" s="27" t="s">
        <v>107</v>
      </c>
      <c r="I2" s="27" t="s">
        <v>108</v>
      </c>
      <c r="J2" s="27" t="s">
        <v>109</v>
      </c>
      <c r="K2" s="27" t="s">
        <v>110</v>
      </c>
      <c r="L2" s="27" t="s">
        <v>111</v>
      </c>
      <c r="M2" s="27" t="s">
        <v>118</v>
      </c>
      <c r="N2" s="27" t="s">
        <v>119</v>
      </c>
      <c r="O2" s="27" t="s">
        <v>120</v>
      </c>
      <c r="P2" s="27" t="s">
        <v>124</v>
      </c>
      <c r="Q2" s="27" t="s">
        <v>125</v>
      </c>
      <c r="R2" s="27" t="s">
        <v>231</v>
      </c>
      <c r="S2" s="27" t="s">
        <v>121</v>
      </c>
      <c r="T2" s="27" t="s">
        <v>236</v>
      </c>
      <c r="U2" s="27" t="s">
        <v>237</v>
      </c>
      <c r="X2" s="39"/>
    </row>
    <row r="3" spans="1:29" s="7" customFormat="1" x14ac:dyDescent="0.25">
      <c r="A3" s="7" t="s">
        <v>83</v>
      </c>
      <c r="J3" s="7" t="s">
        <v>84</v>
      </c>
      <c r="K3" s="7" t="s">
        <v>85</v>
      </c>
      <c r="M3" s="7" t="s">
        <v>347</v>
      </c>
      <c r="N3" s="7" t="s">
        <v>315</v>
      </c>
      <c r="O3" s="7" t="s">
        <v>359</v>
      </c>
      <c r="P3" s="7" t="s">
        <v>360</v>
      </c>
      <c r="Q3" s="7" t="s">
        <v>354</v>
      </c>
      <c r="R3" s="7" t="s">
        <v>91</v>
      </c>
      <c r="S3" s="7" t="s">
        <v>147</v>
      </c>
      <c r="T3" s="7" t="s">
        <v>92</v>
      </c>
      <c r="U3" s="7" t="s">
        <v>103</v>
      </c>
      <c r="V3" s="7" t="s">
        <v>148</v>
      </c>
      <c r="W3" s="7" t="s">
        <v>104</v>
      </c>
      <c r="X3" s="38"/>
      <c r="Y3" s="7" t="s">
        <v>93</v>
      </c>
      <c r="Z3" s="7" t="s">
        <v>94</v>
      </c>
      <c r="AA3" s="7" t="s">
        <v>96</v>
      </c>
      <c r="AB3" s="7" t="s">
        <v>97</v>
      </c>
      <c r="AC3" s="7" t="s">
        <v>287</v>
      </c>
    </row>
    <row r="4" spans="1:29" s="7" customFormat="1" x14ac:dyDescent="0.25">
      <c r="A4" s="7" t="s">
        <v>155</v>
      </c>
      <c r="C4" s="7" t="s">
        <v>157</v>
      </c>
      <c r="G4" s="7" t="s">
        <v>228</v>
      </c>
      <c r="H4" s="7" t="s">
        <v>156</v>
      </c>
      <c r="O4" s="7" t="s">
        <v>349</v>
      </c>
      <c r="P4" s="7" t="s">
        <v>351</v>
      </c>
      <c r="Q4" s="7" t="s">
        <v>352</v>
      </c>
      <c r="R4" s="7" t="s">
        <v>160</v>
      </c>
      <c r="S4" s="7" t="s">
        <v>162</v>
      </c>
      <c r="T4" s="7" t="s">
        <v>163</v>
      </c>
      <c r="U4" s="7" t="s">
        <v>164</v>
      </c>
      <c r="V4" s="7" t="s">
        <v>282</v>
      </c>
      <c r="W4" s="7" t="s">
        <v>290</v>
      </c>
      <c r="X4" s="38"/>
      <c r="AA4" s="7" t="s">
        <v>286</v>
      </c>
      <c r="AB4" s="7" t="s">
        <v>144</v>
      </c>
    </row>
    <row r="5" spans="1:29" s="7" customFormat="1" x14ac:dyDescent="0.25">
      <c r="A5" s="7" t="s">
        <v>225</v>
      </c>
      <c r="G5" s="7" t="s">
        <v>154</v>
      </c>
      <c r="H5" s="7" t="s">
        <v>102</v>
      </c>
      <c r="J5" s="7" t="s">
        <v>102</v>
      </c>
      <c r="K5" s="7" t="s">
        <v>102</v>
      </c>
      <c r="M5" s="7" t="s">
        <v>102</v>
      </c>
      <c r="N5" s="7" t="s">
        <v>102</v>
      </c>
      <c r="O5" s="7" t="s">
        <v>102</v>
      </c>
      <c r="P5" s="7" t="s">
        <v>102</v>
      </c>
      <c r="Q5" s="7" t="s">
        <v>102</v>
      </c>
      <c r="R5" s="7" t="s">
        <v>165</v>
      </c>
      <c r="S5" s="7" t="s">
        <v>309</v>
      </c>
      <c r="T5" s="7" t="s">
        <v>309</v>
      </c>
      <c r="U5" s="7" t="s">
        <v>309</v>
      </c>
      <c r="W5" s="7" t="s">
        <v>289</v>
      </c>
      <c r="X5" s="38"/>
      <c r="Y5" s="7" t="s">
        <v>364</v>
      </c>
      <c r="Z5" s="7" t="s">
        <v>364</v>
      </c>
      <c r="AA5" s="7" t="s">
        <v>285</v>
      </c>
      <c r="AB5" s="7" t="s">
        <v>304</v>
      </c>
      <c r="AC5" s="7" t="s">
        <v>298</v>
      </c>
    </row>
    <row r="6" spans="1:29" s="4" customFormat="1" ht="15.75" thickBot="1" x14ac:dyDescent="0.3">
      <c r="A6" s="4" t="s">
        <v>226</v>
      </c>
      <c r="C6" s="4" t="s">
        <v>227</v>
      </c>
      <c r="D6" s="4" t="s">
        <v>240</v>
      </c>
      <c r="E6" s="4" t="s">
        <v>242</v>
      </c>
      <c r="F6" s="28"/>
      <c r="G6" s="28"/>
      <c r="J6" s="4" t="s">
        <v>363</v>
      </c>
      <c r="P6" s="4" t="s">
        <v>161</v>
      </c>
      <c r="R6" s="4" t="s">
        <v>230</v>
      </c>
      <c r="T6" s="4" t="s">
        <v>297</v>
      </c>
      <c r="U6" s="4" t="s">
        <v>239</v>
      </c>
      <c r="W6" s="4" t="s">
        <v>143</v>
      </c>
      <c r="X6" s="40"/>
      <c r="Y6" s="4" t="s">
        <v>361</v>
      </c>
      <c r="Z6" s="4" t="s">
        <v>362</v>
      </c>
      <c r="AA6" s="4" t="s">
        <v>284</v>
      </c>
      <c r="AC6" s="4" t="s">
        <v>293</v>
      </c>
    </row>
    <row r="7" spans="1:29" s="4" customFormat="1" ht="16.5" thickTop="1" thickBot="1" x14ac:dyDescent="0.3">
      <c r="A7" s="4" t="s">
        <v>98</v>
      </c>
      <c r="J7" s="4" t="s">
        <v>99</v>
      </c>
      <c r="K7" s="4" t="s">
        <v>99</v>
      </c>
      <c r="M7" s="4" t="s">
        <v>99</v>
      </c>
      <c r="N7" s="4" t="s">
        <v>296</v>
      </c>
      <c r="O7" s="4" t="s">
        <v>99</v>
      </c>
      <c r="P7" s="4" t="s">
        <v>100</v>
      </c>
      <c r="Q7" s="4" t="s">
        <v>353</v>
      </c>
      <c r="R7" s="4" t="s">
        <v>211</v>
      </c>
      <c r="S7" s="4" t="s">
        <v>130</v>
      </c>
      <c r="T7" s="4" t="s">
        <v>130</v>
      </c>
      <c r="U7" s="4" t="s">
        <v>130</v>
      </c>
      <c r="V7" s="4" t="s">
        <v>278</v>
      </c>
      <c r="W7" s="4" t="s">
        <v>99</v>
      </c>
      <c r="X7" s="40"/>
      <c r="Y7" s="4" t="s">
        <v>99</v>
      </c>
      <c r="Z7" s="4" t="s">
        <v>99</v>
      </c>
      <c r="AA7" s="4" t="s">
        <v>100</v>
      </c>
      <c r="AC7" s="4" t="s">
        <v>294</v>
      </c>
    </row>
    <row r="8" spans="1:29" ht="15.75" thickTop="1" x14ac:dyDescent="0.25">
      <c r="B8" t="s">
        <v>112</v>
      </c>
      <c r="C8" t="s">
        <v>12</v>
      </c>
      <c r="D8" t="s">
        <v>333</v>
      </c>
      <c r="E8" t="s">
        <v>334</v>
      </c>
      <c r="F8" t="s">
        <v>6</v>
      </c>
      <c r="G8" t="s">
        <v>101</v>
      </c>
      <c r="H8" t="s">
        <v>34</v>
      </c>
      <c r="I8" t="s">
        <v>113</v>
      </c>
      <c r="J8">
        <v>0.5</v>
      </c>
      <c r="K8" s="5">
        <v>0.5</v>
      </c>
      <c r="L8" t="s">
        <v>114</v>
      </c>
      <c r="M8">
        <v>0</v>
      </c>
      <c r="N8">
        <v>0.9</v>
      </c>
      <c r="O8" s="1">
        <v>0.8</v>
      </c>
      <c r="P8">
        <v>10</v>
      </c>
      <c r="Q8" s="10">
        <v>3873.4092000000001</v>
      </c>
      <c r="R8" s="78">
        <f>Capacity!C103/1000</f>
        <v>2.247515108</v>
      </c>
      <c r="S8" s="16">
        <v>0</v>
      </c>
      <c r="T8" s="17">
        <f>S8</f>
        <v>0</v>
      </c>
      <c r="U8" s="17">
        <f>S8</f>
        <v>0</v>
      </c>
      <c r="V8" s="10">
        <v>0</v>
      </c>
      <c r="W8">
        <v>0.09</v>
      </c>
      <c r="X8" s="41"/>
      <c r="Y8" s="82">
        <f>SQRT(O8)</f>
        <v>0.89442719099991586</v>
      </c>
      <c r="Z8" s="82">
        <f>Y8</f>
        <v>0.89442719099991586</v>
      </c>
      <c r="AA8" s="83">
        <f>P8</f>
        <v>10</v>
      </c>
      <c r="AB8" s="84">
        <f>W8/(1-(1+W8)^(-AA8))</f>
        <v>0.15582008990903373</v>
      </c>
      <c r="AC8" s="85">
        <f t="shared" ref="AC8:AC27" si="0">R8/AB8</f>
        <v>14.423782641327429</v>
      </c>
    </row>
    <row r="9" spans="1:29" x14ac:dyDescent="0.25">
      <c r="B9" t="s">
        <v>115</v>
      </c>
      <c r="C9" t="s">
        <v>12</v>
      </c>
      <c r="D9" t="s">
        <v>333</v>
      </c>
      <c r="E9" t="s">
        <v>335</v>
      </c>
      <c r="F9" t="s">
        <v>6</v>
      </c>
      <c r="G9" t="s">
        <v>101</v>
      </c>
      <c r="H9" t="s">
        <v>34</v>
      </c>
      <c r="I9" t="s">
        <v>113</v>
      </c>
      <c r="J9">
        <v>0.25</v>
      </c>
      <c r="K9" s="5">
        <v>0.25</v>
      </c>
      <c r="L9" t="s">
        <v>114</v>
      </c>
      <c r="M9">
        <v>0</v>
      </c>
      <c r="N9">
        <v>0.9</v>
      </c>
      <c r="O9" s="1">
        <v>0.8</v>
      </c>
      <c r="P9">
        <v>10</v>
      </c>
      <c r="Q9" s="10">
        <v>3873.4092000000001</v>
      </c>
      <c r="R9" s="78">
        <f>Capacity!C123/1000</f>
        <v>1.9123593459999999</v>
      </c>
      <c r="S9" s="16">
        <v>0</v>
      </c>
      <c r="T9" s="17">
        <f t="shared" ref="T9:T31" si="1">S9</f>
        <v>0</v>
      </c>
      <c r="U9" s="17">
        <f t="shared" ref="U9:U31" si="2">S9</f>
        <v>0</v>
      </c>
      <c r="V9" s="10">
        <v>0</v>
      </c>
      <c r="W9">
        <v>0.09</v>
      </c>
      <c r="Y9" s="82">
        <f t="shared" ref="Y9:Y27" si="3">SQRT(O9)</f>
        <v>0.89442719099991586</v>
      </c>
      <c r="Z9" s="82">
        <f t="shared" ref="Z9:Z27" si="4">Y9</f>
        <v>0.89442719099991586</v>
      </c>
      <c r="AA9" s="83">
        <f t="shared" ref="AA9:AA27" si="5">P9</f>
        <v>10</v>
      </c>
      <c r="AB9" s="84">
        <f t="shared" ref="AB9:AB27" si="6">W9/(1-(1+W9)^-AA9)</f>
        <v>0.15582008990903373</v>
      </c>
      <c r="AC9" s="85">
        <f t="shared" si="0"/>
        <v>12.27286768424031</v>
      </c>
    </row>
    <row r="10" spans="1:29" x14ac:dyDescent="0.25">
      <c r="B10" t="s">
        <v>116</v>
      </c>
      <c r="C10" t="s">
        <v>12</v>
      </c>
      <c r="D10" t="s">
        <v>333</v>
      </c>
      <c r="E10" t="s">
        <v>336</v>
      </c>
      <c r="F10" t="s">
        <v>6</v>
      </c>
      <c r="G10" t="s">
        <v>101</v>
      </c>
      <c r="H10" t="s">
        <v>34</v>
      </c>
      <c r="I10" t="s">
        <v>113</v>
      </c>
      <c r="J10">
        <v>0.16666700000000001</v>
      </c>
      <c r="K10" s="5">
        <v>0.16666700000000001</v>
      </c>
      <c r="L10" t="s">
        <v>114</v>
      </c>
      <c r="M10">
        <v>0</v>
      </c>
      <c r="N10">
        <v>0.9</v>
      </c>
      <c r="O10" s="1">
        <v>0.8</v>
      </c>
      <c r="P10">
        <v>10</v>
      </c>
      <c r="Q10" s="10">
        <v>3873.4092000000001</v>
      </c>
      <c r="R10" s="78">
        <f>Capacity!C143/1000</f>
        <v>1.800640759</v>
      </c>
      <c r="S10" s="16">
        <v>0</v>
      </c>
      <c r="T10" s="17">
        <f t="shared" si="1"/>
        <v>0</v>
      </c>
      <c r="U10" s="17">
        <f t="shared" si="2"/>
        <v>0</v>
      </c>
      <c r="V10" s="10">
        <v>0</v>
      </c>
      <c r="W10">
        <v>0.09</v>
      </c>
      <c r="Y10" s="82">
        <f t="shared" si="3"/>
        <v>0.89442719099991586</v>
      </c>
      <c r="Z10" s="82">
        <f t="shared" si="4"/>
        <v>0.89442719099991586</v>
      </c>
      <c r="AA10" s="83">
        <f t="shared" si="5"/>
        <v>10</v>
      </c>
      <c r="AB10" s="84">
        <f t="shared" si="6"/>
        <v>0.15582008990903373</v>
      </c>
      <c r="AC10" s="85">
        <f t="shared" si="0"/>
        <v>11.555896034017159</v>
      </c>
    </row>
    <row r="11" spans="1:29" s="24" customFormat="1" x14ac:dyDescent="0.25">
      <c r="B11" s="24" t="s">
        <v>117</v>
      </c>
      <c r="C11" s="24" t="s">
        <v>12</v>
      </c>
      <c r="D11" s="24" t="s">
        <v>333</v>
      </c>
      <c r="E11" s="24" t="s">
        <v>365</v>
      </c>
      <c r="F11" s="24" t="s">
        <v>6</v>
      </c>
      <c r="G11" s="24" t="s">
        <v>101</v>
      </c>
      <c r="H11" s="24" t="s">
        <v>34</v>
      </c>
      <c r="I11" s="24" t="s">
        <v>113</v>
      </c>
      <c r="J11" s="24">
        <v>0.16666666699999999</v>
      </c>
      <c r="K11" s="44">
        <v>0.16666666699999999</v>
      </c>
      <c r="L11" s="24" t="s">
        <v>114</v>
      </c>
      <c r="M11" s="24">
        <v>0</v>
      </c>
      <c r="N11" s="24">
        <v>0.9</v>
      </c>
      <c r="O11" s="47">
        <v>0.75</v>
      </c>
      <c r="P11" s="24">
        <f>Capacity!E85</f>
        <v>20</v>
      </c>
      <c r="Q11" s="24">
        <f>Capacity!F85</f>
        <v>50000</v>
      </c>
      <c r="R11" s="79">
        <f>Capacity!C163/1000</f>
        <v>1.9001303219999999</v>
      </c>
      <c r="S11" s="48">
        <f>Capacity!D85*1000</f>
        <v>0</v>
      </c>
      <c r="T11" s="49">
        <f t="shared" si="1"/>
        <v>0</v>
      </c>
      <c r="U11" s="49">
        <f t="shared" si="2"/>
        <v>0</v>
      </c>
      <c r="V11" s="62">
        <v>0</v>
      </c>
      <c r="W11" s="24">
        <v>0.09</v>
      </c>
      <c r="X11" s="51"/>
      <c r="Y11" s="86">
        <f t="shared" si="3"/>
        <v>0.8660254037844386</v>
      </c>
      <c r="Z11" s="86">
        <f t="shared" si="4"/>
        <v>0.8660254037844386</v>
      </c>
      <c r="AA11" s="87">
        <f t="shared" si="5"/>
        <v>20</v>
      </c>
      <c r="AB11" s="88">
        <f t="shared" si="6"/>
        <v>0.10954647500822921</v>
      </c>
      <c r="AC11" s="85">
        <f t="shared" si="0"/>
        <v>17.345426421591938</v>
      </c>
    </row>
    <row r="12" spans="1:29" x14ac:dyDescent="0.25">
      <c r="B12" t="s">
        <v>112</v>
      </c>
      <c r="C12" t="s">
        <v>9</v>
      </c>
      <c r="D12" t="s">
        <v>333</v>
      </c>
      <c r="E12" t="s">
        <v>334</v>
      </c>
      <c r="F12" t="s">
        <v>6</v>
      </c>
      <c r="G12" t="s">
        <v>101</v>
      </c>
      <c r="H12" t="s">
        <v>34</v>
      </c>
      <c r="I12" t="s">
        <v>113</v>
      </c>
      <c r="J12">
        <v>0.5</v>
      </c>
      <c r="K12" s="5">
        <v>0.5</v>
      </c>
      <c r="L12" t="s">
        <v>114</v>
      </c>
      <c r="M12">
        <v>0</v>
      </c>
      <c r="N12">
        <v>0.9</v>
      </c>
      <c r="O12" s="1">
        <v>0.8</v>
      </c>
      <c r="P12">
        <v>10</v>
      </c>
      <c r="Q12" s="10">
        <v>3873.4092000000001</v>
      </c>
      <c r="R12" s="80">
        <f>$R$8</f>
        <v>2.247515108</v>
      </c>
      <c r="S12" s="16">
        <v>0</v>
      </c>
      <c r="T12" s="17">
        <f t="shared" si="1"/>
        <v>0</v>
      </c>
      <c r="U12" s="17">
        <f t="shared" si="2"/>
        <v>0</v>
      </c>
      <c r="V12" s="10">
        <v>0</v>
      </c>
      <c r="W12">
        <v>0.09</v>
      </c>
      <c r="X12" s="41"/>
      <c r="Y12" s="82">
        <f t="shared" si="3"/>
        <v>0.89442719099991586</v>
      </c>
      <c r="Z12" s="82">
        <f t="shared" si="4"/>
        <v>0.89442719099991586</v>
      </c>
      <c r="AA12" s="83">
        <f t="shared" si="5"/>
        <v>10</v>
      </c>
      <c r="AB12" s="84">
        <f t="shared" si="6"/>
        <v>0.15582008990903373</v>
      </c>
      <c r="AC12" s="85">
        <f t="shared" si="0"/>
        <v>14.423782641327429</v>
      </c>
    </row>
    <row r="13" spans="1:29" x14ac:dyDescent="0.25">
      <c r="B13" t="s">
        <v>115</v>
      </c>
      <c r="C13" t="s">
        <v>9</v>
      </c>
      <c r="D13" t="s">
        <v>333</v>
      </c>
      <c r="E13" t="s">
        <v>335</v>
      </c>
      <c r="F13" t="s">
        <v>6</v>
      </c>
      <c r="G13" t="s">
        <v>101</v>
      </c>
      <c r="H13" t="s">
        <v>34</v>
      </c>
      <c r="I13" t="s">
        <v>113</v>
      </c>
      <c r="J13">
        <v>0.25</v>
      </c>
      <c r="K13" s="5">
        <v>0.25</v>
      </c>
      <c r="L13" t="s">
        <v>114</v>
      </c>
      <c r="M13">
        <v>0</v>
      </c>
      <c r="N13">
        <v>0.9</v>
      </c>
      <c r="O13" s="1">
        <v>0.8</v>
      </c>
      <c r="P13">
        <v>10</v>
      </c>
      <c r="Q13" s="10">
        <v>3873.4092000000001</v>
      </c>
      <c r="R13" s="80">
        <f>$R$9</f>
        <v>1.9123593459999999</v>
      </c>
      <c r="S13" s="16">
        <v>0</v>
      </c>
      <c r="T13" s="17">
        <f t="shared" si="1"/>
        <v>0</v>
      </c>
      <c r="U13" s="17">
        <f t="shared" si="2"/>
        <v>0</v>
      </c>
      <c r="V13" s="10">
        <v>0</v>
      </c>
      <c r="W13">
        <v>0.09</v>
      </c>
      <c r="Y13" s="82">
        <f t="shared" si="3"/>
        <v>0.89442719099991586</v>
      </c>
      <c r="Z13" s="82">
        <f t="shared" si="4"/>
        <v>0.89442719099991586</v>
      </c>
      <c r="AA13" s="83">
        <f t="shared" si="5"/>
        <v>10</v>
      </c>
      <c r="AB13" s="84">
        <f t="shared" si="6"/>
        <v>0.15582008990903373</v>
      </c>
      <c r="AC13" s="85">
        <f t="shared" si="0"/>
        <v>12.27286768424031</v>
      </c>
    </row>
    <row r="14" spans="1:29" x14ac:dyDescent="0.25">
      <c r="B14" t="s">
        <v>116</v>
      </c>
      <c r="C14" t="s">
        <v>9</v>
      </c>
      <c r="D14" t="s">
        <v>333</v>
      </c>
      <c r="E14" t="s">
        <v>336</v>
      </c>
      <c r="F14" t="s">
        <v>6</v>
      </c>
      <c r="G14" t="s">
        <v>101</v>
      </c>
      <c r="H14" t="s">
        <v>34</v>
      </c>
      <c r="I14" t="s">
        <v>113</v>
      </c>
      <c r="J14">
        <v>0.16666700000000001</v>
      </c>
      <c r="K14" s="5">
        <v>0.16666700000000001</v>
      </c>
      <c r="L14" t="s">
        <v>114</v>
      </c>
      <c r="M14">
        <v>0</v>
      </c>
      <c r="N14">
        <v>0.9</v>
      </c>
      <c r="O14" s="1">
        <v>0.8</v>
      </c>
      <c r="P14">
        <v>10</v>
      </c>
      <c r="Q14" s="10">
        <v>3873.4092000000001</v>
      </c>
      <c r="R14" s="80">
        <f>$R$10</f>
        <v>1.800640759</v>
      </c>
      <c r="S14" s="16">
        <v>0</v>
      </c>
      <c r="T14" s="17">
        <f t="shared" si="1"/>
        <v>0</v>
      </c>
      <c r="U14" s="17">
        <f t="shared" si="2"/>
        <v>0</v>
      </c>
      <c r="V14" s="10">
        <v>0</v>
      </c>
      <c r="W14">
        <v>0.09</v>
      </c>
      <c r="Y14" s="82">
        <f t="shared" si="3"/>
        <v>0.89442719099991586</v>
      </c>
      <c r="Z14" s="82">
        <f t="shared" si="4"/>
        <v>0.89442719099991586</v>
      </c>
      <c r="AA14" s="83">
        <f t="shared" si="5"/>
        <v>10</v>
      </c>
      <c r="AB14" s="84">
        <f t="shared" si="6"/>
        <v>0.15582008990903373</v>
      </c>
      <c r="AC14" s="85">
        <f t="shared" si="0"/>
        <v>11.555896034017159</v>
      </c>
    </row>
    <row r="15" spans="1:29" s="24" customFormat="1" x14ac:dyDescent="0.25">
      <c r="B15" s="24" t="s">
        <v>117</v>
      </c>
      <c r="C15" s="24" t="s">
        <v>9</v>
      </c>
      <c r="D15" s="24" t="s">
        <v>333</v>
      </c>
      <c r="E15" s="24" t="s">
        <v>365</v>
      </c>
      <c r="F15" s="24" t="s">
        <v>6</v>
      </c>
      <c r="G15" s="24" t="s">
        <v>101</v>
      </c>
      <c r="H15" s="24" t="s">
        <v>34</v>
      </c>
      <c r="I15" s="24" t="s">
        <v>113</v>
      </c>
      <c r="J15" s="24">
        <v>0.16666666699999999</v>
      </c>
      <c r="K15" s="44">
        <v>0.16666666699999999</v>
      </c>
      <c r="L15" s="24" t="s">
        <v>114</v>
      </c>
      <c r="M15" s="24">
        <v>0</v>
      </c>
      <c r="N15" s="24">
        <v>0.9</v>
      </c>
      <c r="O15" s="47">
        <v>0.75</v>
      </c>
      <c r="P15" s="24">
        <f>Capacity!E86</f>
        <v>20</v>
      </c>
      <c r="Q15" s="24">
        <f>Capacity!F86</f>
        <v>50000</v>
      </c>
      <c r="R15" s="81">
        <f>$R$11</f>
        <v>1.9001303219999999</v>
      </c>
      <c r="S15" s="48">
        <f>Capacity!D86*1000</f>
        <v>0</v>
      </c>
      <c r="T15" s="49">
        <f t="shared" si="1"/>
        <v>0</v>
      </c>
      <c r="U15" s="49">
        <f t="shared" si="2"/>
        <v>0</v>
      </c>
      <c r="V15" s="62">
        <v>0</v>
      </c>
      <c r="W15" s="24">
        <v>0.09</v>
      </c>
      <c r="X15" s="51"/>
      <c r="Y15" s="86">
        <f t="shared" si="3"/>
        <v>0.8660254037844386</v>
      </c>
      <c r="Z15" s="86">
        <f t="shared" si="4"/>
        <v>0.8660254037844386</v>
      </c>
      <c r="AA15" s="87">
        <f t="shared" si="5"/>
        <v>20</v>
      </c>
      <c r="AB15" s="88">
        <f t="shared" si="6"/>
        <v>0.10954647500822921</v>
      </c>
      <c r="AC15" s="85">
        <f t="shared" si="0"/>
        <v>17.345426421591938</v>
      </c>
    </row>
    <row r="16" spans="1:29" x14ac:dyDescent="0.25">
      <c r="B16" t="s">
        <v>112</v>
      </c>
      <c r="C16" t="s">
        <v>10</v>
      </c>
      <c r="D16" t="s">
        <v>333</v>
      </c>
      <c r="E16" t="s">
        <v>334</v>
      </c>
      <c r="F16" t="s">
        <v>6</v>
      </c>
      <c r="G16" t="s">
        <v>101</v>
      </c>
      <c r="H16" t="s">
        <v>34</v>
      </c>
      <c r="I16" t="s">
        <v>113</v>
      </c>
      <c r="J16">
        <v>0.5</v>
      </c>
      <c r="K16" s="5">
        <v>0.5</v>
      </c>
      <c r="L16" t="s">
        <v>114</v>
      </c>
      <c r="M16">
        <v>0</v>
      </c>
      <c r="N16">
        <v>0.9</v>
      </c>
      <c r="O16" s="1">
        <v>0.8</v>
      </c>
      <c r="P16">
        <v>10</v>
      </c>
      <c r="Q16" s="10">
        <v>3873.4092000000001</v>
      </c>
      <c r="R16" s="80">
        <f>$R$8</f>
        <v>2.247515108</v>
      </c>
      <c r="S16" s="16">
        <v>0</v>
      </c>
      <c r="T16" s="17">
        <f t="shared" si="1"/>
        <v>0</v>
      </c>
      <c r="U16" s="17">
        <f t="shared" si="2"/>
        <v>0</v>
      </c>
      <c r="V16" s="10">
        <v>0</v>
      </c>
      <c r="W16">
        <v>0.09</v>
      </c>
      <c r="X16" s="41"/>
      <c r="Y16" s="82">
        <f t="shared" si="3"/>
        <v>0.89442719099991586</v>
      </c>
      <c r="Z16" s="82">
        <f t="shared" si="4"/>
        <v>0.89442719099991586</v>
      </c>
      <c r="AA16" s="83">
        <f t="shared" si="5"/>
        <v>10</v>
      </c>
      <c r="AB16" s="84">
        <f t="shared" si="6"/>
        <v>0.15582008990903373</v>
      </c>
      <c r="AC16" s="85">
        <f t="shared" si="0"/>
        <v>14.423782641327429</v>
      </c>
    </row>
    <row r="17" spans="2:29" x14ac:dyDescent="0.25">
      <c r="B17" t="s">
        <v>115</v>
      </c>
      <c r="C17" t="s">
        <v>10</v>
      </c>
      <c r="D17" t="s">
        <v>333</v>
      </c>
      <c r="E17" t="s">
        <v>335</v>
      </c>
      <c r="F17" t="s">
        <v>6</v>
      </c>
      <c r="G17" t="s">
        <v>101</v>
      </c>
      <c r="H17" t="s">
        <v>34</v>
      </c>
      <c r="I17" t="s">
        <v>113</v>
      </c>
      <c r="J17">
        <v>0.25</v>
      </c>
      <c r="K17" s="5">
        <v>0.25</v>
      </c>
      <c r="L17" t="s">
        <v>114</v>
      </c>
      <c r="M17">
        <v>0</v>
      </c>
      <c r="N17">
        <v>0.9</v>
      </c>
      <c r="O17" s="1">
        <v>0.8</v>
      </c>
      <c r="P17">
        <v>10</v>
      </c>
      <c r="Q17" s="10">
        <v>3873.4092000000001</v>
      </c>
      <c r="R17" s="80">
        <f>$R$9</f>
        <v>1.9123593459999999</v>
      </c>
      <c r="S17" s="16">
        <v>0</v>
      </c>
      <c r="T17" s="17">
        <f t="shared" si="1"/>
        <v>0</v>
      </c>
      <c r="U17" s="17">
        <f t="shared" si="2"/>
        <v>0</v>
      </c>
      <c r="V17" s="10">
        <v>0</v>
      </c>
      <c r="W17">
        <v>0.09</v>
      </c>
      <c r="Y17" s="82">
        <f t="shared" si="3"/>
        <v>0.89442719099991586</v>
      </c>
      <c r="Z17" s="82">
        <f t="shared" si="4"/>
        <v>0.89442719099991586</v>
      </c>
      <c r="AA17" s="83">
        <f t="shared" si="5"/>
        <v>10</v>
      </c>
      <c r="AB17" s="84">
        <f t="shared" si="6"/>
        <v>0.15582008990903373</v>
      </c>
      <c r="AC17" s="85">
        <f t="shared" si="0"/>
        <v>12.27286768424031</v>
      </c>
    </row>
    <row r="18" spans="2:29" x14ac:dyDescent="0.25">
      <c r="B18" t="s">
        <v>116</v>
      </c>
      <c r="C18" t="s">
        <v>10</v>
      </c>
      <c r="D18" t="s">
        <v>333</v>
      </c>
      <c r="E18" t="s">
        <v>336</v>
      </c>
      <c r="F18" t="s">
        <v>6</v>
      </c>
      <c r="G18" t="s">
        <v>101</v>
      </c>
      <c r="H18" t="s">
        <v>34</v>
      </c>
      <c r="I18" t="s">
        <v>113</v>
      </c>
      <c r="J18">
        <v>0.16666700000000001</v>
      </c>
      <c r="K18" s="5">
        <v>0.16666700000000001</v>
      </c>
      <c r="L18" t="s">
        <v>114</v>
      </c>
      <c r="M18">
        <v>0</v>
      </c>
      <c r="N18">
        <v>0.9</v>
      </c>
      <c r="O18" s="1">
        <v>0.8</v>
      </c>
      <c r="P18">
        <v>10</v>
      </c>
      <c r="Q18" s="10">
        <v>3873.4092000000001</v>
      </c>
      <c r="R18" s="80">
        <f>$R$10</f>
        <v>1.800640759</v>
      </c>
      <c r="S18" s="16">
        <v>0</v>
      </c>
      <c r="T18" s="17">
        <f t="shared" si="1"/>
        <v>0</v>
      </c>
      <c r="U18" s="17">
        <f t="shared" si="2"/>
        <v>0</v>
      </c>
      <c r="V18" s="10">
        <v>0</v>
      </c>
      <c r="W18">
        <v>0.09</v>
      </c>
      <c r="Y18" s="82">
        <f t="shared" si="3"/>
        <v>0.89442719099991586</v>
      </c>
      <c r="Z18" s="82">
        <f t="shared" si="4"/>
        <v>0.89442719099991586</v>
      </c>
      <c r="AA18" s="83">
        <f t="shared" si="5"/>
        <v>10</v>
      </c>
      <c r="AB18" s="84">
        <f t="shared" si="6"/>
        <v>0.15582008990903373</v>
      </c>
      <c r="AC18" s="85">
        <f t="shared" si="0"/>
        <v>11.555896034017159</v>
      </c>
    </row>
    <row r="19" spans="2:29" s="24" customFormat="1" x14ac:dyDescent="0.25">
      <c r="B19" s="24" t="s">
        <v>117</v>
      </c>
      <c r="C19" s="24" t="s">
        <v>10</v>
      </c>
      <c r="D19" s="24" t="s">
        <v>333</v>
      </c>
      <c r="E19" s="24" t="s">
        <v>365</v>
      </c>
      <c r="F19" s="24" t="s">
        <v>6</v>
      </c>
      <c r="G19" s="24" t="s">
        <v>101</v>
      </c>
      <c r="H19" s="24" t="s">
        <v>34</v>
      </c>
      <c r="I19" s="24" t="s">
        <v>113</v>
      </c>
      <c r="J19" s="24">
        <v>0.16666666699999999</v>
      </c>
      <c r="K19" s="44">
        <v>0.16666666699999999</v>
      </c>
      <c r="L19" s="24" t="s">
        <v>114</v>
      </c>
      <c r="M19" s="24">
        <v>0</v>
      </c>
      <c r="N19" s="24">
        <v>0.9</v>
      </c>
      <c r="O19" s="47">
        <v>0.75</v>
      </c>
      <c r="P19" s="24">
        <f>Capacity!E87</f>
        <v>20</v>
      </c>
      <c r="Q19" s="24">
        <f>Capacity!F87</f>
        <v>50000</v>
      </c>
      <c r="R19" s="81">
        <f>$R$11</f>
        <v>1.9001303219999999</v>
      </c>
      <c r="S19" s="48">
        <f>Capacity!D87*1000</f>
        <v>5400</v>
      </c>
      <c r="T19" s="49">
        <f t="shared" si="1"/>
        <v>5400</v>
      </c>
      <c r="U19" s="49">
        <f t="shared" si="2"/>
        <v>5400</v>
      </c>
      <c r="V19" s="62">
        <v>0</v>
      </c>
      <c r="W19" s="24">
        <v>0.09</v>
      </c>
      <c r="X19" s="51"/>
      <c r="Y19" s="86">
        <f t="shared" si="3"/>
        <v>0.8660254037844386</v>
      </c>
      <c r="Z19" s="86">
        <f t="shared" si="4"/>
        <v>0.8660254037844386</v>
      </c>
      <c r="AA19" s="87">
        <f t="shared" si="5"/>
        <v>20</v>
      </c>
      <c r="AB19" s="88">
        <f t="shared" si="6"/>
        <v>0.10954647500822921</v>
      </c>
      <c r="AC19" s="85">
        <f t="shared" si="0"/>
        <v>17.345426421591938</v>
      </c>
    </row>
    <row r="20" spans="2:29" x14ac:dyDescent="0.25">
      <c r="B20" t="s">
        <v>112</v>
      </c>
      <c r="C20" t="s">
        <v>11</v>
      </c>
      <c r="D20" t="s">
        <v>333</v>
      </c>
      <c r="E20" t="s">
        <v>334</v>
      </c>
      <c r="F20" t="s">
        <v>6</v>
      </c>
      <c r="G20" t="s">
        <v>101</v>
      </c>
      <c r="H20" t="s">
        <v>34</v>
      </c>
      <c r="I20" t="s">
        <v>113</v>
      </c>
      <c r="J20">
        <v>0.5</v>
      </c>
      <c r="K20" s="5">
        <v>0.5</v>
      </c>
      <c r="L20" t="s">
        <v>114</v>
      </c>
      <c r="M20">
        <v>0</v>
      </c>
      <c r="N20">
        <v>0.9</v>
      </c>
      <c r="O20" s="1">
        <v>0.8</v>
      </c>
      <c r="P20">
        <v>10</v>
      </c>
      <c r="Q20" s="10">
        <v>3873.4092000000001</v>
      </c>
      <c r="R20" s="80">
        <f>$R$8</f>
        <v>2.247515108</v>
      </c>
      <c r="S20" s="16">
        <v>0</v>
      </c>
      <c r="T20" s="17">
        <f t="shared" si="1"/>
        <v>0</v>
      </c>
      <c r="U20" s="17">
        <f t="shared" si="2"/>
        <v>0</v>
      </c>
      <c r="V20" s="10">
        <v>0</v>
      </c>
      <c r="W20">
        <v>0.09</v>
      </c>
      <c r="X20" s="41"/>
      <c r="Y20" s="82">
        <f t="shared" si="3"/>
        <v>0.89442719099991586</v>
      </c>
      <c r="Z20" s="82">
        <f t="shared" si="4"/>
        <v>0.89442719099991586</v>
      </c>
      <c r="AA20" s="83">
        <f t="shared" si="5"/>
        <v>10</v>
      </c>
      <c r="AB20" s="84">
        <f t="shared" si="6"/>
        <v>0.15582008990903373</v>
      </c>
      <c r="AC20" s="85">
        <f t="shared" si="0"/>
        <v>14.423782641327429</v>
      </c>
    </row>
    <row r="21" spans="2:29" x14ac:dyDescent="0.25">
      <c r="B21" t="s">
        <v>115</v>
      </c>
      <c r="C21" t="s">
        <v>11</v>
      </c>
      <c r="D21" t="s">
        <v>333</v>
      </c>
      <c r="E21" t="s">
        <v>335</v>
      </c>
      <c r="F21" t="s">
        <v>6</v>
      </c>
      <c r="G21" t="s">
        <v>101</v>
      </c>
      <c r="H21" t="s">
        <v>34</v>
      </c>
      <c r="I21" t="s">
        <v>113</v>
      </c>
      <c r="J21">
        <v>0.25</v>
      </c>
      <c r="K21" s="5">
        <v>0.25</v>
      </c>
      <c r="L21" t="s">
        <v>114</v>
      </c>
      <c r="M21">
        <v>0</v>
      </c>
      <c r="N21">
        <v>0.9</v>
      </c>
      <c r="O21" s="1">
        <v>0.8</v>
      </c>
      <c r="P21">
        <v>10</v>
      </c>
      <c r="Q21" s="10">
        <v>3873.4092000000001</v>
      </c>
      <c r="R21" s="80">
        <f>$R$9</f>
        <v>1.9123593459999999</v>
      </c>
      <c r="S21" s="16">
        <v>0</v>
      </c>
      <c r="T21" s="17">
        <f t="shared" si="1"/>
        <v>0</v>
      </c>
      <c r="U21" s="17">
        <f t="shared" si="2"/>
        <v>0</v>
      </c>
      <c r="V21" s="10">
        <v>0</v>
      </c>
      <c r="W21">
        <v>0.09</v>
      </c>
      <c r="Y21" s="82">
        <f t="shared" si="3"/>
        <v>0.89442719099991586</v>
      </c>
      <c r="Z21" s="82">
        <f t="shared" si="4"/>
        <v>0.89442719099991586</v>
      </c>
      <c r="AA21" s="83">
        <f t="shared" si="5"/>
        <v>10</v>
      </c>
      <c r="AB21" s="84">
        <f t="shared" si="6"/>
        <v>0.15582008990903373</v>
      </c>
      <c r="AC21" s="85">
        <f t="shared" si="0"/>
        <v>12.27286768424031</v>
      </c>
    </row>
    <row r="22" spans="2:29" x14ac:dyDescent="0.25">
      <c r="B22" t="s">
        <v>116</v>
      </c>
      <c r="C22" t="s">
        <v>11</v>
      </c>
      <c r="D22" t="s">
        <v>333</v>
      </c>
      <c r="E22" t="s">
        <v>336</v>
      </c>
      <c r="F22" t="s">
        <v>6</v>
      </c>
      <c r="G22" t="s">
        <v>101</v>
      </c>
      <c r="H22" t="s">
        <v>34</v>
      </c>
      <c r="I22" t="s">
        <v>113</v>
      </c>
      <c r="J22">
        <v>0.16666700000000001</v>
      </c>
      <c r="K22" s="5">
        <v>0.16666700000000001</v>
      </c>
      <c r="L22" t="s">
        <v>114</v>
      </c>
      <c r="M22">
        <v>0</v>
      </c>
      <c r="N22">
        <v>0.9</v>
      </c>
      <c r="O22" s="1">
        <v>0.8</v>
      </c>
      <c r="P22">
        <v>10</v>
      </c>
      <c r="Q22" s="10">
        <v>3873.4092000000001</v>
      </c>
      <c r="R22" s="80">
        <f>$R$10</f>
        <v>1.800640759</v>
      </c>
      <c r="S22" s="16">
        <v>0</v>
      </c>
      <c r="T22" s="17">
        <f t="shared" si="1"/>
        <v>0</v>
      </c>
      <c r="U22" s="17">
        <f t="shared" si="2"/>
        <v>0</v>
      </c>
      <c r="V22" s="10">
        <v>0</v>
      </c>
      <c r="W22">
        <v>0.09</v>
      </c>
      <c r="Y22" s="82">
        <f t="shared" si="3"/>
        <v>0.89442719099991586</v>
      </c>
      <c r="Z22" s="82">
        <f t="shared" si="4"/>
        <v>0.89442719099991586</v>
      </c>
      <c r="AA22" s="83">
        <f t="shared" si="5"/>
        <v>10</v>
      </c>
      <c r="AB22" s="84">
        <f t="shared" si="6"/>
        <v>0.15582008990903373</v>
      </c>
      <c r="AC22" s="85">
        <f t="shared" si="0"/>
        <v>11.555896034017159</v>
      </c>
    </row>
    <row r="23" spans="2:29" s="24" customFormat="1" x14ac:dyDescent="0.25">
      <c r="B23" s="24" t="s">
        <v>117</v>
      </c>
      <c r="C23" s="24" t="s">
        <v>11</v>
      </c>
      <c r="D23" s="24" t="s">
        <v>333</v>
      </c>
      <c r="E23" s="24" t="s">
        <v>365</v>
      </c>
      <c r="F23" s="24" t="s">
        <v>6</v>
      </c>
      <c r="G23" s="24" t="s">
        <v>101</v>
      </c>
      <c r="H23" s="24" t="s">
        <v>34</v>
      </c>
      <c r="I23" s="24" t="s">
        <v>113</v>
      </c>
      <c r="J23" s="24">
        <v>0.16666666699999999</v>
      </c>
      <c r="K23" s="44">
        <v>0.16666666699999999</v>
      </c>
      <c r="L23" s="24" t="s">
        <v>114</v>
      </c>
      <c r="M23" s="24">
        <v>0</v>
      </c>
      <c r="N23" s="24">
        <v>0.9</v>
      </c>
      <c r="O23" s="47">
        <v>0.75</v>
      </c>
      <c r="P23" s="24">
        <f>Capacity!E88</f>
        <v>20</v>
      </c>
      <c r="Q23" s="24">
        <f>Capacity!F88</f>
        <v>50000</v>
      </c>
      <c r="R23" s="81">
        <f>$R$11</f>
        <v>1.9001303219999999</v>
      </c>
      <c r="S23" s="48">
        <f>Capacity!D88*1000</f>
        <v>11040</v>
      </c>
      <c r="T23" s="49">
        <f t="shared" si="1"/>
        <v>11040</v>
      </c>
      <c r="U23" s="49">
        <f t="shared" si="2"/>
        <v>11040</v>
      </c>
      <c r="V23" s="62">
        <v>0</v>
      </c>
      <c r="W23" s="24">
        <v>0.09</v>
      </c>
      <c r="X23" s="51"/>
      <c r="Y23" s="86">
        <f t="shared" si="3"/>
        <v>0.8660254037844386</v>
      </c>
      <c r="Z23" s="86">
        <f t="shared" si="4"/>
        <v>0.8660254037844386</v>
      </c>
      <c r="AA23" s="87">
        <f t="shared" si="5"/>
        <v>20</v>
      </c>
      <c r="AB23" s="88">
        <f t="shared" si="6"/>
        <v>0.10954647500822921</v>
      </c>
      <c r="AC23" s="85">
        <f t="shared" si="0"/>
        <v>17.345426421591938</v>
      </c>
    </row>
    <row r="24" spans="2:29" x14ac:dyDescent="0.25">
      <c r="B24" t="s">
        <v>112</v>
      </c>
      <c r="C24" t="s">
        <v>8</v>
      </c>
      <c r="D24" t="s">
        <v>333</v>
      </c>
      <c r="E24" t="s">
        <v>334</v>
      </c>
      <c r="F24" t="s">
        <v>6</v>
      </c>
      <c r="G24" t="s">
        <v>101</v>
      </c>
      <c r="H24" t="s">
        <v>34</v>
      </c>
      <c r="I24" t="s">
        <v>113</v>
      </c>
      <c r="J24">
        <v>0.5</v>
      </c>
      <c r="K24" s="5">
        <v>0.5</v>
      </c>
      <c r="L24" t="s">
        <v>114</v>
      </c>
      <c r="M24">
        <v>0</v>
      </c>
      <c r="N24">
        <v>0.9</v>
      </c>
      <c r="O24" s="1">
        <v>0.8</v>
      </c>
      <c r="P24">
        <v>10</v>
      </c>
      <c r="Q24" s="10">
        <v>3873.4092000000001</v>
      </c>
      <c r="R24" s="80">
        <f>$R$8</f>
        <v>2.247515108</v>
      </c>
      <c r="S24" s="16">
        <v>0</v>
      </c>
      <c r="T24" s="17">
        <f t="shared" si="1"/>
        <v>0</v>
      </c>
      <c r="U24" s="17">
        <f t="shared" si="2"/>
        <v>0</v>
      </c>
      <c r="V24" s="10">
        <v>0</v>
      </c>
      <c r="W24">
        <v>0.09</v>
      </c>
      <c r="X24" s="41"/>
      <c r="Y24" s="82">
        <f t="shared" si="3"/>
        <v>0.89442719099991586</v>
      </c>
      <c r="Z24" s="82">
        <f t="shared" si="4"/>
        <v>0.89442719099991586</v>
      </c>
      <c r="AA24" s="83">
        <f t="shared" si="5"/>
        <v>10</v>
      </c>
      <c r="AB24" s="84">
        <f t="shared" si="6"/>
        <v>0.15582008990903373</v>
      </c>
      <c r="AC24" s="85">
        <f t="shared" si="0"/>
        <v>14.423782641327429</v>
      </c>
    </row>
    <row r="25" spans="2:29" x14ac:dyDescent="0.25">
      <c r="B25" t="s">
        <v>115</v>
      </c>
      <c r="C25" t="s">
        <v>8</v>
      </c>
      <c r="D25" t="s">
        <v>333</v>
      </c>
      <c r="E25" t="s">
        <v>335</v>
      </c>
      <c r="F25" t="s">
        <v>6</v>
      </c>
      <c r="G25" t="s">
        <v>101</v>
      </c>
      <c r="H25" t="s">
        <v>34</v>
      </c>
      <c r="I25" t="s">
        <v>113</v>
      </c>
      <c r="J25">
        <v>0.25</v>
      </c>
      <c r="K25" s="5">
        <v>0.25</v>
      </c>
      <c r="L25" t="s">
        <v>114</v>
      </c>
      <c r="M25">
        <v>0</v>
      </c>
      <c r="N25">
        <v>0.9</v>
      </c>
      <c r="O25" s="1">
        <v>0.8</v>
      </c>
      <c r="P25">
        <v>10</v>
      </c>
      <c r="Q25" s="10">
        <v>3873.4092000000001</v>
      </c>
      <c r="R25" s="80">
        <f>$R$9</f>
        <v>1.9123593459999999</v>
      </c>
      <c r="S25" s="16">
        <v>0</v>
      </c>
      <c r="T25" s="17">
        <f t="shared" si="1"/>
        <v>0</v>
      </c>
      <c r="U25" s="17">
        <f t="shared" si="2"/>
        <v>0</v>
      </c>
      <c r="V25" s="10">
        <v>0</v>
      </c>
      <c r="W25">
        <v>0.09</v>
      </c>
      <c r="Y25" s="82">
        <f t="shared" si="3"/>
        <v>0.89442719099991586</v>
      </c>
      <c r="Z25" s="82">
        <f t="shared" si="4"/>
        <v>0.89442719099991586</v>
      </c>
      <c r="AA25" s="83">
        <f t="shared" si="5"/>
        <v>10</v>
      </c>
      <c r="AB25" s="84">
        <f t="shared" si="6"/>
        <v>0.15582008990903373</v>
      </c>
      <c r="AC25" s="85">
        <f t="shared" si="0"/>
        <v>12.27286768424031</v>
      </c>
    </row>
    <row r="26" spans="2:29" x14ac:dyDescent="0.25">
      <c r="B26" t="s">
        <v>116</v>
      </c>
      <c r="C26" t="s">
        <v>8</v>
      </c>
      <c r="D26" t="s">
        <v>333</v>
      </c>
      <c r="E26" t="s">
        <v>336</v>
      </c>
      <c r="F26" t="s">
        <v>6</v>
      </c>
      <c r="G26" t="s">
        <v>101</v>
      </c>
      <c r="H26" t="s">
        <v>34</v>
      </c>
      <c r="I26" t="s">
        <v>113</v>
      </c>
      <c r="J26">
        <v>0.16666700000000001</v>
      </c>
      <c r="K26" s="5">
        <v>0.16666700000000001</v>
      </c>
      <c r="L26" t="s">
        <v>114</v>
      </c>
      <c r="M26">
        <v>0</v>
      </c>
      <c r="N26">
        <v>0.9</v>
      </c>
      <c r="O26" s="1">
        <v>0.8</v>
      </c>
      <c r="P26">
        <v>10</v>
      </c>
      <c r="Q26" s="10">
        <v>3873.4092000000001</v>
      </c>
      <c r="R26" s="80">
        <f>$R$10</f>
        <v>1.800640759</v>
      </c>
      <c r="S26" s="16">
        <v>0</v>
      </c>
      <c r="T26" s="17">
        <f t="shared" si="1"/>
        <v>0</v>
      </c>
      <c r="U26" s="17">
        <f t="shared" si="2"/>
        <v>0</v>
      </c>
      <c r="V26" s="10">
        <v>0</v>
      </c>
      <c r="W26">
        <v>0.09</v>
      </c>
      <c r="Y26" s="82">
        <f t="shared" si="3"/>
        <v>0.89442719099991586</v>
      </c>
      <c r="Z26" s="82">
        <f t="shared" si="4"/>
        <v>0.89442719099991586</v>
      </c>
      <c r="AA26" s="83">
        <f t="shared" si="5"/>
        <v>10</v>
      </c>
      <c r="AB26" s="84">
        <f t="shared" si="6"/>
        <v>0.15582008990903373</v>
      </c>
      <c r="AC26" s="85">
        <f t="shared" si="0"/>
        <v>11.555896034017159</v>
      </c>
    </row>
    <row r="27" spans="2:29" s="24" customFormat="1" x14ac:dyDescent="0.25">
      <c r="B27" s="24" t="s">
        <v>117</v>
      </c>
      <c r="C27" s="24" t="s">
        <v>8</v>
      </c>
      <c r="D27" s="24" t="s">
        <v>333</v>
      </c>
      <c r="E27" s="24" t="s">
        <v>365</v>
      </c>
      <c r="F27" s="24" t="s">
        <v>6</v>
      </c>
      <c r="G27" s="24" t="s">
        <v>101</v>
      </c>
      <c r="H27" s="24" t="s">
        <v>34</v>
      </c>
      <c r="I27" s="24" t="s">
        <v>113</v>
      </c>
      <c r="J27" s="24">
        <v>0.16666666699999999</v>
      </c>
      <c r="K27" s="44">
        <v>0.16666666699999999</v>
      </c>
      <c r="L27" s="24" t="s">
        <v>114</v>
      </c>
      <c r="M27" s="24">
        <v>0</v>
      </c>
      <c r="N27" s="24">
        <v>0.9</v>
      </c>
      <c r="O27" s="47">
        <v>0.75</v>
      </c>
      <c r="P27" s="24">
        <f>Capacity!E89</f>
        <v>20</v>
      </c>
      <c r="Q27" s="24">
        <f>Capacity!F89</f>
        <v>50000</v>
      </c>
      <c r="R27" s="81">
        <f>$R$11</f>
        <v>1.9001303219999999</v>
      </c>
      <c r="S27" s="48">
        <f>Capacity!D89*1000</f>
        <v>12033.6</v>
      </c>
      <c r="T27" s="49">
        <f t="shared" si="1"/>
        <v>12033.6</v>
      </c>
      <c r="U27" s="49">
        <f t="shared" si="2"/>
        <v>12033.6</v>
      </c>
      <c r="V27" s="62">
        <v>0</v>
      </c>
      <c r="W27" s="24">
        <v>0.09</v>
      </c>
      <c r="X27" s="51"/>
      <c r="Y27" s="86">
        <f t="shared" si="3"/>
        <v>0.8660254037844386</v>
      </c>
      <c r="Z27" s="86">
        <f t="shared" si="4"/>
        <v>0.8660254037844386</v>
      </c>
      <c r="AA27" s="87">
        <f t="shared" si="5"/>
        <v>20</v>
      </c>
      <c r="AB27" s="88">
        <f t="shared" si="6"/>
        <v>0.10954647500822921</v>
      </c>
      <c r="AC27" s="85">
        <f t="shared" si="0"/>
        <v>17.345426421591938</v>
      </c>
    </row>
    <row r="28" spans="2:29" s="57" customFormat="1" x14ac:dyDescent="0.25">
      <c r="B28" s="57" t="s">
        <v>112</v>
      </c>
      <c r="C28" s="57" t="s">
        <v>82</v>
      </c>
      <c r="D28" s="57" t="s">
        <v>333</v>
      </c>
      <c r="E28" s="57" t="s">
        <v>334</v>
      </c>
      <c r="F28" s="57" t="s">
        <v>6</v>
      </c>
      <c r="G28" s="57" t="s">
        <v>101</v>
      </c>
      <c r="H28" s="57" t="s">
        <v>34</v>
      </c>
      <c r="I28" s="57" t="s">
        <v>113</v>
      </c>
      <c r="J28" s="57">
        <v>0.5</v>
      </c>
      <c r="K28" s="63">
        <v>0.5</v>
      </c>
      <c r="L28" s="57" t="s">
        <v>114</v>
      </c>
      <c r="M28" s="57">
        <v>0</v>
      </c>
      <c r="N28" s="57">
        <v>0.9</v>
      </c>
      <c r="O28" s="64">
        <v>0.8</v>
      </c>
      <c r="P28" s="58">
        <f>AVERAGE(P8,P12,P16,P20,P24)</f>
        <v>10</v>
      </c>
      <c r="Q28" s="58">
        <f>AVERAGE(Q8,Q12,Q16,Q20,Q24)</f>
        <v>3873.4092000000005</v>
      </c>
      <c r="R28" s="65">
        <f>AVERAGE(R8,R12,R16,R20,R24)</f>
        <v>2.247515108</v>
      </c>
      <c r="S28" s="66">
        <f>S8+S12+S16+S20+S24</f>
        <v>0</v>
      </c>
      <c r="T28" s="17">
        <f t="shared" si="1"/>
        <v>0</v>
      </c>
      <c r="U28" s="17">
        <f t="shared" si="2"/>
        <v>0</v>
      </c>
      <c r="V28" s="58">
        <f>AVERAGE(V8,V12,V16,V20,V24)</f>
        <v>0</v>
      </c>
      <c r="W28" s="67">
        <f>AVERAGE(W8,W12,W16,W20,W24)</f>
        <v>0.09</v>
      </c>
      <c r="Y28" s="64">
        <f>AVERAGE(Y8,Y12,Y16,Y20,Y24)</f>
        <v>0.89442719099991597</v>
      </c>
      <c r="Z28" s="64">
        <f>AVERAGE(Z8,Z12,Z16,Z20,Z24)</f>
        <v>0.89442719099991597</v>
      </c>
      <c r="AA28" s="64">
        <f t="shared" ref="AA28:AC28" si="7">AVERAGE(AA8,AA12,AA16,AA20,AA24)</f>
        <v>10</v>
      </c>
      <c r="AB28" s="64">
        <f t="shared" si="7"/>
        <v>0.15582008990903373</v>
      </c>
      <c r="AC28" s="64">
        <f t="shared" si="7"/>
        <v>14.423782641327429</v>
      </c>
    </row>
    <row r="29" spans="2:29" s="57" customFormat="1" x14ac:dyDescent="0.25">
      <c r="B29" s="57" t="s">
        <v>115</v>
      </c>
      <c r="C29" s="57" t="s">
        <v>82</v>
      </c>
      <c r="D29" s="57" t="s">
        <v>333</v>
      </c>
      <c r="E29" s="57" t="s">
        <v>335</v>
      </c>
      <c r="F29" s="57" t="s">
        <v>6</v>
      </c>
      <c r="G29" s="57" t="s">
        <v>101</v>
      </c>
      <c r="H29" s="57" t="s">
        <v>34</v>
      </c>
      <c r="I29" s="57" t="s">
        <v>113</v>
      </c>
      <c r="J29" s="57">
        <v>0.25</v>
      </c>
      <c r="K29" s="63">
        <v>0.25</v>
      </c>
      <c r="L29" s="57" t="s">
        <v>114</v>
      </c>
      <c r="M29" s="57">
        <v>0</v>
      </c>
      <c r="N29" s="57">
        <v>0.9</v>
      </c>
      <c r="O29" s="64">
        <v>0.8</v>
      </c>
      <c r="P29" s="58">
        <f t="shared" ref="P29:R31" si="8">AVERAGE(P9,P13,P17,P21,P25)</f>
        <v>10</v>
      </c>
      <c r="Q29" s="58">
        <f t="shared" si="8"/>
        <v>3873.4092000000005</v>
      </c>
      <c r="R29" s="65">
        <f t="shared" si="8"/>
        <v>1.9123593459999999</v>
      </c>
      <c r="S29" s="66">
        <f>S9+S13+S17+S21+S25</f>
        <v>0</v>
      </c>
      <c r="T29" s="17">
        <f t="shared" si="1"/>
        <v>0</v>
      </c>
      <c r="U29" s="17">
        <f t="shared" si="2"/>
        <v>0</v>
      </c>
      <c r="V29" s="58">
        <f t="shared" ref="V29:W29" si="9">AVERAGE(V9,V13,V17,V21,V25)</f>
        <v>0</v>
      </c>
      <c r="W29" s="67">
        <f t="shared" si="9"/>
        <v>0.09</v>
      </c>
      <c r="Y29" s="64">
        <f t="shared" ref="Y29:Z29" si="10">AVERAGE(Y9,Y13,Y17,Y21,Y25)</f>
        <v>0.89442719099991597</v>
      </c>
      <c r="Z29" s="64">
        <f t="shared" si="10"/>
        <v>0.89442719099991597</v>
      </c>
      <c r="AA29" s="64">
        <f t="shared" ref="AA29:AC29" si="11">AVERAGE(AA9,AA13,AA17,AA21,AA25)</f>
        <v>10</v>
      </c>
      <c r="AB29" s="64">
        <f t="shared" si="11"/>
        <v>0.15582008990903373</v>
      </c>
      <c r="AC29" s="64">
        <f t="shared" si="11"/>
        <v>12.27286768424031</v>
      </c>
    </row>
    <row r="30" spans="2:29" s="57" customFormat="1" x14ac:dyDescent="0.25">
      <c r="B30" s="57" t="s">
        <v>116</v>
      </c>
      <c r="C30" s="57" t="s">
        <v>82</v>
      </c>
      <c r="D30" s="57" t="s">
        <v>333</v>
      </c>
      <c r="E30" s="57" t="s">
        <v>336</v>
      </c>
      <c r="F30" s="57" t="s">
        <v>6</v>
      </c>
      <c r="G30" s="57" t="s">
        <v>101</v>
      </c>
      <c r="H30" s="57" t="s">
        <v>34</v>
      </c>
      <c r="I30" s="57" t="s">
        <v>113</v>
      </c>
      <c r="J30" s="57">
        <v>0.16666700000000001</v>
      </c>
      <c r="K30" s="63">
        <v>0.16666700000000001</v>
      </c>
      <c r="L30" s="57" t="s">
        <v>114</v>
      </c>
      <c r="M30" s="57">
        <v>0</v>
      </c>
      <c r="N30" s="57">
        <v>0.9</v>
      </c>
      <c r="O30" s="64">
        <v>0.8</v>
      </c>
      <c r="P30" s="58">
        <f t="shared" si="8"/>
        <v>10</v>
      </c>
      <c r="Q30" s="58">
        <f t="shared" si="8"/>
        <v>3873.4092000000005</v>
      </c>
      <c r="R30" s="65">
        <f t="shared" si="8"/>
        <v>1.8006407589999998</v>
      </c>
      <c r="S30" s="66">
        <f>S10+S14+S18+S22+S26</f>
        <v>0</v>
      </c>
      <c r="T30" s="17">
        <f t="shared" si="1"/>
        <v>0</v>
      </c>
      <c r="U30" s="17">
        <f t="shared" si="2"/>
        <v>0</v>
      </c>
      <c r="V30" s="58">
        <f t="shared" ref="V30:W30" si="12">AVERAGE(V10,V14,V18,V22,V26)</f>
        <v>0</v>
      </c>
      <c r="W30" s="67">
        <f t="shared" si="12"/>
        <v>0.09</v>
      </c>
      <c r="Y30" s="64">
        <f t="shared" ref="Y30:Z30" si="13">AVERAGE(Y10,Y14,Y18,Y22,Y26)</f>
        <v>0.89442719099991597</v>
      </c>
      <c r="Z30" s="64">
        <f t="shared" si="13"/>
        <v>0.89442719099991597</v>
      </c>
      <c r="AA30" s="64">
        <f t="shared" ref="AA30:AC30" si="14">AVERAGE(AA10,AA14,AA18,AA22,AA26)</f>
        <v>10</v>
      </c>
      <c r="AB30" s="64">
        <f t="shared" si="14"/>
        <v>0.15582008990903373</v>
      </c>
      <c r="AC30" s="64">
        <f t="shared" si="14"/>
        <v>11.555896034017159</v>
      </c>
    </row>
    <row r="31" spans="2:29" s="60" customFormat="1" x14ac:dyDescent="0.25">
      <c r="B31" s="60" t="s">
        <v>117</v>
      </c>
      <c r="C31" s="60" t="s">
        <v>82</v>
      </c>
      <c r="D31" s="60" t="s">
        <v>333</v>
      </c>
      <c r="E31" s="60" t="s">
        <v>365</v>
      </c>
      <c r="F31" s="60" t="s">
        <v>6</v>
      </c>
      <c r="G31" s="60" t="s">
        <v>101</v>
      </c>
      <c r="H31" s="60" t="s">
        <v>34</v>
      </c>
      <c r="I31" s="60" t="s">
        <v>113</v>
      </c>
      <c r="J31" s="60">
        <v>0.16666666699999999</v>
      </c>
      <c r="K31" s="68">
        <v>0.16666666699999999</v>
      </c>
      <c r="L31" s="60" t="s">
        <v>114</v>
      </c>
      <c r="M31" s="60">
        <v>0</v>
      </c>
      <c r="N31" s="60">
        <v>0.9</v>
      </c>
      <c r="O31" s="69">
        <v>0.75</v>
      </c>
      <c r="P31" s="70">
        <f t="shared" si="8"/>
        <v>20</v>
      </c>
      <c r="Q31" s="70">
        <f t="shared" si="8"/>
        <v>50000</v>
      </c>
      <c r="R31" s="71">
        <f t="shared" si="8"/>
        <v>1.9001303219999996</v>
      </c>
      <c r="S31" s="72">
        <f>S11+S15+S19+S23+S27</f>
        <v>28473.599999999999</v>
      </c>
      <c r="T31" s="49">
        <f t="shared" si="1"/>
        <v>28473.599999999999</v>
      </c>
      <c r="U31" s="49">
        <f t="shared" si="2"/>
        <v>28473.599999999999</v>
      </c>
      <c r="V31" s="70">
        <f t="shared" ref="V31:W31" si="15">AVERAGE(V11,V15,V19,V23,V27)</f>
        <v>0</v>
      </c>
      <c r="W31" s="73">
        <f t="shared" si="15"/>
        <v>0.09</v>
      </c>
      <c r="Y31" s="69">
        <f t="shared" ref="Y31:Z31" si="16">AVERAGE(Y11,Y15,Y19,Y23,Y27)</f>
        <v>0.8660254037844386</v>
      </c>
      <c r="Z31" s="69">
        <f t="shared" si="16"/>
        <v>0.8660254037844386</v>
      </c>
      <c r="AA31" s="69">
        <f t="shared" ref="AA31:AC31" si="17">AVERAGE(AA11,AA15,AA19,AA23,AA27)</f>
        <v>20</v>
      </c>
      <c r="AB31" s="69">
        <f t="shared" si="17"/>
        <v>0.1095464750082292</v>
      </c>
      <c r="AC31" s="69">
        <f t="shared" si="17"/>
        <v>17.345426421591938</v>
      </c>
    </row>
    <row r="38" spans="8:8" x14ac:dyDescent="0.25">
      <c r="H38" s="1"/>
    </row>
    <row r="39" spans="8:8" x14ac:dyDescent="0.25">
      <c r="H39" s="1"/>
    </row>
    <row r="40" spans="8:8" x14ac:dyDescent="0.25">
      <c r="H40" s="1"/>
    </row>
    <row r="41" spans="8:8" x14ac:dyDescent="0.25">
      <c r="H41" s="1"/>
    </row>
    <row r="42" spans="8:8" x14ac:dyDescent="0.25">
      <c r="H42" s="1"/>
    </row>
    <row r="43" spans="8:8" x14ac:dyDescent="0.25">
      <c r="H43" s="1"/>
    </row>
    <row r="44" spans="8:8" x14ac:dyDescent="0.25">
      <c r="H44" s="1"/>
    </row>
    <row r="45" spans="8:8" x14ac:dyDescent="0.25">
      <c r="H45" s="1"/>
    </row>
    <row r="46" spans="8:8" x14ac:dyDescent="0.25">
      <c r="H46" s="1"/>
    </row>
    <row r="47" spans="8:8" x14ac:dyDescent="0.25">
      <c r="H47" s="1"/>
    </row>
    <row r="48" spans="8:8" x14ac:dyDescent="0.25">
      <c r="H48" s="1"/>
    </row>
    <row r="49" spans="8:8" x14ac:dyDescent="0.25">
      <c r="H49" s="1"/>
    </row>
    <row r="50" spans="8:8" x14ac:dyDescent="0.25">
      <c r="H50" s="1"/>
    </row>
    <row r="51" spans="8:8" x14ac:dyDescent="0.25">
      <c r="H51" s="1"/>
    </row>
    <row r="52" spans="8:8" x14ac:dyDescent="0.25">
      <c r="H52" s="1"/>
    </row>
    <row r="53" spans="8:8" x14ac:dyDescent="0.25">
      <c r="H53" s="1"/>
    </row>
    <row r="54" spans="8:8" x14ac:dyDescent="0.25">
      <c r="H54" s="1"/>
    </row>
    <row r="55" spans="8:8" x14ac:dyDescent="0.25">
      <c r="H55" s="1"/>
    </row>
    <row r="56" spans="8:8" x14ac:dyDescent="0.25">
      <c r="H56" s="1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6D537-D993-46A2-B113-1A1B0FBDE047}">
  <dimension ref="A1:AC56"/>
  <sheetViews>
    <sheetView workbookViewId="0">
      <pane xSplit="3" ySplit="7" topLeftCell="J8" activePane="bottomRight" state="frozen"/>
      <selection pane="topRight" activeCell="C1" sqref="C1"/>
      <selection pane="bottomLeft" activeCell="A7" sqref="A7"/>
      <selection pane="bottomRight" activeCell="Q15" sqref="Q15"/>
    </sheetView>
  </sheetViews>
  <sheetFormatPr defaultRowHeight="15" x14ac:dyDescent="0.25"/>
  <cols>
    <col min="2" max="2" width="16.5703125" bestFit="1" customWidth="1"/>
    <col min="3" max="3" width="6" customWidth="1"/>
    <col min="4" max="4" width="13.85546875" bestFit="1" customWidth="1"/>
    <col min="5" max="5" width="14.85546875" bestFit="1" customWidth="1"/>
    <col min="6" max="6" width="16" bestFit="1" customWidth="1"/>
    <col min="7" max="7" width="12.140625" bestFit="1" customWidth="1"/>
    <col min="8" max="8" width="13.42578125" customWidth="1"/>
    <col min="9" max="9" width="11.42578125" bestFit="1" customWidth="1"/>
    <col min="10" max="10" width="11.42578125" customWidth="1"/>
    <col min="11" max="11" width="8.28515625" bestFit="1" customWidth="1"/>
    <col min="12" max="12" width="8.140625" customWidth="1"/>
    <col min="13" max="13" width="11.42578125" customWidth="1"/>
    <col min="14" max="14" width="13.85546875" customWidth="1"/>
    <col min="15" max="15" width="9.28515625" bestFit="1" customWidth="1"/>
    <col min="16" max="16" width="8.5703125" bestFit="1" customWidth="1"/>
    <col min="17" max="17" width="8.5703125" customWidth="1"/>
    <col min="18" max="18" width="18.140625" customWidth="1"/>
    <col min="19" max="19" width="14.7109375" customWidth="1"/>
    <col min="20" max="20" width="12" customWidth="1"/>
    <col min="21" max="21" width="13.42578125" customWidth="1"/>
    <col min="24" max="24" width="10.140625" style="42" customWidth="1"/>
    <col min="25" max="25" width="12.85546875" customWidth="1"/>
    <col min="26" max="26" width="12.140625" customWidth="1"/>
    <col min="27" max="27" width="11.5703125" customWidth="1"/>
    <col min="29" max="29" width="9.5703125" bestFit="1" customWidth="1"/>
  </cols>
  <sheetData>
    <row r="1" spans="1:29" s="7" customFormat="1" x14ac:dyDescent="0.25">
      <c r="A1" s="7" t="s">
        <v>146</v>
      </c>
      <c r="G1" s="61" t="s">
        <v>179</v>
      </c>
      <c r="H1" s="7" t="s">
        <v>346</v>
      </c>
      <c r="I1" s="7" t="s">
        <v>346</v>
      </c>
      <c r="J1" s="7" t="s">
        <v>346</v>
      </c>
      <c r="K1" s="7" t="s">
        <v>346</v>
      </c>
      <c r="L1" s="7" t="s">
        <v>346</v>
      </c>
      <c r="M1" s="7" t="s">
        <v>348</v>
      </c>
      <c r="N1" s="7" t="s">
        <v>348</v>
      </c>
      <c r="O1" s="7" t="s">
        <v>350</v>
      </c>
      <c r="P1" s="7" t="s">
        <v>355</v>
      </c>
      <c r="Q1" s="7" t="s">
        <v>355</v>
      </c>
      <c r="R1" s="7" t="s">
        <v>350</v>
      </c>
      <c r="S1" s="7" t="s">
        <v>356</v>
      </c>
      <c r="T1" s="7" t="s">
        <v>358</v>
      </c>
      <c r="U1" s="7" t="s">
        <v>358</v>
      </c>
      <c r="V1" s="7" t="s">
        <v>357</v>
      </c>
      <c r="W1" s="7" t="s">
        <v>357</v>
      </c>
      <c r="X1" s="38"/>
    </row>
    <row r="2" spans="1:29" s="27" customFormat="1" x14ac:dyDescent="0.25">
      <c r="A2" s="27" t="s">
        <v>224</v>
      </c>
      <c r="B2" s="27" t="s">
        <v>0</v>
      </c>
      <c r="C2" s="27" t="s">
        <v>2</v>
      </c>
      <c r="F2" s="27" t="s">
        <v>1</v>
      </c>
      <c r="G2" s="27" t="s">
        <v>29</v>
      </c>
      <c r="H2" s="27" t="s">
        <v>107</v>
      </c>
      <c r="I2" s="27" t="s">
        <v>108</v>
      </c>
      <c r="J2" s="27" t="s">
        <v>109</v>
      </c>
      <c r="K2" s="27" t="s">
        <v>110</v>
      </c>
      <c r="L2" s="27" t="s">
        <v>111</v>
      </c>
      <c r="M2" s="27" t="s">
        <v>118</v>
      </c>
      <c r="N2" s="27" t="s">
        <v>119</v>
      </c>
      <c r="O2" s="27" t="s">
        <v>120</v>
      </c>
      <c r="P2" s="27" t="s">
        <v>124</v>
      </c>
      <c r="Q2" s="27" t="s">
        <v>125</v>
      </c>
      <c r="R2" s="27" t="s">
        <v>231</v>
      </c>
      <c r="S2" s="27" t="s">
        <v>121</v>
      </c>
      <c r="T2" s="27" t="s">
        <v>236</v>
      </c>
      <c r="U2" s="27" t="s">
        <v>237</v>
      </c>
      <c r="X2" s="39"/>
    </row>
    <row r="3" spans="1:29" s="7" customFormat="1" x14ac:dyDescent="0.25">
      <c r="A3" s="7" t="s">
        <v>83</v>
      </c>
      <c r="J3" s="7" t="s">
        <v>84</v>
      </c>
      <c r="K3" s="7" t="s">
        <v>85</v>
      </c>
      <c r="M3" s="7" t="s">
        <v>347</v>
      </c>
      <c r="N3" s="7" t="s">
        <v>315</v>
      </c>
      <c r="O3" s="7" t="s">
        <v>359</v>
      </c>
      <c r="P3" s="7" t="s">
        <v>360</v>
      </c>
      <c r="Q3" s="7" t="s">
        <v>354</v>
      </c>
      <c r="R3" s="7" t="s">
        <v>91</v>
      </c>
      <c r="S3" s="7" t="s">
        <v>147</v>
      </c>
      <c r="T3" s="7" t="s">
        <v>92</v>
      </c>
      <c r="U3" s="7" t="s">
        <v>103</v>
      </c>
      <c r="V3" s="7" t="s">
        <v>148</v>
      </c>
      <c r="W3" s="7" t="s">
        <v>104</v>
      </c>
      <c r="X3" s="38"/>
      <c r="Y3" s="7" t="s">
        <v>93</v>
      </c>
      <c r="Z3" s="7" t="s">
        <v>94</v>
      </c>
      <c r="AA3" s="7" t="s">
        <v>96</v>
      </c>
      <c r="AB3" s="7" t="s">
        <v>97</v>
      </c>
      <c r="AC3" s="7" t="s">
        <v>287</v>
      </c>
    </row>
    <row r="4" spans="1:29" s="7" customFormat="1" x14ac:dyDescent="0.25">
      <c r="A4" s="7" t="s">
        <v>155</v>
      </c>
      <c r="C4" s="7" t="s">
        <v>157</v>
      </c>
      <c r="G4" s="7" t="s">
        <v>228</v>
      </c>
      <c r="H4" s="7" t="s">
        <v>156</v>
      </c>
      <c r="O4" s="7" t="s">
        <v>349</v>
      </c>
      <c r="P4" s="7" t="s">
        <v>351</v>
      </c>
      <c r="Q4" s="7" t="s">
        <v>352</v>
      </c>
      <c r="R4" s="7" t="s">
        <v>160</v>
      </c>
      <c r="S4" s="7" t="s">
        <v>162</v>
      </c>
      <c r="T4" s="7" t="s">
        <v>163</v>
      </c>
      <c r="U4" s="7" t="s">
        <v>164</v>
      </c>
      <c r="V4" s="7" t="s">
        <v>282</v>
      </c>
      <c r="W4" s="7" t="s">
        <v>290</v>
      </c>
      <c r="X4" s="38"/>
      <c r="AA4" s="7" t="s">
        <v>286</v>
      </c>
      <c r="AB4" s="7" t="s">
        <v>144</v>
      </c>
    </row>
    <row r="5" spans="1:29" s="7" customFormat="1" x14ac:dyDescent="0.25">
      <c r="A5" s="7" t="s">
        <v>225</v>
      </c>
      <c r="G5" s="7" t="s">
        <v>154</v>
      </c>
      <c r="H5" s="7" t="s">
        <v>102</v>
      </c>
      <c r="J5" s="7" t="s">
        <v>102</v>
      </c>
      <c r="K5" s="7" t="s">
        <v>102</v>
      </c>
      <c r="M5" s="7" t="s">
        <v>102</v>
      </c>
      <c r="N5" s="7" t="s">
        <v>102</v>
      </c>
      <c r="O5" s="7" t="s">
        <v>102</v>
      </c>
      <c r="P5" s="7" t="s">
        <v>102</v>
      </c>
      <c r="Q5" s="7" t="s">
        <v>102</v>
      </c>
      <c r="R5" s="7" t="s">
        <v>165</v>
      </c>
      <c r="S5" s="7" t="s">
        <v>309</v>
      </c>
      <c r="T5" s="7" t="s">
        <v>309</v>
      </c>
      <c r="U5" s="7" t="s">
        <v>309</v>
      </c>
      <c r="W5" s="7" t="s">
        <v>289</v>
      </c>
      <c r="X5" s="38"/>
      <c r="Y5" s="7" t="s">
        <v>364</v>
      </c>
      <c r="Z5" s="7" t="s">
        <v>364</v>
      </c>
      <c r="AA5" s="7" t="s">
        <v>285</v>
      </c>
      <c r="AB5" s="7" t="s">
        <v>304</v>
      </c>
      <c r="AC5" s="7" t="s">
        <v>298</v>
      </c>
    </row>
    <row r="6" spans="1:29" s="4" customFormat="1" ht="15.75" thickBot="1" x14ac:dyDescent="0.3">
      <c r="A6" s="4" t="s">
        <v>226</v>
      </c>
      <c r="C6" s="4" t="s">
        <v>227</v>
      </c>
      <c r="D6" s="4" t="s">
        <v>240</v>
      </c>
      <c r="E6" s="4" t="s">
        <v>242</v>
      </c>
      <c r="F6" s="28"/>
      <c r="G6" s="28"/>
      <c r="J6" s="4" t="s">
        <v>363</v>
      </c>
      <c r="P6" s="4" t="s">
        <v>161</v>
      </c>
      <c r="R6" s="4" t="s">
        <v>230</v>
      </c>
      <c r="T6" s="4" t="s">
        <v>297</v>
      </c>
      <c r="U6" s="4" t="s">
        <v>239</v>
      </c>
      <c r="W6" s="4" t="s">
        <v>143</v>
      </c>
      <c r="X6" s="40"/>
      <c r="Y6" s="4" t="s">
        <v>361</v>
      </c>
      <c r="Z6" s="4" t="s">
        <v>362</v>
      </c>
      <c r="AA6" s="4" t="s">
        <v>284</v>
      </c>
      <c r="AC6" s="4" t="s">
        <v>293</v>
      </c>
    </row>
    <row r="7" spans="1:29" s="4" customFormat="1" ht="16.5" thickTop="1" thickBot="1" x14ac:dyDescent="0.3">
      <c r="A7" s="4" t="s">
        <v>98</v>
      </c>
      <c r="J7" s="4" t="s">
        <v>99</v>
      </c>
      <c r="K7" s="4" t="s">
        <v>99</v>
      </c>
      <c r="M7" s="4" t="s">
        <v>99</v>
      </c>
      <c r="N7" s="4" t="s">
        <v>296</v>
      </c>
      <c r="O7" s="4" t="s">
        <v>99</v>
      </c>
      <c r="P7" s="4" t="s">
        <v>100</v>
      </c>
      <c r="Q7" s="4" t="s">
        <v>353</v>
      </c>
      <c r="R7" s="4" t="s">
        <v>211</v>
      </c>
      <c r="S7" s="4" t="s">
        <v>130</v>
      </c>
      <c r="T7" s="4" t="s">
        <v>130</v>
      </c>
      <c r="U7" s="4" t="s">
        <v>130</v>
      </c>
      <c r="V7" s="4" t="s">
        <v>278</v>
      </c>
      <c r="W7" s="4" t="s">
        <v>99</v>
      </c>
      <c r="X7" s="40"/>
      <c r="Y7" s="4" t="s">
        <v>99</v>
      </c>
      <c r="Z7" s="4" t="s">
        <v>99</v>
      </c>
      <c r="AA7" s="4" t="s">
        <v>100</v>
      </c>
      <c r="AC7" s="4" t="s">
        <v>294</v>
      </c>
    </row>
    <row r="8" spans="1:29" ht="15.75" thickTop="1" x14ac:dyDescent="0.25">
      <c r="B8" t="s">
        <v>112</v>
      </c>
      <c r="C8" t="s">
        <v>12</v>
      </c>
      <c r="D8" t="s">
        <v>333</v>
      </c>
      <c r="E8" t="s">
        <v>334</v>
      </c>
      <c r="F8" t="s">
        <v>6</v>
      </c>
      <c r="G8" t="s">
        <v>101</v>
      </c>
      <c r="H8" t="s">
        <v>34</v>
      </c>
      <c r="I8" t="s">
        <v>113</v>
      </c>
      <c r="J8">
        <v>0.5</v>
      </c>
      <c r="K8" s="5">
        <v>0.5</v>
      </c>
      <c r="L8" t="s">
        <v>114</v>
      </c>
      <c r="M8">
        <v>0</v>
      </c>
      <c r="N8">
        <v>0.9</v>
      </c>
      <c r="O8" s="1">
        <v>0.8</v>
      </c>
      <c r="P8">
        <v>10</v>
      </c>
      <c r="Q8" s="76">
        <f>Capacity!D94</f>
        <v>3873.4092000000001</v>
      </c>
      <c r="R8" s="78">
        <f>Capacity!$D$103/1000</f>
        <v>2.247515108</v>
      </c>
      <c r="S8" s="16">
        <v>0</v>
      </c>
      <c r="T8" s="17">
        <f>Capacity!C183*1000</f>
        <v>0</v>
      </c>
      <c r="U8" s="43">
        <f>Capacity!W183*1000</f>
        <v>89.882384000000002</v>
      </c>
      <c r="V8" s="10">
        <v>0</v>
      </c>
      <c r="W8">
        <v>0.09</v>
      </c>
      <c r="X8" s="41"/>
      <c r="Y8" s="1">
        <f>SQRT(O8)</f>
        <v>0.89442719099991586</v>
      </c>
      <c r="Z8" s="1">
        <f>Y8</f>
        <v>0.89442719099991586</v>
      </c>
      <c r="AA8">
        <f>P8</f>
        <v>10</v>
      </c>
      <c r="AB8" s="5">
        <f>W8/(1-(1+W8)^(-AA8))</f>
        <v>0.15582008990903373</v>
      </c>
      <c r="AC8" s="15">
        <f t="shared" ref="AC8:AC27" si="0">R8/AB8</f>
        <v>14.423782641327429</v>
      </c>
    </row>
    <row r="9" spans="1:29" x14ac:dyDescent="0.25">
      <c r="B9" t="s">
        <v>115</v>
      </c>
      <c r="C9" t="s">
        <v>12</v>
      </c>
      <c r="D9" t="s">
        <v>333</v>
      </c>
      <c r="E9" t="s">
        <v>335</v>
      </c>
      <c r="F9" t="s">
        <v>6</v>
      </c>
      <c r="G9" t="s">
        <v>101</v>
      </c>
      <c r="H9" t="s">
        <v>34</v>
      </c>
      <c r="I9" t="s">
        <v>113</v>
      </c>
      <c r="J9">
        <v>0.25</v>
      </c>
      <c r="K9" s="5">
        <v>0.25</v>
      </c>
      <c r="L9" t="s">
        <v>114</v>
      </c>
      <c r="M9">
        <v>0</v>
      </c>
      <c r="N9">
        <v>0.9</v>
      </c>
      <c r="O9" s="1">
        <v>0.8</v>
      </c>
      <c r="P9">
        <v>10</v>
      </c>
      <c r="Q9" s="76">
        <f>Capacity!D95</f>
        <v>3873.4092000000001</v>
      </c>
      <c r="R9" s="78">
        <f>Capacity!$D$123/1000</f>
        <v>1.9123593459999999</v>
      </c>
      <c r="S9" s="16">
        <v>0</v>
      </c>
      <c r="T9" s="17">
        <f>Capacity!C184*1000</f>
        <v>0</v>
      </c>
      <c r="U9" s="43">
        <f>Capacity!W184*1000</f>
        <v>179.76477000000003</v>
      </c>
      <c r="V9" s="10">
        <v>0</v>
      </c>
      <c r="W9">
        <v>0.09</v>
      </c>
      <c r="Y9" s="1">
        <f t="shared" ref="Y9:Y27" si="1">SQRT(O9)</f>
        <v>0.89442719099991586</v>
      </c>
      <c r="Z9" s="1">
        <f t="shared" ref="Z9:Z27" si="2">Y9</f>
        <v>0.89442719099991586</v>
      </c>
      <c r="AA9">
        <f t="shared" ref="AA9:AA27" si="3">P9</f>
        <v>10</v>
      </c>
      <c r="AB9" s="5">
        <f t="shared" ref="AB9:AB27" si="4">W9/(1-(1+W9)^-AA9)</f>
        <v>0.15582008990903373</v>
      </c>
      <c r="AC9" s="15">
        <f t="shared" si="0"/>
        <v>12.27286768424031</v>
      </c>
    </row>
    <row r="10" spans="1:29" x14ac:dyDescent="0.25">
      <c r="B10" t="s">
        <v>116</v>
      </c>
      <c r="C10" t="s">
        <v>12</v>
      </c>
      <c r="D10" t="s">
        <v>333</v>
      </c>
      <c r="E10" t="s">
        <v>336</v>
      </c>
      <c r="F10" t="s">
        <v>6</v>
      </c>
      <c r="G10" t="s">
        <v>101</v>
      </c>
      <c r="H10" t="s">
        <v>34</v>
      </c>
      <c r="I10" t="s">
        <v>113</v>
      </c>
      <c r="J10">
        <v>0.16666700000000001</v>
      </c>
      <c r="K10" s="5">
        <v>0.16666700000000001</v>
      </c>
      <c r="L10" t="s">
        <v>114</v>
      </c>
      <c r="M10">
        <v>0</v>
      </c>
      <c r="N10">
        <v>0.9</v>
      </c>
      <c r="O10" s="1">
        <v>0.8</v>
      </c>
      <c r="P10">
        <v>10</v>
      </c>
      <c r="Q10" s="76">
        <f>Capacity!D96</f>
        <v>3873.4092000000001</v>
      </c>
      <c r="R10" s="78">
        <f>Capacity!$D$143/1000</f>
        <v>1.800640759</v>
      </c>
      <c r="S10" s="16">
        <v>0</v>
      </c>
      <c r="T10" s="17">
        <f>Capacity!C185*1000</f>
        <v>0</v>
      </c>
      <c r="U10" s="43">
        <f>Capacity!W185*1000</f>
        <v>269.64715299999995</v>
      </c>
      <c r="V10" s="10">
        <v>0</v>
      </c>
      <c r="W10">
        <v>0.09</v>
      </c>
      <c r="Y10" s="1">
        <f t="shared" si="1"/>
        <v>0.89442719099991586</v>
      </c>
      <c r="Z10" s="1">
        <f t="shared" si="2"/>
        <v>0.89442719099991586</v>
      </c>
      <c r="AA10">
        <f t="shared" si="3"/>
        <v>10</v>
      </c>
      <c r="AB10" s="5">
        <f t="shared" si="4"/>
        <v>0.15582008990903373</v>
      </c>
      <c r="AC10" s="15">
        <f t="shared" si="0"/>
        <v>11.555896034017159</v>
      </c>
    </row>
    <row r="11" spans="1:29" s="24" customFormat="1" x14ac:dyDescent="0.25">
      <c r="B11" s="24" t="s">
        <v>117</v>
      </c>
      <c r="C11" s="24" t="s">
        <v>12</v>
      </c>
      <c r="D11" s="24" t="s">
        <v>333</v>
      </c>
      <c r="E11" s="24" t="s">
        <v>365</v>
      </c>
      <c r="F11" s="24" t="s">
        <v>6</v>
      </c>
      <c r="G11" s="24" t="s">
        <v>101</v>
      </c>
      <c r="H11" s="24" t="s">
        <v>34</v>
      </c>
      <c r="I11" s="24" t="s">
        <v>113</v>
      </c>
      <c r="J11" s="24">
        <v>0.16666666699999999</v>
      </c>
      <c r="K11" s="44">
        <v>0.16666666699999999</v>
      </c>
      <c r="L11" s="24" t="s">
        <v>114</v>
      </c>
      <c r="M11" s="24">
        <v>0</v>
      </c>
      <c r="N11" s="24">
        <v>0.9</v>
      </c>
      <c r="O11" s="47">
        <v>0.75</v>
      </c>
      <c r="P11" s="24">
        <v>40</v>
      </c>
      <c r="Q11" s="77">
        <f>Capacity!D97</f>
        <v>50000</v>
      </c>
      <c r="R11" s="79">
        <f>Capacity!$D$163/1000</f>
        <v>1.9001303219999999</v>
      </c>
      <c r="S11" s="48">
        <f>Capacity!D85*1000</f>
        <v>0</v>
      </c>
      <c r="T11" s="49">
        <f>Capacity!C186*1000</f>
        <v>0</v>
      </c>
      <c r="U11" s="54">
        <f>Capacity!W186*1000</f>
        <v>0</v>
      </c>
      <c r="V11" s="62">
        <v>0</v>
      </c>
      <c r="W11" s="24">
        <v>0.09</v>
      </c>
      <c r="X11" s="51"/>
      <c r="Y11" s="47">
        <f t="shared" si="1"/>
        <v>0.8660254037844386</v>
      </c>
      <c r="Z11" s="47">
        <f t="shared" si="2"/>
        <v>0.8660254037844386</v>
      </c>
      <c r="AA11" s="24">
        <f t="shared" si="3"/>
        <v>40</v>
      </c>
      <c r="AB11" s="44">
        <f t="shared" si="4"/>
        <v>9.2959609221097042E-2</v>
      </c>
      <c r="AC11" s="53">
        <f t="shared" si="0"/>
        <v>20.440386291649428</v>
      </c>
    </row>
    <row r="12" spans="1:29" x14ac:dyDescent="0.25">
      <c r="B12" t="s">
        <v>112</v>
      </c>
      <c r="C12" t="s">
        <v>9</v>
      </c>
      <c r="D12" t="s">
        <v>333</v>
      </c>
      <c r="E12" t="s">
        <v>334</v>
      </c>
      <c r="F12" t="s">
        <v>6</v>
      </c>
      <c r="G12" t="s">
        <v>101</v>
      </c>
      <c r="H12" t="s">
        <v>34</v>
      </c>
      <c r="I12" t="s">
        <v>113</v>
      </c>
      <c r="J12">
        <v>0.5</v>
      </c>
      <c r="K12" s="5">
        <v>0.5</v>
      </c>
      <c r="L12" t="s">
        <v>114</v>
      </c>
      <c r="M12">
        <v>0</v>
      </c>
      <c r="N12">
        <v>0.9</v>
      </c>
      <c r="O12" s="1">
        <v>0.8</v>
      </c>
      <c r="P12">
        <v>10</v>
      </c>
      <c r="Q12" s="74">
        <f>$Q$8</f>
        <v>3873.4092000000001</v>
      </c>
      <c r="R12" s="80">
        <f>$R$8</f>
        <v>2.247515108</v>
      </c>
      <c r="S12" s="16">
        <v>0</v>
      </c>
      <c r="T12" s="17">
        <f>Capacity!C187*1000</f>
        <v>0</v>
      </c>
      <c r="U12" s="43">
        <f>Capacity!W187*1000</f>
        <v>15.332799000000001</v>
      </c>
      <c r="V12" s="10">
        <v>0</v>
      </c>
      <c r="W12">
        <v>0.09</v>
      </c>
      <c r="X12" s="41"/>
      <c r="Y12" s="1">
        <f t="shared" si="1"/>
        <v>0.89442719099991586</v>
      </c>
      <c r="Z12" s="1">
        <f t="shared" si="2"/>
        <v>0.89442719099991586</v>
      </c>
      <c r="AA12">
        <f t="shared" si="3"/>
        <v>10</v>
      </c>
      <c r="AB12" s="5">
        <f t="shared" si="4"/>
        <v>0.15582008990903373</v>
      </c>
      <c r="AC12" s="15">
        <f t="shared" si="0"/>
        <v>14.423782641327429</v>
      </c>
    </row>
    <row r="13" spans="1:29" x14ac:dyDescent="0.25">
      <c r="B13" t="s">
        <v>115</v>
      </c>
      <c r="C13" t="s">
        <v>9</v>
      </c>
      <c r="D13" t="s">
        <v>333</v>
      </c>
      <c r="E13" t="s">
        <v>335</v>
      </c>
      <c r="F13" t="s">
        <v>6</v>
      </c>
      <c r="G13" t="s">
        <v>101</v>
      </c>
      <c r="H13" t="s">
        <v>34</v>
      </c>
      <c r="I13" t="s">
        <v>113</v>
      </c>
      <c r="J13">
        <v>0.25</v>
      </c>
      <c r="K13" s="5">
        <v>0.25</v>
      </c>
      <c r="L13" t="s">
        <v>114</v>
      </c>
      <c r="M13">
        <v>0</v>
      </c>
      <c r="N13">
        <v>0.9</v>
      </c>
      <c r="O13" s="1">
        <v>0.8</v>
      </c>
      <c r="P13">
        <v>10</v>
      </c>
      <c r="Q13" s="74">
        <f>$Q$9</f>
        <v>3873.4092000000001</v>
      </c>
      <c r="R13" s="80">
        <f>$R$9</f>
        <v>1.9123593459999999</v>
      </c>
      <c r="S13" s="16">
        <v>0</v>
      </c>
      <c r="T13" s="17">
        <f>Capacity!C188*1000</f>
        <v>0</v>
      </c>
      <c r="U13" s="43">
        <f>Capacity!W188*1000</f>
        <v>30.665598000000003</v>
      </c>
      <c r="V13" s="10">
        <v>0</v>
      </c>
      <c r="W13">
        <v>0.09</v>
      </c>
      <c r="Y13" s="1">
        <f t="shared" si="1"/>
        <v>0.89442719099991586</v>
      </c>
      <c r="Z13" s="1">
        <f t="shared" si="2"/>
        <v>0.89442719099991586</v>
      </c>
      <c r="AA13">
        <f t="shared" si="3"/>
        <v>10</v>
      </c>
      <c r="AB13" s="5">
        <f t="shared" si="4"/>
        <v>0.15582008990903373</v>
      </c>
      <c r="AC13" s="15">
        <f t="shared" si="0"/>
        <v>12.27286768424031</v>
      </c>
    </row>
    <row r="14" spans="1:29" x14ac:dyDescent="0.25">
      <c r="B14" t="s">
        <v>116</v>
      </c>
      <c r="C14" t="s">
        <v>9</v>
      </c>
      <c r="D14" t="s">
        <v>333</v>
      </c>
      <c r="E14" t="s">
        <v>336</v>
      </c>
      <c r="F14" t="s">
        <v>6</v>
      </c>
      <c r="G14" t="s">
        <v>101</v>
      </c>
      <c r="H14" t="s">
        <v>34</v>
      </c>
      <c r="I14" t="s">
        <v>113</v>
      </c>
      <c r="J14">
        <v>0.16666700000000001</v>
      </c>
      <c r="K14" s="5">
        <v>0.16666700000000001</v>
      </c>
      <c r="L14" t="s">
        <v>114</v>
      </c>
      <c r="M14">
        <v>0</v>
      </c>
      <c r="N14">
        <v>0.9</v>
      </c>
      <c r="O14" s="1">
        <v>0.8</v>
      </c>
      <c r="P14">
        <v>10</v>
      </c>
      <c r="Q14" s="74">
        <f>$Q$10</f>
        <v>3873.4092000000001</v>
      </c>
      <c r="R14" s="80">
        <f>$R$10</f>
        <v>1.800640759</v>
      </c>
      <c r="S14" s="16">
        <v>0</v>
      </c>
      <c r="T14" s="17">
        <f>Capacity!C189*1000</f>
        <v>0</v>
      </c>
      <c r="U14" s="43">
        <f>Capacity!W189*1000</f>
        <v>45.998396</v>
      </c>
      <c r="V14" s="10">
        <v>0</v>
      </c>
      <c r="W14">
        <v>0.09</v>
      </c>
      <c r="Y14" s="1">
        <f t="shared" si="1"/>
        <v>0.89442719099991586</v>
      </c>
      <c r="Z14" s="1">
        <f t="shared" si="2"/>
        <v>0.89442719099991586</v>
      </c>
      <c r="AA14">
        <f t="shared" si="3"/>
        <v>10</v>
      </c>
      <c r="AB14" s="5">
        <f t="shared" si="4"/>
        <v>0.15582008990903373</v>
      </c>
      <c r="AC14" s="15">
        <f t="shared" si="0"/>
        <v>11.555896034017159</v>
      </c>
    </row>
    <row r="15" spans="1:29" s="24" customFormat="1" x14ac:dyDescent="0.25">
      <c r="B15" s="24" t="s">
        <v>117</v>
      </c>
      <c r="C15" s="24" t="s">
        <v>9</v>
      </c>
      <c r="D15" s="24" t="s">
        <v>333</v>
      </c>
      <c r="E15" s="24" t="s">
        <v>365</v>
      </c>
      <c r="F15" s="24" t="s">
        <v>6</v>
      </c>
      <c r="G15" s="24" t="s">
        <v>101</v>
      </c>
      <c r="H15" s="24" t="s">
        <v>34</v>
      </c>
      <c r="I15" s="24" t="s">
        <v>113</v>
      </c>
      <c r="J15" s="24">
        <v>0.16666666699999999</v>
      </c>
      <c r="K15" s="44">
        <v>0.16666666699999999</v>
      </c>
      <c r="L15" s="24" t="s">
        <v>114</v>
      </c>
      <c r="M15" s="24">
        <v>0</v>
      </c>
      <c r="N15" s="24">
        <v>0.9</v>
      </c>
      <c r="O15" s="47">
        <v>0.75</v>
      </c>
      <c r="P15" s="24">
        <v>40</v>
      </c>
      <c r="Q15" s="75">
        <f>$Q$11</f>
        <v>50000</v>
      </c>
      <c r="R15" s="81">
        <f>$R$11</f>
        <v>1.9001303219999999</v>
      </c>
      <c r="S15" s="48">
        <f>Capacity!D86*1000</f>
        <v>0</v>
      </c>
      <c r="T15" s="49">
        <f>Capacity!C190*1000</f>
        <v>0</v>
      </c>
      <c r="U15" s="54">
        <f>Capacity!W190*1000</f>
        <v>0</v>
      </c>
      <c r="V15" s="62">
        <v>0</v>
      </c>
      <c r="W15" s="24">
        <v>0.09</v>
      </c>
      <c r="X15" s="51"/>
      <c r="Y15" s="47">
        <f t="shared" si="1"/>
        <v>0.8660254037844386</v>
      </c>
      <c r="Z15" s="47">
        <f t="shared" si="2"/>
        <v>0.8660254037844386</v>
      </c>
      <c r="AA15" s="24">
        <f t="shared" si="3"/>
        <v>40</v>
      </c>
      <c r="AB15" s="44">
        <f t="shared" si="4"/>
        <v>9.2959609221097042E-2</v>
      </c>
      <c r="AC15" s="53">
        <f t="shared" si="0"/>
        <v>20.440386291649428</v>
      </c>
    </row>
    <row r="16" spans="1:29" x14ac:dyDescent="0.25">
      <c r="B16" t="s">
        <v>112</v>
      </c>
      <c r="C16" t="s">
        <v>10</v>
      </c>
      <c r="D16" t="s">
        <v>333</v>
      </c>
      <c r="E16" t="s">
        <v>334</v>
      </c>
      <c r="F16" t="s">
        <v>6</v>
      </c>
      <c r="G16" t="s">
        <v>101</v>
      </c>
      <c r="H16" t="s">
        <v>34</v>
      </c>
      <c r="I16" t="s">
        <v>113</v>
      </c>
      <c r="J16">
        <v>0.5</v>
      </c>
      <c r="K16" s="5">
        <v>0.5</v>
      </c>
      <c r="L16" t="s">
        <v>114</v>
      </c>
      <c r="M16">
        <v>0</v>
      </c>
      <c r="N16">
        <v>0.9</v>
      </c>
      <c r="O16" s="1">
        <v>0.8</v>
      </c>
      <c r="P16">
        <v>10</v>
      </c>
      <c r="Q16" s="74">
        <f>$Q$8</f>
        <v>3873.4092000000001</v>
      </c>
      <c r="R16" s="80">
        <f>$R$8</f>
        <v>2.247515108</v>
      </c>
      <c r="S16" s="16">
        <v>0</v>
      </c>
      <c r="T16" s="17">
        <f>Capacity!C191*1000</f>
        <v>0</v>
      </c>
      <c r="U16" s="43">
        <f>Capacity!W191*1000</f>
        <v>17.738572999999999</v>
      </c>
      <c r="V16" s="10">
        <v>0</v>
      </c>
      <c r="W16">
        <v>0.09</v>
      </c>
      <c r="X16" s="41"/>
      <c r="Y16" s="1">
        <f t="shared" si="1"/>
        <v>0.89442719099991586</v>
      </c>
      <c r="Z16" s="1">
        <f t="shared" si="2"/>
        <v>0.89442719099991586</v>
      </c>
      <c r="AA16">
        <f t="shared" si="3"/>
        <v>10</v>
      </c>
      <c r="AB16" s="5">
        <f t="shared" si="4"/>
        <v>0.15582008990903373</v>
      </c>
      <c r="AC16" s="15">
        <f t="shared" si="0"/>
        <v>14.423782641327429</v>
      </c>
    </row>
    <row r="17" spans="2:29" x14ac:dyDescent="0.25">
      <c r="B17" t="s">
        <v>115</v>
      </c>
      <c r="C17" t="s">
        <v>10</v>
      </c>
      <c r="D17" t="s">
        <v>333</v>
      </c>
      <c r="E17" t="s">
        <v>335</v>
      </c>
      <c r="F17" t="s">
        <v>6</v>
      </c>
      <c r="G17" t="s">
        <v>101</v>
      </c>
      <c r="H17" t="s">
        <v>34</v>
      </c>
      <c r="I17" t="s">
        <v>113</v>
      </c>
      <c r="J17">
        <v>0.25</v>
      </c>
      <c r="K17" s="5">
        <v>0.25</v>
      </c>
      <c r="L17" t="s">
        <v>114</v>
      </c>
      <c r="M17">
        <v>0</v>
      </c>
      <c r="N17">
        <v>0.9</v>
      </c>
      <c r="O17" s="1">
        <v>0.8</v>
      </c>
      <c r="P17">
        <v>10</v>
      </c>
      <c r="Q17" s="74">
        <f>$Q$9</f>
        <v>3873.4092000000001</v>
      </c>
      <c r="R17" s="80">
        <f>$R$9</f>
        <v>1.9123593459999999</v>
      </c>
      <c r="S17" s="16">
        <v>0</v>
      </c>
      <c r="T17" s="17">
        <f>Capacity!C192*1000</f>
        <v>0</v>
      </c>
      <c r="U17" s="43">
        <f>Capacity!W192*1000</f>
        <v>35.477145</v>
      </c>
      <c r="V17" s="10">
        <v>0</v>
      </c>
      <c r="W17">
        <v>0.09</v>
      </c>
      <c r="Y17" s="1">
        <f t="shared" si="1"/>
        <v>0.89442719099991586</v>
      </c>
      <c r="Z17" s="1">
        <f t="shared" si="2"/>
        <v>0.89442719099991586</v>
      </c>
      <c r="AA17">
        <f t="shared" si="3"/>
        <v>10</v>
      </c>
      <c r="AB17" s="5">
        <f t="shared" si="4"/>
        <v>0.15582008990903373</v>
      </c>
      <c r="AC17" s="15">
        <f t="shared" si="0"/>
        <v>12.27286768424031</v>
      </c>
    </row>
    <row r="18" spans="2:29" x14ac:dyDescent="0.25">
      <c r="B18" t="s">
        <v>116</v>
      </c>
      <c r="C18" t="s">
        <v>10</v>
      </c>
      <c r="D18" t="s">
        <v>333</v>
      </c>
      <c r="E18" t="s">
        <v>336</v>
      </c>
      <c r="F18" t="s">
        <v>6</v>
      </c>
      <c r="G18" t="s">
        <v>101</v>
      </c>
      <c r="H18" t="s">
        <v>34</v>
      </c>
      <c r="I18" t="s">
        <v>113</v>
      </c>
      <c r="J18">
        <v>0.16666700000000001</v>
      </c>
      <c r="K18" s="5">
        <v>0.16666700000000001</v>
      </c>
      <c r="L18" t="s">
        <v>114</v>
      </c>
      <c r="M18">
        <v>0</v>
      </c>
      <c r="N18">
        <v>0.9</v>
      </c>
      <c r="O18" s="1">
        <v>0.8</v>
      </c>
      <c r="P18">
        <v>10</v>
      </c>
      <c r="Q18" s="74">
        <f>$Q$10</f>
        <v>3873.4092000000001</v>
      </c>
      <c r="R18" s="80">
        <f>$R$10</f>
        <v>1.800640759</v>
      </c>
      <c r="S18" s="16">
        <v>0</v>
      </c>
      <c r="T18" s="17">
        <f>Capacity!C193*1000</f>
        <v>0</v>
      </c>
      <c r="U18" s="43">
        <f>Capacity!W193*1000</f>
        <v>53.215719</v>
      </c>
      <c r="V18" s="10">
        <v>0</v>
      </c>
      <c r="W18">
        <v>0.09</v>
      </c>
      <c r="Y18" s="1">
        <f t="shared" si="1"/>
        <v>0.89442719099991586</v>
      </c>
      <c r="Z18" s="1">
        <f t="shared" si="2"/>
        <v>0.89442719099991586</v>
      </c>
      <c r="AA18">
        <f t="shared" si="3"/>
        <v>10</v>
      </c>
      <c r="AB18" s="5">
        <f t="shared" si="4"/>
        <v>0.15582008990903373</v>
      </c>
      <c r="AC18" s="15">
        <f t="shared" si="0"/>
        <v>11.555896034017159</v>
      </c>
    </row>
    <row r="19" spans="2:29" s="24" customFormat="1" x14ac:dyDescent="0.25">
      <c r="B19" s="24" t="s">
        <v>117</v>
      </c>
      <c r="C19" s="24" t="s">
        <v>10</v>
      </c>
      <c r="D19" s="24" t="s">
        <v>333</v>
      </c>
      <c r="E19" s="24" t="s">
        <v>365</v>
      </c>
      <c r="F19" s="24" t="s">
        <v>6</v>
      </c>
      <c r="G19" s="24" t="s">
        <v>101</v>
      </c>
      <c r="H19" s="24" t="s">
        <v>34</v>
      </c>
      <c r="I19" s="24" t="s">
        <v>113</v>
      </c>
      <c r="J19" s="24">
        <v>0.16666666699999999</v>
      </c>
      <c r="K19" s="44">
        <v>0.16666666699999999</v>
      </c>
      <c r="L19" s="24" t="s">
        <v>114</v>
      </c>
      <c r="M19" s="24">
        <v>0</v>
      </c>
      <c r="N19" s="24">
        <v>0.9</v>
      </c>
      <c r="O19" s="47">
        <v>0.75</v>
      </c>
      <c r="P19" s="24">
        <v>40</v>
      </c>
      <c r="Q19" s="75">
        <f>$Q$11</f>
        <v>50000</v>
      </c>
      <c r="R19" s="81">
        <f>$R$11</f>
        <v>1.9001303219999999</v>
      </c>
      <c r="S19" s="48">
        <f>Capacity!D87*1000</f>
        <v>5400</v>
      </c>
      <c r="T19" s="49">
        <f>Capacity!C194*1000</f>
        <v>0</v>
      </c>
      <c r="U19" s="54">
        <f>Capacity!W194*1000</f>
        <v>0</v>
      </c>
      <c r="V19" s="62">
        <v>0</v>
      </c>
      <c r="W19" s="24">
        <v>0.09</v>
      </c>
      <c r="X19" s="51"/>
      <c r="Y19" s="47">
        <f t="shared" si="1"/>
        <v>0.8660254037844386</v>
      </c>
      <c r="Z19" s="47">
        <f t="shared" si="2"/>
        <v>0.8660254037844386</v>
      </c>
      <c r="AA19" s="24">
        <f t="shared" si="3"/>
        <v>40</v>
      </c>
      <c r="AB19" s="44">
        <f t="shared" si="4"/>
        <v>9.2959609221097042E-2</v>
      </c>
      <c r="AC19" s="53">
        <f t="shared" si="0"/>
        <v>20.440386291649428</v>
      </c>
    </row>
    <row r="20" spans="2:29" x14ac:dyDescent="0.25">
      <c r="B20" t="s">
        <v>112</v>
      </c>
      <c r="C20" t="s">
        <v>11</v>
      </c>
      <c r="D20" t="s">
        <v>333</v>
      </c>
      <c r="E20" t="s">
        <v>334</v>
      </c>
      <c r="F20" t="s">
        <v>6</v>
      </c>
      <c r="G20" t="s">
        <v>101</v>
      </c>
      <c r="H20" t="s">
        <v>34</v>
      </c>
      <c r="I20" t="s">
        <v>113</v>
      </c>
      <c r="J20">
        <v>0.5</v>
      </c>
      <c r="K20" s="5">
        <v>0.5</v>
      </c>
      <c r="L20" t="s">
        <v>114</v>
      </c>
      <c r="M20">
        <v>0</v>
      </c>
      <c r="N20">
        <v>0.9</v>
      </c>
      <c r="O20" s="1">
        <v>0.8</v>
      </c>
      <c r="P20">
        <v>10</v>
      </c>
      <c r="Q20" s="74">
        <f>$Q$8</f>
        <v>3873.4092000000001</v>
      </c>
      <c r="R20" s="80">
        <f>$R$8</f>
        <v>2.247515108</v>
      </c>
      <c r="S20" s="16">
        <v>0</v>
      </c>
      <c r="T20" s="17">
        <f>Capacity!C195*1000</f>
        <v>0</v>
      </c>
      <c r="U20" s="43">
        <f>Capacity!W195*1000</f>
        <v>48.356055000000005</v>
      </c>
      <c r="V20" s="10">
        <v>0</v>
      </c>
      <c r="W20">
        <v>0.09</v>
      </c>
      <c r="X20" s="41"/>
      <c r="Y20" s="1">
        <f t="shared" si="1"/>
        <v>0.89442719099991586</v>
      </c>
      <c r="Z20" s="1">
        <f t="shared" si="2"/>
        <v>0.89442719099991586</v>
      </c>
      <c r="AA20">
        <f t="shared" si="3"/>
        <v>10</v>
      </c>
      <c r="AB20" s="5">
        <f t="shared" si="4"/>
        <v>0.15582008990903373</v>
      </c>
      <c r="AC20" s="15">
        <f t="shared" si="0"/>
        <v>14.423782641327429</v>
      </c>
    </row>
    <row r="21" spans="2:29" x14ac:dyDescent="0.25">
      <c r="B21" t="s">
        <v>115</v>
      </c>
      <c r="C21" t="s">
        <v>11</v>
      </c>
      <c r="D21" t="s">
        <v>333</v>
      </c>
      <c r="E21" t="s">
        <v>335</v>
      </c>
      <c r="F21" t="s">
        <v>6</v>
      </c>
      <c r="G21" t="s">
        <v>101</v>
      </c>
      <c r="H21" t="s">
        <v>34</v>
      </c>
      <c r="I21" t="s">
        <v>113</v>
      </c>
      <c r="J21">
        <v>0.25</v>
      </c>
      <c r="K21" s="5">
        <v>0.25</v>
      </c>
      <c r="L21" t="s">
        <v>114</v>
      </c>
      <c r="M21">
        <v>0</v>
      </c>
      <c r="N21">
        <v>0.9</v>
      </c>
      <c r="O21" s="1">
        <v>0.8</v>
      </c>
      <c r="P21">
        <v>10</v>
      </c>
      <c r="Q21" s="74">
        <f>$Q$9</f>
        <v>3873.4092000000001</v>
      </c>
      <c r="R21" s="80">
        <f>$R$9</f>
        <v>1.9123593459999999</v>
      </c>
      <c r="S21" s="16">
        <v>0</v>
      </c>
      <c r="T21" s="17">
        <f>Capacity!C196*1000</f>
        <v>0</v>
      </c>
      <c r="U21" s="43">
        <f>Capacity!W196*1000</f>
        <v>96.712108999999998</v>
      </c>
      <c r="V21" s="10">
        <v>0</v>
      </c>
      <c r="W21">
        <v>0.09</v>
      </c>
      <c r="Y21" s="1">
        <f t="shared" si="1"/>
        <v>0.89442719099991586</v>
      </c>
      <c r="Z21" s="1">
        <f t="shared" si="2"/>
        <v>0.89442719099991586</v>
      </c>
      <c r="AA21">
        <f t="shared" si="3"/>
        <v>10</v>
      </c>
      <c r="AB21" s="5">
        <f t="shared" si="4"/>
        <v>0.15582008990903373</v>
      </c>
      <c r="AC21" s="15">
        <f t="shared" si="0"/>
        <v>12.27286768424031</v>
      </c>
    </row>
    <row r="22" spans="2:29" x14ac:dyDescent="0.25">
      <c r="B22" t="s">
        <v>116</v>
      </c>
      <c r="C22" t="s">
        <v>11</v>
      </c>
      <c r="D22" t="s">
        <v>333</v>
      </c>
      <c r="E22" t="s">
        <v>336</v>
      </c>
      <c r="F22" t="s">
        <v>6</v>
      </c>
      <c r="G22" t="s">
        <v>101</v>
      </c>
      <c r="H22" t="s">
        <v>34</v>
      </c>
      <c r="I22" t="s">
        <v>113</v>
      </c>
      <c r="J22">
        <v>0.16666700000000001</v>
      </c>
      <c r="K22" s="5">
        <v>0.16666700000000001</v>
      </c>
      <c r="L22" t="s">
        <v>114</v>
      </c>
      <c r="M22">
        <v>0</v>
      </c>
      <c r="N22">
        <v>0.9</v>
      </c>
      <c r="O22" s="1">
        <v>0.8</v>
      </c>
      <c r="P22">
        <v>10</v>
      </c>
      <c r="Q22" s="74">
        <f>$Q$10</f>
        <v>3873.4092000000001</v>
      </c>
      <c r="R22" s="80">
        <f>$R$10</f>
        <v>1.800640759</v>
      </c>
      <c r="S22" s="16">
        <v>0</v>
      </c>
      <c r="T22" s="17">
        <f>Capacity!C197*1000</f>
        <v>0</v>
      </c>
      <c r="U22" s="43">
        <f>Capacity!W197*1000</f>
        <v>145.06816400000002</v>
      </c>
      <c r="V22" s="10">
        <v>0</v>
      </c>
      <c r="W22">
        <v>0.09</v>
      </c>
      <c r="Y22" s="1">
        <f t="shared" si="1"/>
        <v>0.89442719099991586</v>
      </c>
      <c r="Z22" s="1">
        <f t="shared" si="2"/>
        <v>0.89442719099991586</v>
      </c>
      <c r="AA22">
        <f t="shared" si="3"/>
        <v>10</v>
      </c>
      <c r="AB22" s="5">
        <f t="shared" si="4"/>
        <v>0.15582008990903373</v>
      </c>
      <c r="AC22" s="15">
        <f t="shared" si="0"/>
        <v>11.555896034017159</v>
      </c>
    </row>
    <row r="23" spans="2:29" s="24" customFormat="1" x14ac:dyDescent="0.25">
      <c r="B23" s="24" t="s">
        <v>117</v>
      </c>
      <c r="C23" s="24" t="s">
        <v>11</v>
      </c>
      <c r="D23" s="24" t="s">
        <v>333</v>
      </c>
      <c r="E23" s="24" t="s">
        <v>365</v>
      </c>
      <c r="F23" s="24" t="s">
        <v>6</v>
      </c>
      <c r="G23" s="24" t="s">
        <v>101</v>
      </c>
      <c r="H23" s="24" t="s">
        <v>34</v>
      </c>
      <c r="I23" s="24" t="s">
        <v>113</v>
      </c>
      <c r="J23" s="24">
        <v>0.16666666699999999</v>
      </c>
      <c r="K23" s="44">
        <v>0.16666666699999999</v>
      </c>
      <c r="L23" s="24" t="s">
        <v>114</v>
      </c>
      <c r="M23" s="24">
        <v>0</v>
      </c>
      <c r="N23" s="24">
        <v>0.9</v>
      </c>
      <c r="O23" s="47">
        <v>0.75</v>
      </c>
      <c r="P23" s="24">
        <v>40</v>
      </c>
      <c r="Q23" s="75">
        <f>$Q$11</f>
        <v>50000</v>
      </c>
      <c r="R23" s="81">
        <f>$R$11</f>
        <v>1.9001303219999999</v>
      </c>
      <c r="S23" s="48">
        <f>Capacity!D88*1000</f>
        <v>11040</v>
      </c>
      <c r="T23" s="49">
        <f>Capacity!C198*1000</f>
        <v>0</v>
      </c>
      <c r="U23" s="54">
        <f>Capacity!W198*1000</f>
        <v>0</v>
      </c>
      <c r="V23" s="62">
        <v>0</v>
      </c>
      <c r="W23" s="24">
        <v>0.09</v>
      </c>
      <c r="X23" s="51"/>
      <c r="Y23" s="47">
        <f t="shared" si="1"/>
        <v>0.8660254037844386</v>
      </c>
      <c r="Z23" s="47">
        <f t="shared" si="2"/>
        <v>0.8660254037844386</v>
      </c>
      <c r="AA23" s="24">
        <f t="shared" si="3"/>
        <v>40</v>
      </c>
      <c r="AB23" s="44">
        <f t="shared" si="4"/>
        <v>9.2959609221097042E-2</v>
      </c>
      <c r="AC23" s="53">
        <f t="shared" si="0"/>
        <v>20.440386291649428</v>
      </c>
    </row>
    <row r="24" spans="2:29" x14ac:dyDescent="0.25">
      <c r="B24" t="s">
        <v>112</v>
      </c>
      <c r="C24" t="s">
        <v>8</v>
      </c>
      <c r="D24" t="s">
        <v>333</v>
      </c>
      <c r="E24" t="s">
        <v>334</v>
      </c>
      <c r="F24" t="s">
        <v>6</v>
      </c>
      <c r="G24" t="s">
        <v>101</v>
      </c>
      <c r="H24" t="s">
        <v>34</v>
      </c>
      <c r="I24" t="s">
        <v>113</v>
      </c>
      <c r="J24">
        <v>0.5</v>
      </c>
      <c r="K24" s="5">
        <v>0.5</v>
      </c>
      <c r="L24" t="s">
        <v>114</v>
      </c>
      <c r="M24">
        <v>0</v>
      </c>
      <c r="N24">
        <v>0.9</v>
      </c>
      <c r="O24" s="1">
        <v>0.8</v>
      </c>
      <c r="P24">
        <v>10</v>
      </c>
      <c r="Q24" s="74">
        <f>$Q$8</f>
        <v>3873.4092000000001</v>
      </c>
      <c r="R24" s="80">
        <f>$R$8</f>
        <v>2.247515108</v>
      </c>
      <c r="S24" s="16">
        <v>0</v>
      </c>
      <c r="T24" s="17">
        <f>Capacity!C199*1000</f>
        <v>0</v>
      </c>
      <c r="U24" s="43">
        <f>Capacity!W199*1000</f>
        <v>28.690189</v>
      </c>
      <c r="V24" s="10">
        <v>0</v>
      </c>
      <c r="W24">
        <v>0.09</v>
      </c>
      <c r="X24" s="41"/>
      <c r="Y24" s="1">
        <f t="shared" si="1"/>
        <v>0.89442719099991586</v>
      </c>
      <c r="Z24" s="1">
        <f t="shared" si="2"/>
        <v>0.89442719099991586</v>
      </c>
      <c r="AA24">
        <f t="shared" si="3"/>
        <v>10</v>
      </c>
      <c r="AB24" s="5">
        <f t="shared" si="4"/>
        <v>0.15582008990903373</v>
      </c>
      <c r="AC24" s="15">
        <f t="shared" si="0"/>
        <v>14.423782641327429</v>
      </c>
    </row>
    <row r="25" spans="2:29" x14ac:dyDescent="0.25">
      <c r="B25" t="s">
        <v>115</v>
      </c>
      <c r="C25" t="s">
        <v>8</v>
      </c>
      <c r="D25" t="s">
        <v>333</v>
      </c>
      <c r="E25" t="s">
        <v>335</v>
      </c>
      <c r="F25" t="s">
        <v>6</v>
      </c>
      <c r="G25" t="s">
        <v>101</v>
      </c>
      <c r="H25" t="s">
        <v>34</v>
      </c>
      <c r="I25" t="s">
        <v>113</v>
      </c>
      <c r="J25">
        <v>0.25</v>
      </c>
      <c r="K25" s="5">
        <v>0.25</v>
      </c>
      <c r="L25" t="s">
        <v>114</v>
      </c>
      <c r="M25">
        <v>0</v>
      </c>
      <c r="N25">
        <v>0.9</v>
      </c>
      <c r="O25" s="1">
        <v>0.8</v>
      </c>
      <c r="P25">
        <v>10</v>
      </c>
      <c r="Q25" s="74">
        <f>$Q$9</f>
        <v>3873.4092000000001</v>
      </c>
      <c r="R25" s="80">
        <f>$R$9</f>
        <v>1.9123593459999999</v>
      </c>
      <c r="S25" s="16">
        <v>0</v>
      </c>
      <c r="T25" s="17">
        <f>Capacity!C200*1000</f>
        <v>0</v>
      </c>
      <c r="U25" s="43">
        <f>Capacity!W200*1000</f>
        <v>57.380379000000005</v>
      </c>
      <c r="V25" s="10">
        <v>0</v>
      </c>
      <c r="W25">
        <v>0.09</v>
      </c>
      <c r="Y25" s="1">
        <f t="shared" si="1"/>
        <v>0.89442719099991586</v>
      </c>
      <c r="Z25" s="1">
        <f t="shared" si="2"/>
        <v>0.89442719099991586</v>
      </c>
      <c r="AA25">
        <f t="shared" si="3"/>
        <v>10</v>
      </c>
      <c r="AB25" s="5">
        <f t="shared" si="4"/>
        <v>0.15582008990903373</v>
      </c>
      <c r="AC25" s="15">
        <f t="shared" si="0"/>
        <v>12.27286768424031</v>
      </c>
    </row>
    <row r="26" spans="2:29" x14ac:dyDescent="0.25">
      <c r="B26" t="s">
        <v>116</v>
      </c>
      <c r="C26" t="s">
        <v>8</v>
      </c>
      <c r="D26" t="s">
        <v>333</v>
      </c>
      <c r="E26" t="s">
        <v>336</v>
      </c>
      <c r="F26" t="s">
        <v>6</v>
      </c>
      <c r="G26" t="s">
        <v>101</v>
      </c>
      <c r="H26" t="s">
        <v>34</v>
      </c>
      <c r="I26" t="s">
        <v>113</v>
      </c>
      <c r="J26">
        <v>0.16666700000000001</v>
      </c>
      <c r="K26" s="5">
        <v>0.16666700000000001</v>
      </c>
      <c r="L26" t="s">
        <v>114</v>
      </c>
      <c r="M26">
        <v>0</v>
      </c>
      <c r="N26">
        <v>0.9</v>
      </c>
      <c r="O26" s="1">
        <v>0.8</v>
      </c>
      <c r="P26">
        <v>10</v>
      </c>
      <c r="Q26" s="74">
        <f>$Q$10</f>
        <v>3873.4092000000001</v>
      </c>
      <c r="R26" s="80">
        <f>$R$10</f>
        <v>1.800640759</v>
      </c>
      <c r="S26" s="16">
        <v>0</v>
      </c>
      <c r="T26" s="17">
        <f>Capacity!C201*1000</f>
        <v>0</v>
      </c>
      <c r="U26" s="43">
        <f>Capacity!W201*1000</f>
        <v>86.070567999999994</v>
      </c>
      <c r="V26" s="10">
        <v>0</v>
      </c>
      <c r="W26">
        <v>0.09</v>
      </c>
      <c r="Y26" s="1">
        <f t="shared" si="1"/>
        <v>0.89442719099991586</v>
      </c>
      <c r="Z26" s="1">
        <f t="shared" si="2"/>
        <v>0.89442719099991586</v>
      </c>
      <c r="AA26">
        <f t="shared" si="3"/>
        <v>10</v>
      </c>
      <c r="AB26" s="5">
        <f t="shared" si="4"/>
        <v>0.15582008990903373</v>
      </c>
      <c r="AC26" s="15">
        <f t="shared" si="0"/>
        <v>11.555896034017159</v>
      </c>
    </row>
    <row r="27" spans="2:29" s="24" customFormat="1" x14ac:dyDescent="0.25">
      <c r="B27" s="24" t="s">
        <v>117</v>
      </c>
      <c r="C27" s="24" t="s">
        <v>8</v>
      </c>
      <c r="D27" s="24" t="s">
        <v>333</v>
      </c>
      <c r="E27" s="24" t="s">
        <v>365</v>
      </c>
      <c r="F27" s="24" t="s">
        <v>6</v>
      </c>
      <c r="G27" s="24" t="s">
        <v>101</v>
      </c>
      <c r="H27" s="24" t="s">
        <v>34</v>
      </c>
      <c r="I27" s="24" t="s">
        <v>113</v>
      </c>
      <c r="J27" s="24">
        <v>0.16666666699999999</v>
      </c>
      <c r="K27" s="44">
        <v>0.16666666699999999</v>
      </c>
      <c r="L27" s="24" t="s">
        <v>114</v>
      </c>
      <c r="M27" s="24">
        <v>0</v>
      </c>
      <c r="N27" s="24">
        <v>0.9</v>
      </c>
      <c r="O27" s="47">
        <v>0.75</v>
      </c>
      <c r="P27" s="24">
        <v>40</v>
      </c>
      <c r="Q27" s="75">
        <f>$Q$11</f>
        <v>50000</v>
      </c>
      <c r="R27" s="81">
        <f>$R$11</f>
        <v>1.9001303219999999</v>
      </c>
      <c r="S27" s="48">
        <f>Capacity!D89*1000</f>
        <v>12033.6</v>
      </c>
      <c r="T27" s="49">
        <f>Capacity!C202*1000</f>
        <v>0</v>
      </c>
      <c r="U27" s="54">
        <f>Capacity!W202*1000</f>
        <v>0</v>
      </c>
      <c r="V27" s="62">
        <v>0</v>
      </c>
      <c r="W27" s="24">
        <v>0.09</v>
      </c>
      <c r="X27" s="51"/>
      <c r="Y27" s="47">
        <f t="shared" si="1"/>
        <v>0.8660254037844386</v>
      </c>
      <c r="Z27" s="47">
        <f t="shared" si="2"/>
        <v>0.8660254037844386</v>
      </c>
      <c r="AA27" s="24">
        <f t="shared" si="3"/>
        <v>40</v>
      </c>
      <c r="AB27" s="44">
        <f t="shared" si="4"/>
        <v>9.2959609221097042E-2</v>
      </c>
      <c r="AC27" s="53">
        <f t="shared" si="0"/>
        <v>20.440386291649428</v>
      </c>
    </row>
    <row r="28" spans="2:29" s="57" customFormat="1" x14ac:dyDescent="0.25">
      <c r="B28" s="57" t="s">
        <v>112</v>
      </c>
      <c r="C28" s="57" t="s">
        <v>82</v>
      </c>
      <c r="D28" s="57" t="s">
        <v>333</v>
      </c>
      <c r="E28" s="57" t="s">
        <v>334</v>
      </c>
      <c r="F28" s="57" t="s">
        <v>6</v>
      </c>
      <c r="G28" s="57" t="s">
        <v>101</v>
      </c>
      <c r="H28" s="57" t="s">
        <v>34</v>
      </c>
      <c r="I28" s="57" t="s">
        <v>113</v>
      </c>
      <c r="J28" s="57">
        <v>0.5</v>
      </c>
      <c r="K28" s="63">
        <v>0.5</v>
      </c>
      <c r="L28" s="57" t="s">
        <v>114</v>
      </c>
      <c r="M28" s="57">
        <v>0</v>
      </c>
      <c r="N28" s="57">
        <v>0.9</v>
      </c>
      <c r="O28" s="64">
        <v>0.8</v>
      </c>
      <c r="P28" s="58">
        <f>AVERAGE(P8,P12,P16,P20,P24)</f>
        <v>10</v>
      </c>
      <c r="Q28" s="58">
        <f>AVERAGE(Q8,Q12,Q16,Q20,Q24)</f>
        <v>3873.4092000000005</v>
      </c>
      <c r="R28" s="65">
        <f>AVERAGE(R8,R12,R16,R20,R24)</f>
        <v>2.247515108</v>
      </c>
      <c r="S28" s="66">
        <f>S8+S12+S16+S20+S24</f>
        <v>0</v>
      </c>
      <c r="T28" s="66">
        <f t="shared" ref="T28:U28" si="5">T8+T12+T16+T20+T24</f>
        <v>0</v>
      </c>
      <c r="U28" s="66">
        <f t="shared" si="5"/>
        <v>200</v>
      </c>
      <c r="V28" s="58">
        <f>AVERAGE(V8,V12,V16,V20,V24)</f>
        <v>0</v>
      </c>
      <c r="W28" s="67">
        <f>AVERAGE(W8,W12,W16,W20,W24)</f>
        <v>0.09</v>
      </c>
      <c r="X28" s="42"/>
      <c r="Y28" s="64">
        <f>AVERAGE(Y8,Y12,Y16,Y20,Y24)</f>
        <v>0.89442719099991597</v>
      </c>
      <c r="Z28" s="64">
        <f>AVERAGE(Z8,Z12,Z16,Z20,Z24)</f>
        <v>0.89442719099991597</v>
      </c>
      <c r="AA28" s="64">
        <f t="shared" ref="AA28:AC31" si="6">AVERAGE(AA8,AA12,AA16,AA20,AA24)</f>
        <v>10</v>
      </c>
      <c r="AB28" s="64">
        <f t="shared" si="6"/>
        <v>0.15582008990903373</v>
      </c>
      <c r="AC28" s="64">
        <f t="shared" si="6"/>
        <v>14.423782641327429</v>
      </c>
    </row>
    <row r="29" spans="2:29" s="57" customFormat="1" x14ac:dyDescent="0.25">
      <c r="B29" s="57" t="s">
        <v>115</v>
      </c>
      <c r="C29" s="57" t="s">
        <v>82</v>
      </c>
      <c r="D29" s="57" t="s">
        <v>333</v>
      </c>
      <c r="E29" s="57" t="s">
        <v>335</v>
      </c>
      <c r="F29" s="57" t="s">
        <v>6</v>
      </c>
      <c r="G29" s="57" t="s">
        <v>101</v>
      </c>
      <c r="H29" s="57" t="s">
        <v>34</v>
      </c>
      <c r="I29" s="57" t="s">
        <v>113</v>
      </c>
      <c r="J29" s="57">
        <v>0.25</v>
      </c>
      <c r="K29" s="63">
        <v>0.25</v>
      </c>
      <c r="L29" s="57" t="s">
        <v>114</v>
      </c>
      <c r="M29" s="57">
        <v>0</v>
      </c>
      <c r="N29" s="57">
        <v>0.9</v>
      </c>
      <c r="O29" s="64">
        <v>0.8</v>
      </c>
      <c r="P29" s="58">
        <f t="shared" ref="P29:R31" si="7">AVERAGE(P9,P13,P17,P21,P25)</f>
        <v>10</v>
      </c>
      <c r="Q29" s="58">
        <f t="shared" si="7"/>
        <v>3873.4092000000005</v>
      </c>
      <c r="R29" s="65">
        <f t="shared" si="7"/>
        <v>1.9123593459999999</v>
      </c>
      <c r="S29" s="66">
        <f t="shared" ref="S29:U29" si="8">S9+S13+S17+S21+S25</f>
        <v>0</v>
      </c>
      <c r="T29" s="66">
        <f t="shared" si="8"/>
        <v>0</v>
      </c>
      <c r="U29" s="66">
        <f t="shared" si="8"/>
        <v>400.00000100000005</v>
      </c>
      <c r="V29" s="58">
        <f t="shared" ref="V29:W31" si="9">AVERAGE(V9,V13,V17,V21,V25)</f>
        <v>0</v>
      </c>
      <c r="W29" s="67">
        <f t="shared" si="9"/>
        <v>0.09</v>
      </c>
      <c r="X29" s="42"/>
      <c r="Y29" s="64">
        <f t="shared" ref="Y29:Z31" si="10">AVERAGE(Y9,Y13,Y17,Y21,Y25)</f>
        <v>0.89442719099991597</v>
      </c>
      <c r="Z29" s="64">
        <f t="shared" si="10"/>
        <v>0.89442719099991597</v>
      </c>
      <c r="AA29" s="64">
        <f t="shared" si="6"/>
        <v>10</v>
      </c>
      <c r="AB29" s="64">
        <f t="shared" si="6"/>
        <v>0.15582008990903373</v>
      </c>
      <c r="AC29" s="64">
        <f t="shared" si="6"/>
        <v>12.27286768424031</v>
      </c>
    </row>
    <row r="30" spans="2:29" s="57" customFormat="1" x14ac:dyDescent="0.25">
      <c r="B30" s="57" t="s">
        <v>116</v>
      </c>
      <c r="C30" s="57" t="s">
        <v>82</v>
      </c>
      <c r="D30" s="57" t="s">
        <v>333</v>
      </c>
      <c r="E30" s="57" t="s">
        <v>336</v>
      </c>
      <c r="F30" s="57" t="s">
        <v>6</v>
      </c>
      <c r="G30" s="57" t="s">
        <v>101</v>
      </c>
      <c r="H30" s="57" t="s">
        <v>34</v>
      </c>
      <c r="I30" s="57" t="s">
        <v>113</v>
      </c>
      <c r="J30" s="57">
        <v>0.16666700000000001</v>
      </c>
      <c r="K30" s="63">
        <v>0.16666700000000001</v>
      </c>
      <c r="L30" s="57" t="s">
        <v>114</v>
      </c>
      <c r="M30" s="57">
        <v>0</v>
      </c>
      <c r="N30" s="57">
        <v>0.9</v>
      </c>
      <c r="O30" s="64">
        <v>0.8</v>
      </c>
      <c r="P30" s="58">
        <f t="shared" si="7"/>
        <v>10</v>
      </c>
      <c r="Q30" s="58">
        <f t="shared" si="7"/>
        <v>3873.4092000000005</v>
      </c>
      <c r="R30" s="65">
        <f t="shared" si="7"/>
        <v>1.8006407589999998</v>
      </c>
      <c r="S30" s="66">
        <f t="shared" ref="S30:U30" si="11">S10+S14+S18+S22+S26</f>
        <v>0</v>
      </c>
      <c r="T30" s="66">
        <f t="shared" si="11"/>
        <v>0</v>
      </c>
      <c r="U30" s="66">
        <f t="shared" si="11"/>
        <v>599.99999999999989</v>
      </c>
      <c r="V30" s="58">
        <f t="shared" si="9"/>
        <v>0</v>
      </c>
      <c r="W30" s="67">
        <f t="shared" si="9"/>
        <v>0.09</v>
      </c>
      <c r="X30" s="42"/>
      <c r="Y30" s="64">
        <f t="shared" si="10"/>
        <v>0.89442719099991597</v>
      </c>
      <c r="Z30" s="64">
        <f t="shared" si="10"/>
        <v>0.89442719099991597</v>
      </c>
      <c r="AA30" s="64">
        <f t="shared" si="6"/>
        <v>10</v>
      </c>
      <c r="AB30" s="64">
        <f t="shared" si="6"/>
        <v>0.15582008990903373</v>
      </c>
      <c r="AC30" s="64">
        <f t="shared" si="6"/>
        <v>11.555896034017159</v>
      </c>
    </row>
    <row r="31" spans="2:29" s="60" customFormat="1" x14ac:dyDescent="0.25">
      <c r="B31" s="60" t="s">
        <v>117</v>
      </c>
      <c r="C31" s="60" t="s">
        <v>82</v>
      </c>
      <c r="D31" s="60" t="s">
        <v>333</v>
      </c>
      <c r="E31" s="60" t="s">
        <v>365</v>
      </c>
      <c r="F31" s="60" t="s">
        <v>6</v>
      </c>
      <c r="G31" s="60" t="s">
        <v>101</v>
      </c>
      <c r="H31" s="60" t="s">
        <v>34</v>
      </c>
      <c r="I31" s="60" t="s">
        <v>113</v>
      </c>
      <c r="J31" s="60">
        <v>0.16666666699999999</v>
      </c>
      <c r="K31" s="68">
        <v>0.16666666699999999</v>
      </c>
      <c r="L31" s="60" t="s">
        <v>114</v>
      </c>
      <c r="M31" s="60">
        <v>0</v>
      </c>
      <c r="N31" s="60">
        <v>0.9</v>
      </c>
      <c r="O31" s="69">
        <v>0.75</v>
      </c>
      <c r="P31" s="70">
        <f t="shared" si="7"/>
        <v>40</v>
      </c>
      <c r="Q31" s="70">
        <f t="shared" si="7"/>
        <v>50000</v>
      </c>
      <c r="R31" s="71">
        <f t="shared" si="7"/>
        <v>1.9001303219999996</v>
      </c>
      <c r="S31" s="72">
        <f t="shared" ref="S31:U31" si="12">S11+S15+S19+S23+S27</f>
        <v>28473.599999999999</v>
      </c>
      <c r="T31" s="72">
        <f t="shared" si="12"/>
        <v>0</v>
      </c>
      <c r="U31" s="72">
        <f t="shared" si="12"/>
        <v>0</v>
      </c>
      <c r="V31" s="70">
        <f t="shared" si="9"/>
        <v>0</v>
      </c>
      <c r="W31" s="73">
        <f t="shared" si="9"/>
        <v>0.09</v>
      </c>
      <c r="X31" s="51"/>
      <c r="Y31" s="69">
        <f t="shared" si="10"/>
        <v>0.8660254037844386</v>
      </c>
      <c r="Z31" s="69">
        <f t="shared" si="10"/>
        <v>0.8660254037844386</v>
      </c>
      <c r="AA31" s="69">
        <f t="shared" si="6"/>
        <v>40</v>
      </c>
      <c r="AB31" s="69">
        <f t="shared" si="6"/>
        <v>9.2959609221097042E-2</v>
      </c>
      <c r="AC31" s="69">
        <f t="shared" si="6"/>
        <v>20.440386291649428</v>
      </c>
    </row>
    <row r="38" spans="8:8" x14ac:dyDescent="0.25">
      <c r="H38" s="1"/>
    </row>
    <row r="39" spans="8:8" x14ac:dyDescent="0.25">
      <c r="H39" s="1"/>
    </row>
    <row r="40" spans="8:8" x14ac:dyDescent="0.25">
      <c r="H40" s="1"/>
    </row>
    <row r="41" spans="8:8" x14ac:dyDescent="0.25">
      <c r="H41" s="1"/>
    </row>
    <row r="42" spans="8:8" x14ac:dyDescent="0.25">
      <c r="H42" s="1"/>
    </row>
    <row r="43" spans="8:8" x14ac:dyDescent="0.25">
      <c r="H43" s="1"/>
    </row>
    <row r="44" spans="8:8" x14ac:dyDescent="0.25">
      <c r="H44" s="1"/>
    </row>
    <row r="45" spans="8:8" x14ac:dyDescent="0.25">
      <c r="H45" s="1"/>
    </row>
    <row r="46" spans="8:8" x14ac:dyDescent="0.25">
      <c r="H46" s="1"/>
    </row>
    <row r="47" spans="8:8" x14ac:dyDescent="0.25">
      <c r="H47" s="1"/>
    </row>
    <row r="48" spans="8:8" x14ac:dyDescent="0.25">
      <c r="H48" s="1"/>
    </row>
    <row r="49" spans="8:8" x14ac:dyDescent="0.25">
      <c r="H49" s="1"/>
    </row>
    <row r="50" spans="8:8" x14ac:dyDescent="0.25">
      <c r="H50" s="1"/>
    </row>
    <row r="51" spans="8:8" x14ac:dyDescent="0.25">
      <c r="H51" s="1"/>
    </row>
    <row r="52" spans="8:8" x14ac:dyDescent="0.25">
      <c r="H52" s="1"/>
    </row>
    <row r="53" spans="8:8" x14ac:dyDescent="0.25">
      <c r="H53" s="1"/>
    </row>
    <row r="54" spans="8:8" x14ac:dyDescent="0.25">
      <c r="H54" s="1"/>
    </row>
    <row r="55" spans="8:8" x14ac:dyDescent="0.25">
      <c r="H55" s="1"/>
    </row>
    <row r="56" spans="8:8" x14ac:dyDescent="0.25">
      <c r="H56" s="1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9DA8-C3F3-4A16-8A8B-822FE2EEA490}">
  <dimension ref="A1:S16"/>
  <sheetViews>
    <sheetView workbookViewId="0">
      <selection activeCell="Q15" sqref="Q15"/>
    </sheetView>
  </sheetViews>
  <sheetFormatPr defaultRowHeight="15" x14ac:dyDescent="0.25"/>
  <cols>
    <col min="1" max="1" width="20.42578125" bestFit="1" customWidth="1"/>
    <col min="2" max="2" width="15.7109375" bestFit="1" customWidth="1"/>
    <col min="3" max="3" width="8.28515625" customWidth="1"/>
    <col min="4" max="4" width="7.7109375" customWidth="1"/>
    <col min="5" max="5" width="5" bestFit="1" customWidth="1"/>
    <col min="6" max="6" width="17.28515625" bestFit="1" customWidth="1"/>
    <col min="7" max="7" width="10.42578125" bestFit="1" customWidth="1"/>
    <col min="8" max="8" width="13.5703125" customWidth="1"/>
    <col min="9" max="9" width="13.85546875" bestFit="1" customWidth="1"/>
    <col min="10" max="10" width="15.28515625" bestFit="1" customWidth="1"/>
    <col min="11" max="11" width="15.5703125" bestFit="1" customWidth="1"/>
    <col min="12" max="12" width="12" bestFit="1" customWidth="1"/>
    <col min="13" max="13" width="12.42578125" bestFit="1" customWidth="1"/>
    <col min="14" max="14" width="14.85546875" bestFit="1" customWidth="1"/>
    <col min="16" max="16" width="14.7109375" bestFit="1" customWidth="1"/>
    <col min="17" max="17" width="20.5703125" bestFit="1" customWidth="1"/>
    <col min="18" max="18" width="14.7109375" customWidth="1"/>
    <col min="19" max="19" width="16.7109375" bestFit="1" customWidth="1"/>
  </cols>
  <sheetData>
    <row r="1" spans="1:19" x14ac:dyDescent="0.25">
      <c r="A1" t="s">
        <v>146</v>
      </c>
      <c r="B1" t="s">
        <v>313</v>
      </c>
      <c r="C1" t="s">
        <v>313</v>
      </c>
      <c r="D1" t="s">
        <v>313</v>
      </c>
      <c r="E1" t="s">
        <v>313</v>
      </c>
      <c r="F1" t="s">
        <v>313</v>
      </c>
      <c r="G1" t="s">
        <v>313</v>
      </c>
      <c r="H1" t="s">
        <v>314</v>
      </c>
      <c r="I1" t="s">
        <v>314</v>
      </c>
      <c r="J1" t="s">
        <v>314</v>
      </c>
      <c r="K1" t="s">
        <v>314</v>
      </c>
      <c r="L1" t="s">
        <v>314</v>
      </c>
      <c r="M1" t="s">
        <v>314</v>
      </c>
      <c r="N1" t="s">
        <v>314</v>
      </c>
    </row>
    <row r="2" spans="1:19" x14ac:dyDescent="0.25">
      <c r="A2" t="s">
        <v>224</v>
      </c>
      <c r="B2" s="14" t="s">
        <v>52</v>
      </c>
      <c r="C2" s="14" t="s">
        <v>1</v>
      </c>
      <c r="D2" s="14" t="s">
        <v>2</v>
      </c>
      <c r="E2" s="14" t="s">
        <v>3</v>
      </c>
      <c r="F2" s="14" t="s">
        <v>133</v>
      </c>
      <c r="G2" s="14" t="s">
        <v>132</v>
      </c>
      <c r="H2" s="14" t="s">
        <v>139</v>
      </c>
      <c r="I2" s="14" t="s">
        <v>142</v>
      </c>
      <c r="J2" s="14" t="s">
        <v>138</v>
      </c>
      <c r="K2" s="14" t="s">
        <v>137</v>
      </c>
      <c r="L2" s="14" t="s">
        <v>136</v>
      </c>
      <c r="M2" s="14" t="s">
        <v>135</v>
      </c>
      <c r="N2" s="14" t="s">
        <v>134</v>
      </c>
    </row>
    <row r="3" spans="1:19" x14ac:dyDescent="0.25">
      <c r="A3" t="s">
        <v>83</v>
      </c>
      <c r="F3" t="s">
        <v>84</v>
      </c>
      <c r="G3" t="s">
        <v>85</v>
      </c>
      <c r="H3" t="s">
        <v>86</v>
      </c>
      <c r="I3" t="s">
        <v>315</v>
      </c>
      <c r="J3" t="s">
        <v>88</v>
      </c>
      <c r="K3" t="s">
        <v>89</v>
      </c>
      <c r="L3" t="s">
        <v>90</v>
      </c>
      <c r="M3" t="s">
        <v>91</v>
      </c>
      <c r="N3" t="s">
        <v>147</v>
      </c>
      <c r="P3" t="s">
        <v>93</v>
      </c>
      <c r="Q3" t="s">
        <v>94</v>
      </c>
      <c r="R3" t="s">
        <v>95</v>
      </c>
      <c r="S3" t="s">
        <v>96</v>
      </c>
    </row>
    <row r="4" spans="1:19" x14ac:dyDescent="0.25">
      <c r="A4" t="s">
        <v>155</v>
      </c>
      <c r="P4" t="s">
        <v>329</v>
      </c>
      <c r="Q4" t="s">
        <v>330</v>
      </c>
      <c r="R4" t="s">
        <v>331</v>
      </c>
      <c r="S4" t="s">
        <v>332</v>
      </c>
    </row>
    <row r="5" spans="1:19" x14ac:dyDescent="0.25">
      <c r="A5" t="s">
        <v>225</v>
      </c>
      <c r="P5" t="s">
        <v>323</v>
      </c>
      <c r="Q5" t="s">
        <v>325</v>
      </c>
      <c r="R5" t="s">
        <v>324</v>
      </c>
      <c r="S5" t="s">
        <v>326</v>
      </c>
    </row>
    <row r="6" spans="1:19" s="4" customFormat="1" ht="15.75" thickBot="1" x14ac:dyDescent="0.3">
      <c r="A6" s="4" t="s">
        <v>226</v>
      </c>
      <c r="D6" s="4" t="s">
        <v>227</v>
      </c>
      <c r="P6" s="4" t="s">
        <v>316</v>
      </c>
      <c r="Q6" s="4" t="s">
        <v>322</v>
      </c>
      <c r="R6" s="4" t="s">
        <v>316</v>
      </c>
      <c r="S6" s="4" t="s">
        <v>322</v>
      </c>
    </row>
    <row r="7" spans="1:19" s="6" customFormat="1" ht="16.5" thickTop="1" thickBot="1" x14ac:dyDescent="0.3">
      <c r="A7" s="55" t="s">
        <v>98</v>
      </c>
      <c r="F7" s="6" t="s">
        <v>319</v>
      </c>
      <c r="G7" s="6" t="s">
        <v>140</v>
      </c>
      <c r="H7" s="6" t="s">
        <v>99</v>
      </c>
      <c r="I7" s="6" t="s">
        <v>320</v>
      </c>
      <c r="J7" s="6" t="s">
        <v>99</v>
      </c>
      <c r="K7" s="6" t="s">
        <v>321</v>
      </c>
      <c r="L7" s="6" t="s">
        <v>320</v>
      </c>
      <c r="M7" s="6" t="s">
        <v>99</v>
      </c>
      <c r="N7" s="6" t="s">
        <v>320</v>
      </c>
      <c r="P7" s="6" t="s">
        <v>318</v>
      </c>
      <c r="Q7" s="6" t="s">
        <v>101</v>
      </c>
      <c r="R7" s="6" t="s">
        <v>317</v>
      </c>
    </row>
    <row r="8" spans="1:19" ht="15.75" thickTop="1" x14ac:dyDescent="0.25">
      <c r="B8" t="s">
        <v>59</v>
      </c>
      <c r="C8" t="s">
        <v>6</v>
      </c>
      <c r="E8">
        <v>2023</v>
      </c>
      <c r="F8" s="5">
        <v>270</v>
      </c>
      <c r="G8">
        <v>0</v>
      </c>
      <c r="H8">
        <v>0</v>
      </c>
      <c r="I8">
        <v>5449.5726500000001</v>
      </c>
      <c r="J8">
        <v>0</v>
      </c>
      <c r="K8">
        <v>0</v>
      </c>
      <c r="L8">
        <v>5449.5726500000001</v>
      </c>
      <c r="M8">
        <v>0</v>
      </c>
      <c r="N8">
        <v>0</v>
      </c>
      <c r="P8">
        <f>(I8*(1+J8)+K8*1000)/CarriersTech_characteristics!$G$5/Conversions!$D$2</f>
        <v>1.26082656703421E-3</v>
      </c>
      <c r="Q8" s="9">
        <f>F8*CarriersTech_characteristics!$G$5*Conversions!$D$2</f>
        <v>1167000009.336</v>
      </c>
      <c r="R8">
        <f>(L8*(1+M8)+N8*1000)/CarriersTech_characteristics!$J$5/Conversions!$D$2</f>
        <v>1.26082656703421E-3</v>
      </c>
      <c r="S8" s="9">
        <f>G8*CarriersTech_characteristics!$J$5*Conversions!$D$2</f>
        <v>0</v>
      </c>
    </row>
    <row r="9" spans="1:19" x14ac:dyDescent="0.25">
      <c r="B9" t="s">
        <v>38</v>
      </c>
      <c r="C9" t="s">
        <v>6</v>
      </c>
      <c r="E9">
        <v>2023</v>
      </c>
      <c r="F9" s="5">
        <v>175</v>
      </c>
      <c r="G9">
        <v>0</v>
      </c>
      <c r="H9">
        <v>0</v>
      </c>
      <c r="I9">
        <v>9000</v>
      </c>
      <c r="J9">
        <v>0.05</v>
      </c>
      <c r="K9">
        <v>0</v>
      </c>
      <c r="L9">
        <v>9000</v>
      </c>
      <c r="M9">
        <v>0.05</v>
      </c>
      <c r="N9">
        <v>0</v>
      </c>
      <c r="P9">
        <f>(I9*(1+J9)+K9*1000)/CarriersTech_characteristics!$G$7/Conversions!$D$2</f>
        <v>2.4924961160316295E-3</v>
      </c>
      <c r="Q9" s="9">
        <f>F9*CarriersTech_characteristics!$G$7*Conversions!$D$2</f>
        <v>663491505.30793202</v>
      </c>
      <c r="R9">
        <f>(L9*(1+M9)+N9*1000)/CarriersTech_characteristics!$J$7/Conversions!$D$2</f>
        <v>2.4924961160316295E-3</v>
      </c>
      <c r="S9" s="9">
        <f>G9*CarriersTech_characteristics!$J$7*Conversions!$D$2</f>
        <v>0</v>
      </c>
    </row>
    <row r="10" spans="1:19" x14ac:dyDescent="0.25">
      <c r="B10" t="s">
        <v>35</v>
      </c>
      <c r="C10" t="s">
        <v>6</v>
      </c>
      <c r="E10">
        <v>2023</v>
      </c>
      <c r="F10" s="5">
        <v>33.648000000000003</v>
      </c>
      <c r="G10">
        <v>200</v>
      </c>
      <c r="H10">
        <v>0.36749121400000001</v>
      </c>
      <c r="I10">
        <v>23859.030780000001</v>
      </c>
      <c r="J10">
        <v>0.24</v>
      </c>
      <c r="K10">
        <v>0</v>
      </c>
      <c r="L10">
        <v>54880.30558</v>
      </c>
      <c r="M10">
        <v>0.34899999999999998</v>
      </c>
      <c r="N10">
        <v>0</v>
      </c>
      <c r="P10">
        <f>(I10*(1+J10)+K10*1000)/Conversions!$D$3/CarriersTech_characteristics!$G$3/Conversions!$D$2</f>
        <v>3.4095551877522841E-3</v>
      </c>
      <c r="Q10" s="9">
        <f>F10*CarriersTech_characteristics!$G$3*Conversions!$D$2*(1-H10)</f>
        <v>222765558.27523467</v>
      </c>
      <c r="R10">
        <f>(L10*(1+M10)+N10*1000)/Conversions!$D$3/CarriersTech_characteristics!$J$3/Conversions!$D$2</f>
        <v>8.5320170054995932E-3</v>
      </c>
      <c r="S10" s="9">
        <f>G10*CarriersTech_characteristics!$J$3*Conversions!$D$2</f>
        <v>2093400016.7472003</v>
      </c>
    </row>
    <row r="11" spans="1:19" x14ac:dyDescent="0.25">
      <c r="B11" t="s">
        <v>33</v>
      </c>
      <c r="C11" t="s">
        <v>6</v>
      </c>
      <c r="D11" t="s">
        <v>12</v>
      </c>
      <c r="E11">
        <v>2023</v>
      </c>
      <c r="F11" s="5">
        <v>30.747</v>
      </c>
      <c r="G11">
        <v>0</v>
      </c>
      <c r="H11">
        <v>0</v>
      </c>
      <c r="I11">
        <v>1156.3734260000001</v>
      </c>
      <c r="J11">
        <v>0.3508</v>
      </c>
      <c r="K11">
        <v>0</v>
      </c>
      <c r="L11">
        <v>13197.14097</v>
      </c>
      <c r="M11">
        <v>0.20499999999999999</v>
      </c>
      <c r="N11">
        <v>0</v>
      </c>
      <c r="P11" s="56">
        <f>(I11*(1+J11)+K11*1000)/CarriersTech_characteristics!$G$2/Conversions!$D$2</f>
        <v>3.267997813018816E-4</v>
      </c>
      <c r="Q11" s="9">
        <f>F11*CarriersTech_characteristics!$G$2*Conversions!$D$2</f>
        <v>146963723.02975145</v>
      </c>
      <c r="R11">
        <f>(L11*(1+M11)+N11*1000)/CarriersTech_characteristics!$J$2/Conversions!$D$2</f>
        <v>2.5321732972882331E-3</v>
      </c>
      <c r="S11" s="9">
        <f>G11*CarriersTech_characteristics!$J$2*Conversions!$D$2</f>
        <v>0</v>
      </c>
    </row>
    <row r="12" spans="1:19" x14ac:dyDescent="0.25">
      <c r="B12" t="s">
        <v>33</v>
      </c>
      <c r="C12" t="s">
        <v>6</v>
      </c>
      <c r="D12" t="s">
        <v>9</v>
      </c>
      <c r="E12">
        <v>2023</v>
      </c>
      <c r="F12" s="5">
        <v>0</v>
      </c>
      <c r="G12">
        <v>0</v>
      </c>
      <c r="H12">
        <v>0</v>
      </c>
      <c r="I12">
        <v>1156.3734260000001</v>
      </c>
      <c r="J12">
        <v>0.3508</v>
      </c>
      <c r="K12">
        <v>0</v>
      </c>
      <c r="L12">
        <v>13197.14097</v>
      </c>
      <c r="M12">
        <v>0.20499999999999999</v>
      </c>
      <c r="N12">
        <v>0</v>
      </c>
      <c r="P12" s="56">
        <f>(I12*(1+J12)+K12*1000)/CarriersTech_characteristics!$G$2/Conversions!$D$2</f>
        <v>3.267997813018816E-4</v>
      </c>
      <c r="Q12" s="9">
        <f>F12*CarriersTech_characteristics!$G$2*Conversions!$D$2</f>
        <v>0</v>
      </c>
      <c r="R12">
        <f>(L12*(1+M12)+N12*1000)/CarriersTech_characteristics!$J$2/Conversions!$D$2</f>
        <v>2.5321732972882331E-3</v>
      </c>
      <c r="S12" s="9">
        <f>G12*CarriersTech_characteristics!$J$2*Conversions!$D$2</f>
        <v>0</v>
      </c>
    </row>
    <row r="13" spans="1:19" x14ac:dyDescent="0.25">
      <c r="B13" t="s">
        <v>33</v>
      </c>
      <c r="C13" t="s">
        <v>6</v>
      </c>
      <c r="D13" t="s">
        <v>10</v>
      </c>
      <c r="E13">
        <v>2023</v>
      </c>
      <c r="F13" s="5">
        <v>395.28899999999999</v>
      </c>
      <c r="G13">
        <v>150</v>
      </c>
      <c r="H13">
        <v>0</v>
      </c>
      <c r="I13">
        <v>1156.3734260000001</v>
      </c>
      <c r="J13">
        <v>0.3508</v>
      </c>
      <c r="K13">
        <v>0</v>
      </c>
      <c r="L13">
        <v>13197.14097</v>
      </c>
      <c r="M13">
        <v>0.20499999999999999</v>
      </c>
      <c r="N13">
        <v>0</v>
      </c>
      <c r="P13" s="56">
        <f>(I13*(1+J13)+K13*1000)/CarriersTech_characteristics!$G$2/Conversions!$D$2</f>
        <v>3.267997813018816E-4</v>
      </c>
      <c r="Q13" s="9">
        <f>F13*CarriersTech_characteristics!$G$2*Conversions!$D$2</f>
        <v>1889392237.0542631</v>
      </c>
      <c r="R13">
        <f>(L13*(1+M13)+N13*1000)/CarriersTech_characteristics!$J$2/Conversions!$D$2</f>
        <v>2.5321732972882331E-3</v>
      </c>
      <c r="S13" s="9">
        <f>G13*CarriersTech_characteristics!$J$2*Conversions!$D$2</f>
        <v>942030007.53624022</v>
      </c>
    </row>
    <row r="14" spans="1:19" x14ac:dyDescent="0.25">
      <c r="B14" t="s">
        <v>33</v>
      </c>
      <c r="C14" t="s">
        <v>6</v>
      </c>
      <c r="D14" t="s">
        <v>11</v>
      </c>
      <c r="E14">
        <v>2023</v>
      </c>
      <c r="F14" s="5">
        <v>406.85700000000003</v>
      </c>
      <c r="G14">
        <v>150</v>
      </c>
      <c r="H14">
        <v>0</v>
      </c>
      <c r="I14">
        <v>1156.3734260000001</v>
      </c>
      <c r="J14">
        <v>0.3508</v>
      </c>
      <c r="K14">
        <v>0</v>
      </c>
      <c r="L14">
        <v>13197.14097</v>
      </c>
      <c r="M14">
        <v>0.20499999999999999</v>
      </c>
      <c r="N14">
        <v>0</v>
      </c>
      <c r="P14" s="56">
        <f>(I14*(1+J14)+K14*1000)/CarriersTech_characteristics!$G$2/Conversions!$D$2</f>
        <v>3.267997813018816E-4</v>
      </c>
      <c r="Q14" s="9">
        <f>F14*CarriersTech_characteristics!$G$2*Conversions!$D$2</f>
        <v>1944684667.1452694</v>
      </c>
      <c r="R14">
        <f>(L14*(1+M14)+N14*1000)/CarriersTech_characteristics!$J$2/Conversions!$D$2</f>
        <v>2.5321732972882331E-3</v>
      </c>
      <c r="S14" s="9">
        <f>G14*CarriersTech_characteristics!$J$2*Conversions!$D$2</f>
        <v>942030007.53624022</v>
      </c>
    </row>
    <row r="15" spans="1:19" x14ac:dyDescent="0.25">
      <c r="B15" t="s">
        <v>33</v>
      </c>
      <c r="C15" t="s">
        <v>6</v>
      </c>
      <c r="D15" t="s">
        <v>8</v>
      </c>
      <c r="E15">
        <v>2023</v>
      </c>
      <c r="F15" s="5">
        <v>91.156000000000006</v>
      </c>
      <c r="G15">
        <v>150</v>
      </c>
      <c r="H15">
        <v>0</v>
      </c>
      <c r="I15">
        <v>1156.3734260000001</v>
      </c>
      <c r="J15">
        <v>0.3508</v>
      </c>
      <c r="K15">
        <v>0</v>
      </c>
      <c r="L15">
        <v>13197.14097</v>
      </c>
      <c r="M15">
        <v>0.20499999999999999</v>
      </c>
      <c r="N15">
        <v>0</v>
      </c>
      <c r="P15" s="56">
        <f>(I15*(1+J15)+K15*1000)/CarriersTech_characteristics!$G$2/Conversions!$D$2</f>
        <v>3.267997813018816E-4</v>
      </c>
      <c r="Q15" s="9">
        <f>F15*CarriersTech_characteristics!$G$2*Conversions!$D$2</f>
        <v>435705113.8810299</v>
      </c>
      <c r="R15">
        <f>(L15*(1+M15)+N15*1000)/CarriersTech_characteristics!$J$2/Conversions!$D$2</f>
        <v>2.5321732972882331E-3</v>
      </c>
      <c r="S15" s="9">
        <f>G15*CarriersTech_characteristics!$J$2*Conversions!$D$2</f>
        <v>942030007.53624022</v>
      </c>
    </row>
    <row r="16" spans="1:19" s="57" customFormat="1" x14ac:dyDescent="0.25">
      <c r="B16" s="57" t="s">
        <v>33</v>
      </c>
      <c r="C16" s="57" t="s">
        <v>6</v>
      </c>
      <c r="D16" s="57" t="s">
        <v>82</v>
      </c>
      <c r="E16" s="57">
        <v>2023</v>
      </c>
      <c r="Q16" s="58">
        <f>SUM(Q11:Q15)</f>
        <v>4416745741.1103144</v>
      </c>
      <c r="S16" s="58">
        <f>SUM(S11:S15)</f>
        <v>2826090022.6087208</v>
      </c>
    </row>
  </sheetData>
  <sortState xmlns:xlrd2="http://schemas.microsoft.com/office/spreadsheetml/2017/richdata2" ref="B8:G15">
    <sortCondition ref="B8:B15"/>
  </sortState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25C07-56D0-4F91-84F0-7F5379189A75}">
  <dimension ref="A1:S16"/>
  <sheetViews>
    <sheetView tabSelected="1" workbookViewId="0">
      <selection activeCell="Q15" sqref="Q15"/>
    </sheetView>
  </sheetViews>
  <sheetFormatPr defaultRowHeight="15" x14ac:dyDescent="0.25"/>
  <cols>
    <col min="1" max="1" width="20.42578125" bestFit="1" customWidth="1"/>
    <col min="2" max="2" width="15.7109375" bestFit="1" customWidth="1"/>
    <col min="3" max="3" width="8.28515625" customWidth="1"/>
    <col min="4" max="4" width="7.7109375" customWidth="1"/>
    <col min="5" max="5" width="5" bestFit="1" customWidth="1"/>
    <col min="6" max="6" width="17.28515625" bestFit="1" customWidth="1"/>
    <col min="7" max="7" width="10.42578125" bestFit="1" customWidth="1"/>
    <col min="8" max="8" width="13.5703125" customWidth="1"/>
    <col min="9" max="9" width="13.85546875" bestFit="1" customWidth="1"/>
    <col min="10" max="10" width="15.28515625" bestFit="1" customWidth="1"/>
    <col min="11" max="11" width="15.5703125" bestFit="1" customWidth="1"/>
    <col min="12" max="12" width="12" bestFit="1" customWidth="1"/>
    <col min="13" max="13" width="12.42578125" bestFit="1" customWidth="1"/>
    <col min="14" max="14" width="14.85546875" bestFit="1" customWidth="1"/>
    <col min="16" max="16" width="14.7109375" bestFit="1" customWidth="1"/>
    <col min="17" max="17" width="20.5703125" bestFit="1" customWidth="1"/>
    <col min="18" max="18" width="14.7109375" customWidth="1"/>
    <col min="19" max="19" width="16.7109375" bestFit="1" customWidth="1"/>
  </cols>
  <sheetData>
    <row r="1" spans="1:19" x14ac:dyDescent="0.25">
      <c r="A1" t="s">
        <v>146</v>
      </c>
      <c r="B1" t="s">
        <v>313</v>
      </c>
      <c r="C1" t="s">
        <v>313</v>
      </c>
      <c r="D1" t="s">
        <v>313</v>
      </c>
      <c r="E1" t="s">
        <v>313</v>
      </c>
      <c r="F1" t="s">
        <v>313</v>
      </c>
      <c r="G1" t="s">
        <v>313</v>
      </c>
      <c r="H1" t="s">
        <v>314</v>
      </c>
      <c r="I1" t="s">
        <v>314</v>
      </c>
      <c r="J1" t="s">
        <v>314</v>
      </c>
      <c r="K1" t="s">
        <v>314</v>
      </c>
      <c r="L1" t="s">
        <v>314</v>
      </c>
      <c r="M1" t="s">
        <v>314</v>
      </c>
      <c r="N1" t="s">
        <v>314</v>
      </c>
    </row>
    <row r="2" spans="1:19" x14ac:dyDescent="0.25">
      <c r="A2" t="s">
        <v>224</v>
      </c>
      <c r="B2" s="14" t="s">
        <v>52</v>
      </c>
      <c r="C2" s="14" t="s">
        <v>1</v>
      </c>
      <c r="D2" s="14" t="s">
        <v>2</v>
      </c>
      <c r="E2" s="14" t="s">
        <v>3</v>
      </c>
      <c r="F2" s="14" t="s">
        <v>133</v>
      </c>
      <c r="G2" s="14" t="s">
        <v>132</v>
      </c>
      <c r="H2" s="14" t="s">
        <v>139</v>
      </c>
      <c r="I2" s="14" t="s">
        <v>142</v>
      </c>
      <c r="J2" s="14" t="s">
        <v>138</v>
      </c>
      <c r="K2" s="14" t="s">
        <v>137</v>
      </c>
      <c r="L2" s="14" t="s">
        <v>136</v>
      </c>
      <c r="M2" s="14" t="s">
        <v>135</v>
      </c>
      <c r="N2" s="14" t="s">
        <v>134</v>
      </c>
    </row>
    <row r="3" spans="1:19" x14ac:dyDescent="0.25">
      <c r="A3" t="s">
        <v>83</v>
      </c>
      <c r="F3" t="s">
        <v>84</v>
      </c>
      <c r="G3" t="s">
        <v>85</v>
      </c>
      <c r="H3" t="s">
        <v>86</v>
      </c>
      <c r="I3" t="s">
        <v>315</v>
      </c>
      <c r="J3" t="s">
        <v>88</v>
      </c>
      <c r="K3" t="s">
        <v>89</v>
      </c>
      <c r="L3" t="s">
        <v>90</v>
      </c>
      <c r="M3" t="s">
        <v>91</v>
      </c>
      <c r="N3" t="s">
        <v>147</v>
      </c>
      <c r="P3" t="s">
        <v>93</v>
      </c>
      <c r="Q3" t="s">
        <v>94</v>
      </c>
      <c r="R3" t="s">
        <v>95</v>
      </c>
      <c r="S3" t="s">
        <v>96</v>
      </c>
    </row>
    <row r="4" spans="1:19" x14ac:dyDescent="0.25">
      <c r="A4" t="s">
        <v>155</v>
      </c>
      <c r="P4" t="s">
        <v>329</v>
      </c>
      <c r="Q4" t="s">
        <v>330</v>
      </c>
      <c r="R4" t="s">
        <v>331</v>
      </c>
      <c r="S4" t="s">
        <v>332</v>
      </c>
    </row>
    <row r="5" spans="1:19" x14ac:dyDescent="0.25">
      <c r="A5" t="s">
        <v>225</v>
      </c>
      <c r="P5" t="s">
        <v>323</v>
      </c>
      <c r="Q5" t="s">
        <v>325</v>
      </c>
      <c r="R5" t="s">
        <v>324</v>
      </c>
      <c r="S5" t="s">
        <v>326</v>
      </c>
    </row>
    <row r="6" spans="1:19" s="4" customFormat="1" ht="15.75" thickBot="1" x14ac:dyDescent="0.3">
      <c r="A6" s="4" t="s">
        <v>226</v>
      </c>
      <c r="D6" s="4" t="s">
        <v>227</v>
      </c>
      <c r="P6" s="4" t="s">
        <v>316</v>
      </c>
      <c r="Q6" s="4" t="s">
        <v>322</v>
      </c>
      <c r="R6" s="4" t="s">
        <v>316</v>
      </c>
      <c r="S6" s="4" t="s">
        <v>322</v>
      </c>
    </row>
    <row r="7" spans="1:19" s="6" customFormat="1" ht="16.5" thickTop="1" thickBot="1" x14ac:dyDescent="0.3">
      <c r="A7" s="55" t="s">
        <v>98</v>
      </c>
      <c r="F7" s="6" t="s">
        <v>319</v>
      </c>
      <c r="G7" s="6" t="s">
        <v>140</v>
      </c>
      <c r="H7" s="6" t="s">
        <v>99</v>
      </c>
      <c r="I7" s="6" t="s">
        <v>320</v>
      </c>
      <c r="J7" s="6" t="s">
        <v>99</v>
      </c>
      <c r="K7" s="6" t="s">
        <v>321</v>
      </c>
      <c r="L7" s="6" t="s">
        <v>320</v>
      </c>
      <c r="M7" s="6" t="s">
        <v>99</v>
      </c>
      <c r="N7" s="6" t="s">
        <v>320</v>
      </c>
      <c r="P7" s="6" t="s">
        <v>318</v>
      </c>
      <c r="Q7" s="6" t="s">
        <v>101</v>
      </c>
      <c r="R7" s="6" t="s">
        <v>317</v>
      </c>
    </row>
    <row r="8" spans="1:19" ht="15.75" thickTop="1" x14ac:dyDescent="0.25">
      <c r="B8" t="s">
        <v>59</v>
      </c>
      <c r="C8" t="s">
        <v>6</v>
      </c>
      <c r="E8">
        <v>2024</v>
      </c>
      <c r="F8" s="5">
        <v>270</v>
      </c>
      <c r="G8">
        <v>0</v>
      </c>
      <c r="H8">
        <v>0</v>
      </c>
      <c r="I8">
        <v>5683.2535889999999</v>
      </c>
      <c r="J8">
        <v>0</v>
      </c>
      <c r="K8">
        <v>0</v>
      </c>
      <c r="L8">
        <v>5683.2535889999999</v>
      </c>
      <c r="M8">
        <v>0</v>
      </c>
      <c r="N8">
        <v>0</v>
      </c>
      <c r="P8">
        <f>(I8*(1+J8)+K8*1000)/CarriersTech_characteristics!$G$5/Conversions!$D$2</f>
        <v>1.3148915653420498E-3</v>
      </c>
      <c r="Q8" s="9">
        <f>F8*CarriersTech_characteristics!$G$5*Conversions!$D$2</f>
        <v>1167000009.336</v>
      </c>
      <c r="R8">
        <f>(L8*(1+M8)+N8*1000)/CarriersTech_characteristics!$J$5/Conversions!$D$2</f>
        <v>1.3148915653420498E-3</v>
      </c>
      <c r="S8" s="9">
        <f>G8*CarriersTech_characteristics!$J$5*Conversions!$D$2</f>
        <v>0</v>
      </c>
    </row>
    <row r="9" spans="1:19" x14ac:dyDescent="0.25">
      <c r="B9" t="s">
        <v>38</v>
      </c>
      <c r="C9" t="s">
        <v>6</v>
      </c>
      <c r="E9">
        <v>2024</v>
      </c>
      <c r="F9" s="5">
        <v>175</v>
      </c>
      <c r="G9">
        <v>0</v>
      </c>
      <c r="H9">
        <v>0</v>
      </c>
      <c r="I9">
        <v>9000</v>
      </c>
      <c r="J9">
        <v>0.05</v>
      </c>
      <c r="K9">
        <v>0</v>
      </c>
      <c r="L9">
        <v>9000</v>
      </c>
      <c r="M9">
        <v>0.05</v>
      </c>
      <c r="N9">
        <v>0</v>
      </c>
      <c r="P9">
        <f>(I9*(1+J9)+K9*1000)/CarriersTech_characteristics!$G$7/Conversions!$D$2</f>
        <v>2.4924961160316295E-3</v>
      </c>
      <c r="Q9" s="9">
        <f>F9*CarriersTech_characteristics!$G$7*Conversions!$D$2</f>
        <v>663491505.30793202</v>
      </c>
      <c r="R9">
        <f>(L9*(1+M9)+N9*1000)/CarriersTech_characteristics!$J$7/Conversions!$D$2</f>
        <v>2.4924961160316295E-3</v>
      </c>
      <c r="S9" s="9">
        <f>G9*CarriersTech_characteristics!$J$7*Conversions!$D$2</f>
        <v>0</v>
      </c>
    </row>
    <row r="10" spans="1:19" x14ac:dyDescent="0.25">
      <c r="B10" t="s">
        <v>35</v>
      </c>
      <c r="C10" t="s">
        <v>6</v>
      </c>
      <c r="E10">
        <v>2024</v>
      </c>
      <c r="F10" s="5">
        <v>34.320959999999999</v>
      </c>
      <c r="G10">
        <v>200</v>
      </c>
      <c r="H10">
        <v>0.36749121400000001</v>
      </c>
      <c r="I10">
        <v>24102</v>
      </c>
      <c r="J10">
        <v>0.24</v>
      </c>
      <c r="K10">
        <v>0</v>
      </c>
      <c r="L10">
        <v>35195.966509999998</v>
      </c>
      <c r="M10">
        <v>0.34899999999999998</v>
      </c>
      <c r="N10">
        <v>0</v>
      </c>
      <c r="P10">
        <f>(I10*(1+J10)+K10*1000)/Conversions!$D$3/CarriersTech_characteristics!$G$3/Conversions!$D$2</f>
        <v>3.4442765044794309E-3</v>
      </c>
      <c r="Q10" s="9">
        <f>F10*CarriersTech_characteristics!$G$3*Conversions!$D$2*(1-H10)</f>
        <v>227220869.4407393</v>
      </c>
      <c r="R10">
        <f>(L10*(1+M10)+N10*1000)/Conversions!$D$3/CarriersTech_characteristics!$J$3/Conversions!$D$2</f>
        <v>5.4717731910324773E-3</v>
      </c>
      <c r="S10" s="9">
        <f>G10*CarriersTech_characteristics!$J$3*Conversions!$D$2</f>
        <v>2093400016.7472003</v>
      </c>
    </row>
    <row r="11" spans="1:19" x14ac:dyDescent="0.25">
      <c r="B11" t="s">
        <v>33</v>
      </c>
      <c r="C11" t="s">
        <v>6</v>
      </c>
      <c r="D11" t="s">
        <v>12</v>
      </c>
      <c r="E11">
        <v>2024</v>
      </c>
      <c r="F11" s="5">
        <v>31.923199910000001</v>
      </c>
      <c r="G11">
        <v>0</v>
      </c>
      <c r="H11">
        <v>0</v>
      </c>
      <c r="I11">
        <v>1156.3734260000001</v>
      </c>
      <c r="J11">
        <v>0.3508</v>
      </c>
      <c r="K11">
        <v>0</v>
      </c>
      <c r="L11">
        <v>10095.812840000001</v>
      </c>
      <c r="M11">
        <v>0.20499999999999999</v>
      </c>
      <c r="N11">
        <v>0</v>
      </c>
      <c r="P11" s="56">
        <f>(I11*(1+J11)+K11*1000)/CarriersTech_characteristics!$G$2/Conversions!$D$2</f>
        <v>3.267997813018816E-4</v>
      </c>
      <c r="Q11" s="9">
        <f>F11*CarriersTech_characteristics!$G$2*Conversions!$D$2</f>
        <v>152585693.23175034</v>
      </c>
      <c r="R11">
        <f>(L11*(1+M11)+N11*1000)/CarriersTech_characteristics!$J$2/Conversions!$D$2</f>
        <v>1.937112572032159E-3</v>
      </c>
      <c r="S11" s="9">
        <f>G11*CarriersTech_characteristics!$J$2*Conversions!$D$2</f>
        <v>0</v>
      </c>
    </row>
    <row r="12" spans="1:19" x14ac:dyDescent="0.25">
      <c r="B12" t="s">
        <v>33</v>
      </c>
      <c r="C12" t="s">
        <v>6</v>
      </c>
      <c r="D12" t="s">
        <v>9</v>
      </c>
      <c r="E12">
        <v>2024</v>
      </c>
      <c r="F12" s="5">
        <v>0</v>
      </c>
      <c r="G12">
        <v>0</v>
      </c>
      <c r="H12">
        <v>0</v>
      </c>
      <c r="I12">
        <v>1156.3734260000001</v>
      </c>
      <c r="J12">
        <v>0.3508</v>
      </c>
      <c r="K12">
        <v>0</v>
      </c>
      <c r="L12">
        <v>10095.812840000001</v>
      </c>
      <c r="M12">
        <v>0.20499999999999999</v>
      </c>
      <c r="N12">
        <v>0</v>
      </c>
      <c r="P12" s="56">
        <f>(I12*(1+J12)+K12*1000)/CarriersTech_characteristics!$G$2/Conversions!$D$2</f>
        <v>3.267997813018816E-4</v>
      </c>
      <c r="Q12" s="9">
        <f>F12*CarriersTech_characteristics!$G$2*Conversions!$D$2</f>
        <v>0</v>
      </c>
      <c r="R12">
        <f>(L12*(1+M12)+N12*1000)/CarriersTech_characteristics!$J$2/Conversions!$D$2</f>
        <v>1.937112572032159E-3</v>
      </c>
      <c r="S12" s="9">
        <f>G12*CarriersTech_characteristics!$J$2*Conversions!$D$2</f>
        <v>0</v>
      </c>
    </row>
    <row r="13" spans="1:19" x14ac:dyDescent="0.25">
      <c r="B13" t="s">
        <v>33</v>
      </c>
      <c r="C13" t="s">
        <v>6</v>
      </c>
      <c r="D13" t="s">
        <v>10</v>
      </c>
      <c r="E13">
        <v>2024</v>
      </c>
      <c r="F13" s="5">
        <v>417.8480922</v>
      </c>
      <c r="G13">
        <v>150</v>
      </c>
      <c r="H13">
        <v>0</v>
      </c>
      <c r="I13">
        <v>1156.3734260000001</v>
      </c>
      <c r="J13">
        <v>0.3508</v>
      </c>
      <c r="K13">
        <v>0</v>
      </c>
      <c r="L13">
        <v>10095.812840000001</v>
      </c>
      <c r="M13">
        <v>0.20499999999999999</v>
      </c>
      <c r="N13">
        <v>0</v>
      </c>
      <c r="P13" s="56">
        <f>(I13*(1+J13)+K13*1000)/CarriersTech_characteristics!$G$2/Conversions!$D$2</f>
        <v>3.267997813018816E-4</v>
      </c>
      <c r="Q13" s="9">
        <f>F13*CarriersTech_characteristics!$G$2*Conversions!$D$2</f>
        <v>1997219608.111063</v>
      </c>
      <c r="R13">
        <f>(L13*(1+M13)+N13*1000)/CarriersTech_characteristics!$J$2/Conversions!$D$2</f>
        <v>1.937112572032159E-3</v>
      </c>
      <c r="S13" s="9">
        <f>G13*CarriersTech_characteristics!$J$2*Conversions!$D$2</f>
        <v>942030007.53624022</v>
      </c>
    </row>
    <row r="14" spans="1:19" x14ac:dyDescent="0.25">
      <c r="B14" t="s">
        <v>33</v>
      </c>
      <c r="C14" t="s">
        <v>6</v>
      </c>
      <c r="D14" t="s">
        <v>11</v>
      </c>
      <c r="E14">
        <v>2024</v>
      </c>
      <c r="F14" s="5">
        <v>429.33807350000001</v>
      </c>
      <c r="G14">
        <v>150</v>
      </c>
      <c r="H14">
        <v>0</v>
      </c>
      <c r="I14">
        <v>1156.3734260000001</v>
      </c>
      <c r="J14">
        <v>0.3508</v>
      </c>
      <c r="K14">
        <v>0</v>
      </c>
      <c r="L14">
        <v>10095.812840000001</v>
      </c>
      <c r="M14">
        <v>0.20499999999999999</v>
      </c>
      <c r="N14">
        <v>0</v>
      </c>
      <c r="P14" s="56">
        <f>(I14*(1+J14)+K14*1000)/CarriersTech_characteristics!$G$2/Conversions!$D$2</f>
        <v>3.267997813018816E-4</v>
      </c>
      <c r="Q14" s="9">
        <f>F14*CarriersTech_characteristics!$G$2*Conversions!$D$2</f>
        <v>2052139126.4182222</v>
      </c>
      <c r="R14">
        <f>(L14*(1+M14)+N14*1000)/CarriersTech_characteristics!$J$2/Conversions!$D$2</f>
        <v>1.937112572032159E-3</v>
      </c>
      <c r="S14" s="9">
        <f>G14*CarriersTech_characteristics!$J$2*Conversions!$D$2</f>
        <v>942030007.53624022</v>
      </c>
    </row>
    <row r="15" spans="1:19" x14ac:dyDescent="0.25">
      <c r="B15" t="s">
        <v>33</v>
      </c>
      <c r="C15" t="s">
        <v>6</v>
      </c>
      <c r="D15" t="s">
        <v>8</v>
      </c>
      <c r="E15">
        <v>2024</v>
      </c>
      <c r="F15" s="5">
        <v>91.773024770000006</v>
      </c>
      <c r="G15">
        <v>150</v>
      </c>
      <c r="H15">
        <v>0</v>
      </c>
      <c r="I15">
        <v>1156.3734260000001</v>
      </c>
      <c r="J15">
        <v>0.3508</v>
      </c>
      <c r="K15">
        <v>0</v>
      </c>
      <c r="L15">
        <v>10095.812840000001</v>
      </c>
      <c r="M15">
        <v>0.20499999999999999</v>
      </c>
      <c r="N15">
        <v>0</v>
      </c>
      <c r="P15" s="56">
        <f>(I15*(1+J15)+K15*1000)/CarriersTech_characteristics!$G$2/Conversions!$D$2</f>
        <v>3.267997813018816E-4</v>
      </c>
      <c r="Q15" s="9">
        <f>F15*CarriersTech_characteristics!$G$2*Conversions!$D$2</f>
        <v>438654353.07187051</v>
      </c>
      <c r="R15">
        <f>(L15*(1+M15)+N15*1000)/CarriersTech_characteristics!$J$2/Conversions!$D$2</f>
        <v>1.937112572032159E-3</v>
      </c>
      <c r="S15" s="9">
        <f>G15*CarriersTech_characteristics!$J$2*Conversions!$D$2</f>
        <v>942030007.53624022</v>
      </c>
    </row>
    <row r="16" spans="1:19" s="57" customFormat="1" x14ac:dyDescent="0.25">
      <c r="B16" s="57" t="s">
        <v>33</v>
      </c>
      <c r="C16" s="57" t="s">
        <v>6</v>
      </c>
      <c r="D16" s="57" t="s">
        <v>82</v>
      </c>
      <c r="E16" s="57">
        <v>2024</v>
      </c>
      <c r="P16" s="59">
        <f>AVERAGE(P11:P15)</f>
        <v>3.267997813018816E-4</v>
      </c>
      <c r="Q16" s="58">
        <f>SUM(Q11:Q15)</f>
        <v>4640598780.8329067</v>
      </c>
      <c r="R16" s="59">
        <f>AVERAGE(R11:R15)</f>
        <v>1.937112572032159E-3</v>
      </c>
      <c r="S16" s="58">
        <f>SUM(S11:S15)</f>
        <v>2826090022.6087208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Q76"/>
  <sheetViews>
    <sheetView topLeftCell="A46" workbookViewId="0">
      <selection activeCell="G57" sqref="G57"/>
    </sheetView>
  </sheetViews>
  <sheetFormatPr defaultRowHeight="15" x14ac:dyDescent="0.25"/>
  <cols>
    <col min="1" max="1" width="14.7109375" customWidth="1"/>
    <col min="4" max="4" width="20.42578125" customWidth="1"/>
    <col min="5" max="5" width="18" customWidth="1"/>
    <col min="6" max="6" width="12" bestFit="1" customWidth="1"/>
    <col min="7" max="7" width="16.7109375" customWidth="1"/>
    <col min="8" max="8" width="13" customWidth="1"/>
    <col min="11" max="11" width="16.7109375" bestFit="1" customWidth="1"/>
    <col min="12" max="12" width="12.7109375" bestFit="1" customWidth="1"/>
    <col min="13" max="13" width="13.140625" bestFit="1" customWidth="1"/>
    <col min="15" max="15" width="11.5703125" bestFit="1" customWidth="1"/>
    <col min="16" max="16" width="10" bestFit="1" customWidth="1"/>
  </cols>
  <sheetData>
    <row r="1" spans="1:16" x14ac:dyDescent="0.25">
      <c r="A1" t="s">
        <v>146</v>
      </c>
      <c r="B1" t="s">
        <v>373</v>
      </c>
      <c r="C1" t="s">
        <v>373</v>
      </c>
      <c r="D1" t="s">
        <v>373</v>
      </c>
      <c r="E1" t="s">
        <v>373</v>
      </c>
      <c r="F1" t="s">
        <v>373</v>
      </c>
      <c r="G1" t="s">
        <v>373</v>
      </c>
      <c r="H1" t="s">
        <v>373</v>
      </c>
      <c r="I1" t="s">
        <v>373</v>
      </c>
      <c r="L1" t="s">
        <v>388</v>
      </c>
      <c r="M1" t="s">
        <v>388</v>
      </c>
    </row>
    <row r="2" spans="1:16" x14ac:dyDescent="0.25">
      <c r="A2" t="s">
        <v>224</v>
      </c>
      <c r="B2" s="14" t="s">
        <v>52</v>
      </c>
      <c r="C2" s="14" t="s">
        <v>75</v>
      </c>
      <c r="D2" s="14" t="s">
        <v>76</v>
      </c>
      <c r="E2" s="14" t="s">
        <v>78</v>
      </c>
      <c r="F2" s="14" t="s">
        <v>3</v>
      </c>
      <c r="G2" s="14" t="s">
        <v>79</v>
      </c>
      <c r="H2" s="14" t="s">
        <v>80</v>
      </c>
      <c r="I2" s="14" t="s">
        <v>81</v>
      </c>
    </row>
    <row r="3" spans="1:16" x14ac:dyDescent="0.25">
      <c r="A3" t="s">
        <v>83</v>
      </c>
      <c r="G3" t="s">
        <v>84</v>
      </c>
      <c r="H3" t="s">
        <v>85</v>
      </c>
      <c r="I3" t="s">
        <v>86</v>
      </c>
      <c r="K3" t="s">
        <v>93</v>
      </c>
      <c r="L3" t="s">
        <v>94</v>
      </c>
      <c r="M3" t="s">
        <v>95</v>
      </c>
      <c r="N3" t="s">
        <v>96</v>
      </c>
    </row>
    <row r="4" spans="1:16" x14ac:dyDescent="0.25">
      <c r="A4" t="s">
        <v>155</v>
      </c>
      <c r="G4" t="s">
        <v>393</v>
      </c>
      <c r="H4" t="s">
        <v>379</v>
      </c>
      <c r="I4" t="s">
        <v>385</v>
      </c>
      <c r="L4" t="s">
        <v>389</v>
      </c>
      <c r="M4" t="s">
        <v>389</v>
      </c>
    </row>
    <row r="5" spans="1:16" x14ac:dyDescent="0.25">
      <c r="A5" t="s">
        <v>225</v>
      </c>
      <c r="K5" t="s">
        <v>394</v>
      </c>
      <c r="L5" t="s">
        <v>386</v>
      </c>
      <c r="M5" t="s">
        <v>387</v>
      </c>
    </row>
    <row r="6" spans="1:16" s="8" customFormat="1" x14ac:dyDescent="0.25">
      <c r="A6" s="24" t="s">
        <v>226</v>
      </c>
      <c r="D6" s="8" t="s">
        <v>374</v>
      </c>
      <c r="E6" s="8" t="s">
        <v>375</v>
      </c>
      <c r="F6" s="8" t="s">
        <v>3</v>
      </c>
      <c r="H6" s="8" t="s">
        <v>376</v>
      </c>
      <c r="K6" s="8" t="s">
        <v>276</v>
      </c>
      <c r="L6" s="8" t="s">
        <v>377</v>
      </c>
      <c r="M6" s="8" t="s">
        <v>239</v>
      </c>
      <c r="N6" s="8" t="s">
        <v>293</v>
      </c>
      <c r="O6" s="8" t="s">
        <v>391</v>
      </c>
      <c r="P6" s="8" t="s">
        <v>392</v>
      </c>
    </row>
    <row r="7" spans="1:16" x14ac:dyDescent="0.25">
      <c r="A7" t="str">
        <f>"distribution"</f>
        <v>distribution</v>
      </c>
      <c r="B7" t="s">
        <v>34</v>
      </c>
      <c r="C7" t="s">
        <v>6</v>
      </c>
      <c r="D7" t="s">
        <v>12</v>
      </c>
      <c r="E7" t="s">
        <v>12</v>
      </c>
      <c r="F7">
        <v>2024</v>
      </c>
      <c r="G7">
        <v>2.6248298320000001</v>
      </c>
      <c r="H7">
        <v>0.14930632299999999</v>
      </c>
      <c r="I7">
        <v>-1</v>
      </c>
      <c r="K7" s="56">
        <f>G7/1000</f>
        <v>2.6248298320000001E-3</v>
      </c>
      <c r="L7">
        <v>0</v>
      </c>
      <c r="M7" t="s">
        <v>381</v>
      </c>
      <c r="N7" t="s">
        <v>372</v>
      </c>
      <c r="O7" t="b">
        <v>1</v>
      </c>
      <c r="P7" t="b">
        <v>0</v>
      </c>
    </row>
    <row r="8" spans="1:16" x14ac:dyDescent="0.25">
      <c r="A8" t="str">
        <f>"distribution"</f>
        <v>distribution</v>
      </c>
      <c r="B8" t="s">
        <v>34</v>
      </c>
      <c r="C8" t="s">
        <v>6</v>
      </c>
      <c r="D8" t="s">
        <v>11</v>
      </c>
      <c r="E8" t="s">
        <v>11</v>
      </c>
      <c r="F8">
        <v>2024</v>
      </c>
      <c r="G8">
        <v>1.8783627890000001</v>
      </c>
      <c r="H8">
        <v>0.12258155699999999</v>
      </c>
      <c r="I8">
        <v>-1</v>
      </c>
      <c r="K8">
        <f t="shared" ref="K8:K31" si="0">G8/1000</f>
        <v>1.8783627890000001E-3</v>
      </c>
      <c r="L8">
        <v>0</v>
      </c>
      <c r="M8" t="s">
        <v>381</v>
      </c>
      <c r="N8" t="s">
        <v>372</v>
      </c>
      <c r="O8" t="b">
        <v>1</v>
      </c>
      <c r="P8" t="b">
        <v>0</v>
      </c>
    </row>
    <row r="9" spans="1:16" x14ac:dyDescent="0.25">
      <c r="A9" t="str">
        <f>"distribution"</f>
        <v>distribution</v>
      </c>
      <c r="B9" t="s">
        <v>34</v>
      </c>
      <c r="C9" t="s">
        <v>6</v>
      </c>
      <c r="D9" t="s">
        <v>8</v>
      </c>
      <c r="E9" t="s">
        <v>8</v>
      </c>
      <c r="F9">
        <v>2024</v>
      </c>
      <c r="G9">
        <v>2.8361182519999999</v>
      </c>
      <c r="H9">
        <v>0.106457711</v>
      </c>
      <c r="I9">
        <v>-1</v>
      </c>
      <c r="K9">
        <f t="shared" si="0"/>
        <v>2.8361182519999997E-3</v>
      </c>
      <c r="L9">
        <v>0</v>
      </c>
      <c r="M9" t="s">
        <v>381</v>
      </c>
      <c r="N9" t="s">
        <v>372</v>
      </c>
      <c r="O9" t="b">
        <v>1</v>
      </c>
      <c r="P9" t="b">
        <v>0</v>
      </c>
    </row>
    <row r="10" spans="1:16" x14ac:dyDescent="0.25">
      <c r="A10" t="str">
        <f>"distribution"</f>
        <v>distribution</v>
      </c>
      <c r="B10" t="s">
        <v>34</v>
      </c>
      <c r="C10" t="s">
        <v>6</v>
      </c>
      <c r="D10" t="s">
        <v>10</v>
      </c>
      <c r="E10" t="s">
        <v>10</v>
      </c>
      <c r="F10">
        <v>2024</v>
      </c>
      <c r="G10">
        <v>1.827294889</v>
      </c>
      <c r="H10">
        <v>0.17367141</v>
      </c>
      <c r="I10">
        <v>-1</v>
      </c>
      <c r="K10">
        <f t="shared" si="0"/>
        <v>1.8272948890000001E-3</v>
      </c>
      <c r="L10">
        <v>0</v>
      </c>
      <c r="M10" t="s">
        <v>381</v>
      </c>
      <c r="N10" t="s">
        <v>372</v>
      </c>
      <c r="O10" t="b">
        <v>1</v>
      </c>
      <c r="P10" t="b">
        <v>0</v>
      </c>
    </row>
    <row r="11" spans="1:16" s="24" customFormat="1" x14ac:dyDescent="0.25">
      <c r="A11" s="24" t="str">
        <f>"distribution"</f>
        <v>distribution</v>
      </c>
      <c r="B11" s="24" t="s">
        <v>34</v>
      </c>
      <c r="C11" s="24" t="s">
        <v>6</v>
      </c>
      <c r="D11" s="24" t="s">
        <v>9</v>
      </c>
      <c r="E11" s="24" t="s">
        <v>9</v>
      </c>
      <c r="F11" s="24">
        <v>2024</v>
      </c>
      <c r="G11" s="24">
        <v>4.6461250850000004</v>
      </c>
      <c r="H11" s="24">
        <v>0.15154467499999999</v>
      </c>
      <c r="I11" s="24">
        <v>-1</v>
      </c>
      <c r="K11" s="24">
        <f t="shared" si="0"/>
        <v>4.6461250850000002E-3</v>
      </c>
      <c r="L11" s="24">
        <v>0</v>
      </c>
      <c r="M11" s="24" t="s">
        <v>381</v>
      </c>
      <c r="N11" s="24" t="s">
        <v>372</v>
      </c>
      <c r="O11" s="24" t="b">
        <v>1</v>
      </c>
      <c r="P11" s="24" t="b">
        <v>0</v>
      </c>
    </row>
    <row r="12" spans="1:16" x14ac:dyDescent="0.25">
      <c r="A12" t="s">
        <v>390</v>
      </c>
      <c r="B12" t="s">
        <v>34</v>
      </c>
      <c r="C12" t="s">
        <v>6</v>
      </c>
      <c r="D12" t="s">
        <v>12</v>
      </c>
      <c r="E12" t="s">
        <v>11</v>
      </c>
      <c r="F12">
        <v>2024</v>
      </c>
      <c r="G12">
        <v>0.50994571399999999</v>
      </c>
      <c r="H12">
        <v>3.5000000000000003E-2</v>
      </c>
      <c r="I12">
        <v>36.72</v>
      </c>
      <c r="K12">
        <f t="shared" si="0"/>
        <v>5.09945714E-4</v>
      </c>
      <c r="L12">
        <f>I12*1000</f>
        <v>36720</v>
      </c>
      <c r="M12">
        <f>I12*1000</f>
        <v>36720</v>
      </c>
      <c r="N12" t="s">
        <v>372</v>
      </c>
      <c r="O12" t="b">
        <v>1</v>
      </c>
      <c r="P12" t="b">
        <v>0</v>
      </c>
    </row>
    <row r="13" spans="1:16" x14ac:dyDescent="0.25">
      <c r="A13" t="s">
        <v>390</v>
      </c>
      <c r="B13" t="s">
        <v>34</v>
      </c>
      <c r="C13" t="s">
        <v>6</v>
      </c>
      <c r="D13" t="s">
        <v>11</v>
      </c>
      <c r="E13" t="s">
        <v>8</v>
      </c>
      <c r="F13">
        <v>2024</v>
      </c>
      <c r="G13">
        <v>0.50994571399999999</v>
      </c>
      <c r="H13">
        <v>3.5000000000000003E-2</v>
      </c>
      <c r="I13">
        <v>22.32</v>
      </c>
      <c r="K13">
        <f t="shared" si="0"/>
        <v>5.09945714E-4</v>
      </c>
      <c r="L13" s="89">
        <f>I13*1000-4200</f>
        <v>18120</v>
      </c>
      <c r="M13" s="89">
        <f>I13*1000-4200</f>
        <v>18120</v>
      </c>
      <c r="N13" t="s">
        <v>372</v>
      </c>
      <c r="O13" t="b">
        <v>1</v>
      </c>
      <c r="P13" t="b">
        <v>0</v>
      </c>
    </row>
    <row r="14" spans="1:16" x14ac:dyDescent="0.25">
      <c r="A14" t="s">
        <v>390</v>
      </c>
      <c r="B14" t="s">
        <v>34</v>
      </c>
      <c r="C14" t="s">
        <v>6</v>
      </c>
      <c r="D14" t="s">
        <v>8</v>
      </c>
      <c r="E14" t="s">
        <v>10</v>
      </c>
      <c r="F14">
        <v>2024</v>
      </c>
      <c r="G14">
        <v>0.50994571399999999</v>
      </c>
      <c r="H14">
        <v>3.5000000000000003E-2</v>
      </c>
      <c r="I14">
        <v>5.83</v>
      </c>
      <c r="K14">
        <f t="shared" si="0"/>
        <v>5.09945714E-4</v>
      </c>
      <c r="L14">
        <f t="shared" ref="L14:L30" si="1">I14*1000</f>
        <v>5830</v>
      </c>
      <c r="M14">
        <f t="shared" ref="M14:M30" si="2">I14*1000</f>
        <v>5830</v>
      </c>
      <c r="N14" t="s">
        <v>372</v>
      </c>
      <c r="O14" t="b">
        <v>1</v>
      </c>
      <c r="P14" t="b">
        <v>0</v>
      </c>
    </row>
    <row r="15" spans="1:16" x14ac:dyDescent="0.25">
      <c r="A15" t="s">
        <v>390</v>
      </c>
      <c r="B15" t="s">
        <v>34</v>
      </c>
      <c r="C15" t="s">
        <v>6</v>
      </c>
      <c r="D15" t="s">
        <v>10</v>
      </c>
      <c r="E15" t="s">
        <v>9</v>
      </c>
      <c r="F15">
        <v>2024</v>
      </c>
      <c r="G15">
        <v>0.50994571399999999</v>
      </c>
      <c r="H15">
        <v>3.5000000000000003E-2</v>
      </c>
      <c r="I15">
        <v>2.95</v>
      </c>
      <c r="K15">
        <f t="shared" si="0"/>
        <v>5.09945714E-4</v>
      </c>
      <c r="L15" s="89">
        <f>I15*1000-90</f>
        <v>2860</v>
      </c>
      <c r="M15" s="89">
        <f>I15*1000-90</f>
        <v>2860</v>
      </c>
      <c r="N15" t="s">
        <v>372</v>
      </c>
      <c r="O15" t="b">
        <v>1</v>
      </c>
      <c r="P15" t="b">
        <v>0</v>
      </c>
    </row>
    <row r="16" spans="1:16" x14ac:dyDescent="0.25">
      <c r="A16" t="s">
        <v>390</v>
      </c>
      <c r="B16" t="s">
        <v>34</v>
      </c>
      <c r="C16" t="s">
        <v>6</v>
      </c>
      <c r="D16" t="s">
        <v>9</v>
      </c>
      <c r="E16" t="s">
        <v>12</v>
      </c>
      <c r="F16">
        <v>2024</v>
      </c>
      <c r="G16">
        <v>0.50994571399999999</v>
      </c>
      <c r="H16">
        <v>3.5000000000000003E-2</v>
      </c>
      <c r="I16">
        <v>3</v>
      </c>
      <c r="K16">
        <f t="shared" si="0"/>
        <v>5.09945714E-4</v>
      </c>
      <c r="L16">
        <f t="shared" si="1"/>
        <v>3000</v>
      </c>
      <c r="M16">
        <f t="shared" si="2"/>
        <v>3000</v>
      </c>
      <c r="N16" t="s">
        <v>372</v>
      </c>
      <c r="O16" t="b">
        <v>1</v>
      </c>
      <c r="P16" t="b">
        <v>0</v>
      </c>
    </row>
    <row r="17" spans="1:16" x14ac:dyDescent="0.25">
      <c r="A17" t="s">
        <v>390</v>
      </c>
      <c r="B17" t="s">
        <v>34</v>
      </c>
      <c r="C17" t="s">
        <v>6</v>
      </c>
      <c r="D17" t="s">
        <v>12</v>
      </c>
      <c r="E17" t="s">
        <v>8</v>
      </c>
      <c r="F17">
        <v>2024</v>
      </c>
      <c r="G17">
        <v>0.50994571399999999</v>
      </c>
      <c r="H17">
        <v>3.5000000000000003E-2</v>
      </c>
      <c r="I17">
        <v>0</v>
      </c>
      <c r="K17">
        <f t="shared" si="0"/>
        <v>5.09945714E-4</v>
      </c>
      <c r="L17">
        <f t="shared" si="1"/>
        <v>0</v>
      </c>
      <c r="M17">
        <f t="shared" si="2"/>
        <v>0</v>
      </c>
      <c r="N17" t="s">
        <v>372</v>
      </c>
      <c r="O17" t="b">
        <v>1</v>
      </c>
      <c r="P17" t="b">
        <v>0</v>
      </c>
    </row>
    <row r="18" spans="1:16" x14ac:dyDescent="0.25">
      <c r="A18" t="s">
        <v>390</v>
      </c>
      <c r="B18" t="s">
        <v>34</v>
      </c>
      <c r="C18" t="s">
        <v>6</v>
      </c>
      <c r="D18" t="s">
        <v>11</v>
      </c>
      <c r="E18" t="s">
        <v>10</v>
      </c>
      <c r="F18">
        <v>2024</v>
      </c>
      <c r="G18">
        <v>0.50994571399999999</v>
      </c>
      <c r="H18">
        <v>3.5000000000000003E-2</v>
      </c>
      <c r="I18">
        <v>21.19</v>
      </c>
      <c r="K18">
        <f t="shared" si="0"/>
        <v>5.09945714E-4</v>
      </c>
      <c r="L18">
        <f t="shared" si="1"/>
        <v>21190</v>
      </c>
      <c r="M18">
        <f t="shared" si="2"/>
        <v>21190</v>
      </c>
      <c r="N18" t="s">
        <v>372</v>
      </c>
      <c r="O18" t="b">
        <v>1</v>
      </c>
      <c r="P18" t="b">
        <v>0</v>
      </c>
    </row>
    <row r="19" spans="1:16" x14ac:dyDescent="0.25">
      <c r="A19" t="s">
        <v>390</v>
      </c>
      <c r="B19" t="s">
        <v>34</v>
      </c>
      <c r="C19" t="s">
        <v>6</v>
      </c>
      <c r="D19" t="s">
        <v>8</v>
      </c>
      <c r="E19" t="s">
        <v>9</v>
      </c>
      <c r="F19">
        <v>2024</v>
      </c>
      <c r="G19">
        <v>0.50994571399999999</v>
      </c>
      <c r="H19">
        <v>3.5000000000000003E-2</v>
      </c>
      <c r="I19">
        <v>0</v>
      </c>
      <c r="K19">
        <f t="shared" si="0"/>
        <v>5.09945714E-4</v>
      </c>
      <c r="L19">
        <f t="shared" si="1"/>
        <v>0</v>
      </c>
      <c r="M19">
        <f t="shared" si="2"/>
        <v>0</v>
      </c>
      <c r="N19" t="s">
        <v>372</v>
      </c>
      <c r="O19" t="b">
        <v>1</v>
      </c>
      <c r="P19" t="b">
        <v>0</v>
      </c>
    </row>
    <row r="20" spans="1:16" x14ac:dyDescent="0.25">
      <c r="A20" t="s">
        <v>390</v>
      </c>
      <c r="B20" t="s">
        <v>34</v>
      </c>
      <c r="C20" t="s">
        <v>6</v>
      </c>
      <c r="D20" t="s">
        <v>10</v>
      </c>
      <c r="E20" t="s">
        <v>12</v>
      </c>
      <c r="F20">
        <v>2024</v>
      </c>
      <c r="G20">
        <v>0.50994571399999999</v>
      </c>
      <c r="H20">
        <v>3.5000000000000003E-2</v>
      </c>
      <c r="I20">
        <v>22.53</v>
      </c>
      <c r="K20">
        <f t="shared" si="0"/>
        <v>5.09945714E-4</v>
      </c>
      <c r="L20">
        <f t="shared" si="1"/>
        <v>22530</v>
      </c>
      <c r="M20">
        <f t="shared" si="2"/>
        <v>22530</v>
      </c>
      <c r="N20" t="s">
        <v>372</v>
      </c>
      <c r="O20" t="b">
        <v>1</v>
      </c>
      <c r="P20" t="b">
        <v>0</v>
      </c>
    </row>
    <row r="21" spans="1:16" x14ac:dyDescent="0.25">
      <c r="A21" t="s">
        <v>390</v>
      </c>
      <c r="B21" t="s">
        <v>34</v>
      </c>
      <c r="C21" t="s">
        <v>6</v>
      </c>
      <c r="D21" t="s">
        <v>9</v>
      </c>
      <c r="E21" t="s">
        <v>11</v>
      </c>
      <c r="F21">
        <v>2024</v>
      </c>
      <c r="G21">
        <v>0.50994571399999999</v>
      </c>
      <c r="H21">
        <v>3.5000000000000003E-2</v>
      </c>
      <c r="I21">
        <v>0</v>
      </c>
      <c r="K21">
        <f t="shared" si="0"/>
        <v>5.09945714E-4</v>
      </c>
      <c r="L21">
        <f t="shared" si="1"/>
        <v>0</v>
      </c>
      <c r="M21">
        <f t="shared" si="2"/>
        <v>0</v>
      </c>
      <c r="N21" t="s">
        <v>372</v>
      </c>
      <c r="O21" t="b">
        <v>1</v>
      </c>
      <c r="P21" t="b">
        <v>0</v>
      </c>
    </row>
    <row r="22" spans="1:16" x14ac:dyDescent="0.25">
      <c r="A22" t="s">
        <v>390</v>
      </c>
      <c r="B22" t="s">
        <v>34</v>
      </c>
      <c r="C22" t="s">
        <v>6</v>
      </c>
      <c r="D22" t="s">
        <v>12</v>
      </c>
      <c r="E22" t="s">
        <v>10</v>
      </c>
      <c r="F22">
        <v>2024</v>
      </c>
      <c r="G22">
        <v>0.50994571399999999</v>
      </c>
      <c r="H22">
        <v>3.5000000000000003E-2</v>
      </c>
      <c r="I22">
        <v>19.53</v>
      </c>
      <c r="K22">
        <f t="shared" si="0"/>
        <v>5.09945714E-4</v>
      </c>
      <c r="L22">
        <f t="shared" si="1"/>
        <v>19530</v>
      </c>
      <c r="M22">
        <f t="shared" si="2"/>
        <v>19530</v>
      </c>
      <c r="N22" t="s">
        <v>372</v>
      </c>
      <c r="O22" t="b">
        <v>1</v>
      </c>
      <c r="P22" t="b">
        <v>0</v>
      </c>
    </row>
    <row r="23" spans="1:16" x14ac:dyDescent="0.25">
      <c r="A23" t="s">
        <v>390</v>
      </c>
      <c r="B23" t="s">
        <v>34</v>
      </c>
      <c r="C23" t="s">
        <v>6</v>
      </c>
      <c r="D23" t="s">
        <v>11</v>
      </c>
      <c r="E23" t="s">
        <v>9</v>
      </c>
      <c r="F23">
        <v>2024</v>
      </c>
      <c r="G23">
        <v>0.50994571399999999</v>
      </c>
      <c r="H23">
        <v>3.5000000000000003E-2</v>
      </c>
      <c r="I23">
        <v>0</v>
      </c>
      <c r="K23">
        <f t="shared" si="0"/>
        <v>5.09945714E-4</v>
      </c>
      <c r="L23">
        <f t="shared" si="1"/>
        <v>0</v>
      </c>
      <c r="M23">
        <f t="shared" si="2"/>
        <v>0</v>
      </c>
      <c r="N23" t="s">
        <v>372</v>
      </c>
      <c r="O23" t="b">
        <v>1</v>
      </c>
      <c r="P23" t="b">
        <v>0</v>
      </c>
    </row>
    <row r="24" spans="1:16" x14ac:dyDescent="0.25">
      <c r="A24" t="s">
        <v>390</v>
      </c>
      <c r="B24" t="s">
        <v>34</v>
      </c>
      <c r="C24" t="s">
        <v>6</v>
      </c>
      <c r="D24" t="s">
        <v>8</v>
      </c>
      <c r="E24" t="s">
        <v>12</v>
      </c>
      <c r="F24">
        <v>2024</v>
      </c>
      <c r="G24">
        <v>0.50994571399999999</v>
      </c>
      <c r="H24">
        <v>3.5000000000000003E-2</v>
      </c>
      <c r="I24">
        <v>0</v>
      </c>
      <c r="K24">
        <f t="shared" si="0"/>
        <v>5.09945714E-4</v>
      </c>
      <c r="L24">
        <f t="shared" si="1"/>
        <v>0</v>
      </c>
      <c r="M24">
        <f t="shared" si="2"/>
        <v>0</v>
      </c>
      <c r="N24" t="s">
        <v>372</v>
      </c>
      <c r="O24" t="b">
        <v>1</v>
      </c>
      <c r="P24" t="b">
        <v>0</v>
      </c>
    </row>
    <row r="25" spans="1:16" x14ac:dyDescent="0.25">
      <c r="A25" t="s">
        <v>390</v>
      </c>
      <c r="B25" t="s">
        <v>34</v>
      </c>
      <c r="C25" t="s">
        <v>6</v>
      </c>
      <c r="D25" t="s">
        <v>10</v>
      </c>
      <c r="E25" t="s">
        <v>11</v>
      </c>
      <c r="F25">
        <v>2024</v>
      </c>
      <c r="G25">
        <v>0.50994571399999999</v>
      </c>
      <c r="H25">
        <v>3.5000000000000003E-2</v>
      </c>
      <c r="I25">
        <v>21.19</v>
      </c>
      <c r="K25">
        <f t="shared" si="0"/>
        <v>5.09945714E-4</v>
      </c>
      <c r="L25">
        <f t="shared" si="1"/>
        <v>21190</v>
      </c>
      <c r="M25">
        <f t="shared" si="2"/>
        <v>21190</v>
      </c>
      <c r="N25" t="s">
        <v>372</v>
      </c>
      <c r="O25" t="b">
        <v>1</v>
      </c>
      <c r="P25" t="b">
        <v>0</v>
      </c>
    </row>
    <row r="26" spans="1:16" x14ac:dyDescent="0.25">
      <c r="A26" t="s">
        <v>390</v>
      </c>
      <c r="B26" t="s">
        <v>34</v>
      </c>
      <c r="C26" t="s">
        <v>6</v>
      </c>
      <c r="D26" t="s">
        <v>9</v>
      </c>
      <c r="E26" t="s">
        <v>8</v>
      </c>
      <c r="F26">
        <v>2024</v>
      </c>
      <c r="G26">
        <v>0.50994571399999999</v>
      </c>
      <c r="H26">
        <v>3.5000000000000003E-2</v>
      </c>
      <c r="I26">
        <v>0</v>
      </c>
      <c r="K26">
        <f t="shared" si="0"/>
        <v>5.09945714E-4</v>
      </c>
      <c r="L26">
        <f t="shared" si="1"/>
        <v>0</v>
      </c>
      <c r="M26">
        <f t="shared" si="2"/>
        <v>0</v>
      </c>
      <c r="N26" t="s">
        <v>372</v>
      </c>
      <c r="O26" t="b">
        <v>1</v>
      </c>
      <c r="P26" t="b">
        <v>0</v>
      </c>
    </row>
    <row r="27" spans="1:16" x14ac:dyDescent="0.25">
      <c r="A27" t="s">
        <v>390</v>
      </c>
      <c r="B27" t="s">
        <v>34</v>
      </c>
      <c r="C27" t="s">
        <v>6</v>
      </c>
      <c r="D27" t="s">
        <v>12</v>
      </c>
      <c r="E27" t="s">
        <v>9</v>
      </c>
      <c r="F27">
        <v>2024</v>
      </c>
      <c r="G27">
        <v>0.50994571399999999</v>
      </c>
      <c r="H27">
        <v>3.5000000000000003E-2</v>
      </c>
      <c r="I27">
        <v>1.5</v>
      </c>
      <c r="K27">
        <f t="shared" si="0"/>
        <v>5.09945714E-4</v>
      </c>
      <c r="L27">
        <f t="shared" si="1"/>
        <v>1500</v>
      </c>
      <c r="M27">
        <f t="shared" si="2"/>
        <v>1500</v>
      </c>
      <c r="N27" t="s">
        <v>372</v>
      </c>
      <c r="O27" t="b">
        <v>1</v>
      </c>
      <c r="P27" t="b">
        <v>0</v>
      </c>
    </row>
    <row r="28" spans="1:16" x14ac:dyDescent="0.25">
      <c r="A28" t="s">
        <v>390</v>
      </c>
      <c r="B28" t="s">
        <v>34</v>
      </c>
      <c r="C28" t="s">
        <v>6</v>
      </c>
      <c r="D28" t="s">
        <v>11</v>
      </c>
      <c r="E28" t="s">
        <v>12</v>
      </c>
      <c r="F28">
        <v>2024</v>
      </c>
      <c r="G28">
        <v>0.50994571399999999</v>
      </c>
      <c r="H28">
        <v>3.5000000000000003E-2</v>
      </c>
      <c r="I28">
        <v>32.57</v>
      </c>
      <c r="K28">
        <f t="shared" si="0"/>
        <v>5.09945714E-4</v>
      </c>
      <c r="L28">
        <f t="shared" si="1"/>
        <v>32570</v>
      </c>
      <c r="M28">
        <f t="shared" si="2"/>
        <v>32570</v>
      </c>
      <c r="N28" t="s">
        <v>372</v>
      </c>
      <c r="O28" t="b">
        <v>1</v>
      </c>
      <c r="P28" t="b">
        <v>0</v>
      </c>
    </row>
    <row r="29" spans="1:16" x14ac:dyDescent="0.25">
      <c r="A29" t="s">
        <v>390</v>
      </c>
      <c r="B29" t="s">
        <v>34</v>
      </c>
      <c r="C29" t="s">
        <v>6</v>
      </c>
      <c r="D29" t="s">
        <v>8</v>
      </c>
      <c r="E29" t="s">
        <v>11</v>
      </c>
      <c r="F29">
        <v>2024</v>
      </c>
      <c r="G29">
        <v>0.50994571399999999</v>
      </c>
      <c r="H29">
        <v>3.5000000000000003E-2</v>
      </c>
      <c r="I29">
        <v>19.93</v>
      </c>
      <c r="K29">
        <f t="shared" si="0"/>
        <v>5.09945714E-4</v>
      </c>
      <c r="L29" s="89">
        <f>I29*1000-3752</f>
        <v>16178</v>
      </c>
      <c r="M29" s="89">
        <f>I29*1000-3752</f>
        <v>16178</v>
      </c>
      <c r="N29" t="s">
        <v>372</v>
      </c>
      <c r="O29" t="b">
        <v>1</v>
      </c>
      <c r="P29" t="b">
        <v>0</v>
      </c>
    </row>
    <row r="30" spans="1:16" x14ac:dyDescent="0.25">
      <c r="A30" t="s">
        <v>390</v>
      </c>
      <c r="B30" t="s">
        <v>34</v>
      </c>
      <c r="C30" t="s">
        <v>6</v>
      </c>
      <c r="D30" t="s">
        <v>10</v>
      </c>
      <c r="E30" t="s">
        <v>8</v>
      </c>
      <c r="F30">
        <v>2024</v>
      </c>
      <c r="G30">
        <v>0.50994571399999999</v>
      </c>
      <c r="H30">
        <v>3.5000000000000003E-2</v>
      </c>
      <c r="I30">
        <v>7.83</v>
      </c>
      <c r="K30">
        <f t="shared" si="0"/>
        <v>5.09945714E-4</v>
      </c>
      <c r="L30">
        <f t="shared" si="1"/>
        <v>7830</v>
      </c>
      <c r="M30">
        <f t="shared" si="2"/>
        <v>7830</v>
      </c>
      <c r="N30" t="s">
        <v>372</v>
      </c>
      <c r="O30" t="b">
        <v>1</v>
      </c>
      <c r="P30" t="b">
        <v>0</v>
      </c>
    </row>
    <row r="31" spans="1:16" s="24" customFormat="1" x14ac:dyDescent="0.25">
      <c r="A31" s="24" t="s">
        <v>390</v>
      </c>
      <c r="B31" s="24" t="s">
        <v>34</v>
      </c>
      <c r="C31" s="24" t="s">
        <v>6</v>
      </c>
      <c r="D31" s="24" t="s">
        <v>9</v>
      </c>
      <c r="E31" s="24" t="s">
        <v>10</v>
      </c>
      <c r="F31" s="24">
        <v>2024</v>
      </c>
      <c r="G31" s="24">
        <v>0.50994571399999999</v>
      </c>
      <c r="H31" s="24">
        <v>3.5000000000000003E-2</v>
      </c>
      <c r="I31" s="24">
        <v>2.95</v>
      </c>
      <c r="K31" s="24">
        <f t="shared" si="0"/>
        <v>5.09945714E-4</v>
      </c>
      <c r="L31" s="90">
        <f>I31*1000-90</f>
        <v>2860</v>
      </c>
      <c r="M31" s="90">
        <f>I31*1000-90</f>
        <v>2860</v>
      </c>
      <c r="N31" s="24" t="s">
        <v>372</v>
      </c>
      <c r="O31" s="24" t="b">
        <v>1</v>
      </c>
      <c r="P31" s="24" t="b">
        <v>0</v>
      </c>
    </row>
    <row r="32" spans="1:16" x14ac:dyDescent="0.25">
      <c r="B32" t="s">
        <v>34</v>
      </c>
      <c r="C32" t="s">
        <v>6</v>
      </c>
      <c r="D32" t="s">
        <v>12</v>
      </c>
      <c r="E32" t="s">
        <v>11</v>
      </c>
      <c r="F32">
        <v>2024</v>
      </c>
      <c r="G32">
        <v>0.50994571399999999</v>
      </c>
      <c r="H32">
        <v>3.5000000000000003E-2</v>
      </c>
      <c r="I32">
        <v>36.72</v>
      </c>
      <c r="K32">
        <f t="shared" ref="K32:K51" si="3">G32/1000</f>
        <v>5.09945714E-4</v>
      </c>
      <c r="L32">
        <v>0</v>
      </c>
      <c r="M32">
        <v>0</v>
      </c>
      <c r="N32" t="s">
        <v>372</v>
      </c>
      <c r="O32" t="b">
        <v>1</v>
      </c>
      <c r="P32" t="b">
        <v>0</v>
      </c>
    </row>
    <row r="33" spans="2:16" x14ac:dyDescent="0.25">
      <c r="B33" t="s">
        <v>34</v>
      </c>
      <c r="C33" t="s">
        <v>6</v>
      </c>
      <c r="D33" t="s">
        <v>11</v>
      </c>
      <c r="E33" t="s">
        <v>8</v>
      </c>
      <c r="F33">
        <v>2024</v>
      </c>
      <c r="G33">
        <v>0.50994571399999999</v>
      </c>
      <c r="H33">
        <v>3.5000000000000003E-2</v>
      </c>
      <c r="I33">
        <v>22.32</v>
      </c>
      <c r="K33">
        <f t="shared" si="3"/>
        <v>5.09945714E-4</v>
      </c>
      <c r="L33" s="91">
        <v>0</v>
      </c>
      <c r="M33" s="91">
        <v>0</v>
      </c>
      <c r="N33" t="s">
        <v>372</v>
      </c>
      <c r="O33" t="b">
        <v>1</v>
      </c>
      <c r="P33" t="b">
        <v>0</v>
      </c>
    </row>
    <row r="34" spans="2:16" x14ac:dyDescent="0.25">
      <c r="B34" t="s">
        <v>34</v>
      </c>
      <c r="C34" t="s">
        <v>6</v>
      </c>
      <c r="D34" t="s">
        <v>8</v>
      </c>
      <c r="E34" t="s">
        <v>10</v>
      </c>
      <c r="F34">
        <v>2024</v>
      </c>
      <c r="G34">
        <v>0.50994571399999999</v>
      </c>
      <c r="H34">
        <v>3.5000000000000003E-2</v>
      </c>
      <c r="I34">
        <v>5.83</v>
      </c>
      <c r="K34">
        <f t="shared" si="3"/>
        <v>5.09945714E-4</v>
      </c>
      <c r="L34" s="91">
        <v>0</v>
      </c>
      <c r="M34" s="91">
        <v>0</v>
      </c>
      <c r="N34" t="s">
        <v>372</v>
      </c>
      <c r="O34" t="b">
        <v>1</v>
      </c>
      <c r="P34" t="b">
        <v>0</v>
      </c>
    </row>
    <row r="35" spans="2:16" x14ac:dyDescent="0.25">
      <c r="B35" t="s">
        <v>34</v>
      </c>
      <c r="C35" t="s">
        <v>6</v>
      </c>
      <c r="D35" t="s">
        <v>10</v>
      </c>
      <c r="E35" t="s">
        <v>9</v>
      </c>
      <c r="F35">
        <v>2024</v>
      </c>
      <c r="G35">
        <v>0.50994571399999999</v>
      </c>
      <c r="H35">
        <v>3.5000000000000003E-2</v>
      </c>
      <c r="I35">
        <v>2.95</v>
      </c>
      <c r="K35">
        <f t="shared" si="3"/>
        <v>5.09945714E-4</v>
      </c>
      <c r="L35" s="91">
        <v>0</v>
      </c>
      <c r="M35" s="91">
        <v>0</v>
      </c>
      <c r="N35" t="s">
        <v>372</v>
      </c>
      <c r="O35" t="b">
        <v>1</v>
      </c>
      <c r="P35" t="b">
        <v>0</v>
      </c>
    </row>
    <row r="36" spans="2:16" x14ac:dyDescent="0.25">
      <c r="B36" t="s">
        <v>34</v>
      </c>
      <c r="C36" t="s">
        <v>6</v>
      </c>
      <c r="D36" t="s">
        <v>9</v>
      </c>
      <c r="E36" t="s">
        <v>12</v>
      </c>
      <c r="F36">
        <v>2024</v>
      </c>
      <c r="G36">
        <v>0.50994571399999999</v>
      </c>
      <c r="H36">
        <v>3.5000000000000003E-2</v>
      </c>
      <c r="I36">
        <v>3</v>
      </c>
      <c r="K36">
        <f t="shared" si="3"/>
        <v>5.09945714E-4</v>
      </c>
      <c r="L36" s="91">
        <v>0</v>
      </c>
      <c r="M36" s="91">
        <v>0</v>
      </c>
      <c r="N36" t="s">
        <v>372</v>
      </c>
      <c r="O36" t="b">
        <v>1</v>
      </c>
      <c r="P36" t="b">
        <v>0</v>
      </c>
    </row>
    <row r="37" spans="2:16" x14ac:dyDescent="0.25">
      <c r="B37" t="s">
        <v>34</v>
      </c>
      <c r="C37" t="s">
        <v>6</v>
      </c>
      <c r="D37" t="s">
        <v>12</v>
      </c>
      <c r="E37" t="s">
        <v>8</v>
      </c>
      <c r="F37">
        <v>2024</v>
      </c>
      <c r="G37">
        <v>0.50994571399999999</v>
      </c>
      <c r="H37">
        <v>3.5000000000000003E-2</v>
      </c>
      <c r="I37">
        <v>0</v>
      </c>
      <c r="K37">
        <f t="shared" si="3"/>
        <v>5.09945714E-4</v>
      </c>
      <c r="L37" s="91">
        <v>0</v>
      </c>
      <c r="M37" s="91">
        <v>0</v>
      </c>
      <c r="N37" t="s">
        <v>372</v>
      </c>
      <c r="O37" t="b">
        <v>1</v>
      </c>
      <c r="P37" t="b">
        <v>0</v>
      </c>
    </row>
    <row r="38" spans="2:16" x14ac:dyDescent="0.25">
      <c r="B38" t="s">
        <v>34</v>
      </c>
      <c r="C38" t="s">
        <v>6</v>
      </c>
      <c r="D38" t="s">
        <v>11</v>
      </c>
      <c r="E38" t="s">
        <v>10</v>
      </c>
      <c r="F38">
        <v>2024</v>
      </c>
      <c r="G38">
        <v>0.50994571399999999</v>
      </c>
      <c r="H38">
        <v>3.5000000000000003E-2</v>
      </c>
      <c r="I38">
        <v>21.19</v>
      </c>
      <c r="K38">
        <f t="shared" si="3"/>
        <v>5.09945714E-4</v>
      </c>
      <c r="L38" s="91">
        <v>0</v>
      </c>
      <c r="M38" s="91">
        <v>0</v>
      </c>
      <c r="N38" t="s">
        <v>372</v>
      </c>
      <c r="O38" t="b">
        <v>1</v>
      </c>
      <c r="P38" t="b">
        <v>0</v>
      </c>
    </row>
    <row r="39" spans="2:16" x14ac:dyDescent="0.25">
      <c r="B39" t="s">
        <v>34</v>
      </c>
      <c r="C39" t="s">
        <v>6</v>
      </c>
      <c r="D39" t="s">
        <v>8</v>
      </c>
      <c r="E39" t="s">
        <v>9</v>
      </c>
      <c r="F39">
        <v>2024</v>
      </c>
      <c r="G39">
        <v>0.50994571399999999</v>
      </c>
      <c r="H39">
        <v>3.5000000000000003E-2</v>
      </c>
      <c r="I39">
        <v>0</v>
      </c>
      <c r="K39">
        <f t="shared" si="3"/>
        <v>5.09945714E-4</v>
      </c>
      <c r="L39" s="91">
        <v>0</v>
      </c>
      <c r="M39" s="91">
        <v>0</v>
      </c>
      <c r="N39" t="s">
        <v>372</v>
      </c>
      <c r="O39" t="b">
        <v>1</v>
      </c>
      <c r="P39" t="b">
        <v>0</v>
      </c>
    </row>
    <row r="40" spans="2:16" x14ac:dyDescent="0.25">
      <c r="B40" t="s">
        <v>34</v>
      </c>
      <c r="C40" t="s">
        <v>6</v>
      </c>
      <c r="D40" t="s">
        <v>10</v>
      </c>
      <c r="E40" t="s">
        <v>12</v>
      </c>
      <c r="F40">
        <v>2024</v>
      </c>
      <c r="G40">
        <v>0.50994571399999999</v>
      </c>
      <c r="H40">
        <v>3.5000000000000003E-2</v>
      </c>
      <c r="I40">
        <v>22.53</v>
      </c>
      <c r="K40">
        <f t="shared" si="3"/>
        <v>5.09945714E-4</v>
      </c>
      <c r="L40" s="91">
        <v>0</v>
      </c>
      <c r="M40" s="91">
        <v>0</v>
      </c>
      <c r="N40" t="s">
        <v>372</v>
      </c>
      <c r="O40" t="b">
        <v>1</v>
      </c>
      <c r="P40" t="b">
        <v>0</v>
      </c>
    </row>
    <row r="41" spans="2:16" x14ac:dyDescent="0.25">
      <c r="B41" t="s">
        <v>34</v>
      </c>
      <c r="C41" t="s">
        <v>6</v>
      </c>
      <c r="D41" t="s">
        <v>9</v>
      </c>
      <c r="E41" t="s">
        <v>11</v>
      </c>
      <c r="F41">
        <v>2024</v>
      </c>
      <c r="G41">
        <v>0.50994571399999999</v>
      </c>
      <c r="H41">
        <v>3.5000000000000003E-2</v>
      </c>
      <c r="I41">
        <v>0</v>
      </c>
      <c r="K41">
        <f t="shared" si="3"/>
        <v>5.09945714E-4</v>
      </c>
      <c r="L41" s="91">
        <v>0</v>
      </c>
      <c r="M41" s="91">
        <v>0</v>
      </c>
      <c r="N41" t="s">
        <v>372</v>
      </c>
      <c r="O41" t="b">
        <v>1</v>
      </c>
      <c r="P41" t="b">
        <v>0</v>
      </c>
    </row>
    <row r="42" spans="2:16" x14ac:dyDescent="0.25">
      <c r="B42" t="s">
        <v>34</v>
      </c>
      <c r="C42" t="s">
        <v>6</v>
      </c>
      <c r="D42" t="s">
        <v>12</v>
      </c>
      <c r="E42" t="s">
        <v>10</v>
      </c>
      <c r="F42">
        <v>2024</v>
      </c>
      <c r="G42">
        <v>0.50994571399999999</v>
      </c>
      <c r="H42">
        <v>3.5000000000000003E-2</v>
      </c>
      <c r="I42">
        <v>19.53</v>
      </c>
      <c r="K42">
        <f t="shared" si="3"/>
        <v>5.09945714E-4</v>
      </c>
      <c r="L42" s="91">
        <v>0</v>
      </c>
      <c r="M42" s="91">
        <v>0</v>
      </c>
      <c r="N42" t="s">
        <v>372</v>
      </c>
      <c r="O42" t="b">
        <v>1</v>
      </c>
      <c r="P42" t="b">
        <v>0</v>
      </c>
    </row>
    <row r="43" spans="2:16" x14ac:dyDescent="0.25">
      <c r="B43" t="s">
        <v>34</v>
      </c>
      <c r="C43" t="s">
        <v>6</v>
      </c>
      <c r="D43" t="s">
        <v>11</v>
      </c>
      <c r="E43" t="s">
        <v>9</v>
      </c>
      <c r="F43">
        <v>2024</v>
      </c>
      <c r="G43">
        <v>0.50994571399999999</v>
      </c>
      <c r="H43">
        <v>3.5000000000000003E-2</v>
      </c>
      <c r="I43">
        <v>0</v>
      </c>
      <c r="K43">
        <f t="shared" si="3"/>
        <v>5.09945714E-4</v>
      </c>
      <c r="L43" s="91">
        <v>0</v>
      </c>
      <c r="M43" s="91">
        <v>0</v>
      </c>
      <c r="N43" t="s">
        <v>372</v>
      </c>
      <c r="O43" t="b">
        <v>1</v>
      </c>
      <c r="P43" t="b">
        <v>0</v>
      </c>
    </row>
    <row r="44" spans="2:16" x14ac:dyDescent="0.25">
      <c r="B44" t="s">
        <v>34</v>
      </c>
      <c r="C44" t="s">
        <v>6</v>
      </c>
      <c r="D44" t="s">
        <v>8</v>
      </c>
      <c r="E44" t="s">
        <v>12</v>
      </c>
      <c r="F44">
        <v>2024</v>
      </c>
      <c r="G44">
        <v>0.50994571399999999</v>
      </c>
      <c r="H44">
        <v>3.5000000000000003E-2</v>
      </c>
      <c r="I44">
        <v>0</v>
      </c>
      <c r="K44">
        <f t="shared" si="3"/>
        <v>5.09945714E-4</v>
      </c>
      <c r="L44" s="91">
        <v>0</v>
      </c>
      <c r="M44" s="91">
        <v>0</v>
      </c>
      <c r="N44" t="s">
        <v>372</v>
      </c>
      <c r="O44" t="b">
        <v>1</v>
      </c>
      <c r="P44" t="b">
        <v>0</v>
      </c>
    </row>
    <row r="45" spans="2:16" x14ac:dyDescent="0.25">
      <c r="B45" t="s">
        <v>34</v>
      </c>
      <c r="C45" t="s">
        <v>6</v>
      </c>
      <c r="D45" t="s">
        <v>10</v>
      </c>
      <c r="E45" t="s">
        <v>11</v>
      </c>
      <c r="F45">
        <v>2024</v>
      </c>
      <c r="G45">
        <v>0.50994571399999999</v>
      </c>
      <c r="H45">
        <v>3.5000000000000003E-2</v>
      </c>
      <c r="I45">
        <v>21.19</v>
      </c>
      <c r="K45">
        <f t="shared" si="3"/>
        <v>5.09945714E-4</v>
      </c>
      <c r="L45" s="91">
        <v>0</v>
      </c>
      <c r="M45" s="91">
        <v>0</v>
      </c>
      <c r="N45" t="s">
        <v>372</v>
      </c>
      <c r="O45" t="b">
        <v>1</v>
      </c>
      <c r="P45" t="b">
        <v>0</v>
      </c>
    </row>
    <row r="46" spans="2:16" x14ac:dyDescent="0.25">
      <c r="B46" t="s">
        <v>34</v>
      </c>
      <c r="C46" t="s">
        <v>6</v>
      </c>
      <c r="D46" t="s">
        <v>9</v>
      </c>
      <c r="E46" t="s">
        <v>8</v>
      </c>
      <c r="F46">
        <v>2024</v>
      </c>
      <c r="G46">
        <v>0.50994571399999999</v>
      </c>
      <c r="H46">
        <v>3.5000000000000003E-2</v>
      </c>
      <c r="I46">
        <v>0</v>
      </c>
      <c r="K46">
        <f t="shared" si="3"/>
        <v>5.09945714E-4</v>
      </c>
      <c r="L46" s="91">
        <v>0</v>
      </c>
      <c r="M46" s="91">
        <v>0</v>
      </c>
      <c r="N46" t="s">
        <v>372</v>
      </c>
      <c r="O46" t="b">
        <v>1</v>
      </c>
      <c r="P46" t="b">
        <v>0</v>
      </c>
    </row>
    <row r="47" spans="2:16" x14ac:dyDescent="0.25">
      <c r="B47" t="s">
        <v>34</v>
      </c>
      <c r="C47" t="s">
        <v>6</v>
      </c>
      <c r="D47" t="s">
        <v>12</v>
      </c>
      <c r="E47" t="s">
        <v>9</v>
      </c>
      <c r="F47">
        <v>2024</v>
      </c>
      <c r="G47">
        <v>0.50994571399999999</v>
      </c>
      <c r="H47">
        <v>3.5000000000000003E-2</v>
      </c>
      <c r="I47">
        <v>1.5</v>
      </c>
      <c r="K47">
        <f t="shared" si="3"/>
        <v>5.09945714E-4</v>
      </c>
      <c r="L47" s="91">
        <v>0</v>
      </c>
      <c r="M47" s="91">
        <v>0</v>
      </c>
      <c r="N47" t="s">
        <v>372</v>
      </c>
      <c r="O47" t="b">
        <v>1</v>
      </c>
      <c r="P47" t="b">
        <v>0</v>
      </c>
    </row>
    <row r="48" spans="2:16" x14ac:dyDescent="0.25">
      <c r="B48" t="s">
        <v>34</v>
      </c>
      <c r="C48" t="s">
        <v>6</v>
      </c>
      <c r="D48" t="s">
        <v>11</v>
      </c>
      <c r="E48" t="s">
        <v>12</v>
      </c>
      <c r="F48">
        <v>2024</v>
      </c>
      <c r="G48">
        <v>0.50994571399999999</v>
      </c>
      <c r="H48">
        <v>3.5000000000000003E-2</v>
      </c>
      <c r="I48">
        <v>32.57</v>
      </c>
      <c r="K48">
        <f t="shared" si="3"/>
        <v>5.09945714E-4</v>
      </c>
      <c r="L48" s="91">
        <v>0</v>
      </c>
      <c r="M48" s="91">
        <v>0</v>
      </c>
      <c r="N48" t="s">
        <v>372</v>
      </c>
      <c r="O48" t="b">
        <v>1</v>
      </c>
      <c r="P48" t="b">
        <v>0</v>
      </c>
    </row>
    <row r="49" spans="1:17" x14ac:dyDescent="0.25">
      <c r="B49" t="s">
        <v>34</v>
      </c>
      <c r="C49" t="s">
        <v>6</v>
      </c>
      <c r="D49" t="s">
        <v>8</v>
      </c>
      <c r="E49" t="s">
        <v>11</v>
      </c>
      <c r="F49">
        <v>2024</v>
      </c>
      <c r="G49">
        <v>0.50994571399999999</v>
      </c>
      <c r="H49">
        <v>3.5000000000000003E-2</v>
      </c>
      <c r="I49">
        <v>19.93</v>
      </c>
      <c r="K49">
        <f t="shared" si="3"/>
        <v>5.09945714E-4</v>
      </c>
      <c r="L49" s="91">
        <v>0</v>
      </c>
      <c r="M49" s="91">
        <v>0</v>
      </c>
      <c r="N49" t="s">
        <v>372</v>
      </c>
      <c r="O49" t="b">
        <v>1</v>
      </c>
      <c r="P49" t="b">
        <v>0</v>
      </c>
    </row>
    <row r="50" spans="1:17" x14ac:dyDescent="0.25">
      <c r="B50" t="s">
        <v>34</v>
      </c>
      <c r="C50" t="s">
        <v>6</v>
      </c>
      <c r="D50" t="s">
        <v>10</v>
      </c>
      <c r="E50" t="s">
        <v>8</v>
      </c>
      <c r="F50">
        <v>2024</v>
      </c>
      <c r="G50">
        <v>0.50994571399999999</v>
      </c>
      <c r="H50">
        <v>3.5000000000000003E-2</v>
      </c>
      <c r="I50">
        <v>7.83</v>
      </c>
      <c r="K50">
        <f t="shared" si="3"/>
        <v>5.09945714E-4</v>
      </c>
      <c r="L50" s="91">
        <v>0</v>
      </c>
      <c r="M50" s="91">
        <v>0</v>
      </c>
      <c r="N50" t="s">
        <v>372</v>
      </c>
      <c r="O50" t="b">
        <v>1</v>
      </c>
      <c r="P50" t="b">
        <v>0</v>
      </c>
    </row>
    <row r="51" spans="1:17" s="24" customFormat="1" x14ac:dyDescent="0.25">
      <c r="B51" s="24" t="s">
        <v>34</v>
      </c>
      <c r="C51" s="24" t="s">
        <v>6</v>
      </c>
      <c r="D51" s="24" t="s">
        <v>9</v>
      </c>
      <c r="E51" s="24" t="s">
        <v>10</v>
      </c>
      <c r="F51" s="24">
        <v>2024</v>
      </c>
      <c r="G51" s="24">
        <v>0.50994571399999999</v>
      </c>
      <c r="H51" s="24">
        <v>3.5000000000000003E-2</v>
      </c>
      <c r="I51" s="24">
        <v>2.95</v>
      </c>
      <c r="K51" s="24">
        <f t="shared" si="3"/>
        <v>5.09945714E-4</v>
      </c>
      <c r="L51" s="92">
        <v>0</v>
      </c>
      <c r="M51" s="92">
        <v>0</v>
      </c>
      <c r="N51" s="24" t="s">
        <v>372</v>
      </c>
      <c r="O51" s="24" t="b">
        <v>1</v>
      </c>
      <c r="P51" s="24" t="b">
        <v>0</v>
      </c>
    </row>
    <row r="52" spans="1:17" x14ac:dyDescent="0.25">
      <c r="A52" t="s">
        <v>395</v>
      </c>
      <c r="B52" t="s">
        <v>33</v>
      </c>
      <c r="C52" t="s">
        <v>6</v>
      </c>
      <c r="D52" t="s">
        <v>10</v>
      </c>
      <c r="E52" t="s">
        <v>10</v>
      </c>
      <c r="F52">
        <v>2024</v>
      </c>
      <c r="G52">
        <v>926</v>
      </c>
      <c r="H52">
        <v>2E-3</v>
      </c>
      <c r="I52">
        <v>-1</v>
      </c>
      <c r="K52" s="93">
        <f>G52/CarriersTech_characteristics!$G$2/Conversions!$D$2</f>
        <v>1.93732993510488E-4</v>
      </c>
      <c r="L52" t="s">
        <v>372</v>
      </c>
      <c r="M52" t="s">
        <v>372</v>
      </c>
      <c r="N52" s="93" t="s">
        <v>372</v>
      </c>
      <c r="O52" s="93" t="b">
        <v>1</v>
      </c>
      <c r="P52" s="93" t="b">
        <v>0</v>
      </c>
      <c r="Q52" s="89">
        <v>500</v>
      </c>
    </row>
    <row r="53" spans="1:17" x14ac:dyDescent="0.25">
      <c r="B53" t="s">
        <v>33</v>
      </c>
      <c r="C53" t="s">
        <v>6</v>
      </c>
      <c r="D53" t="s">
        <v>11</v>
      </c>
      <c r="E53" t="s">
        <v>11</v>
      </c>
      <c r="F53">
        <v>2024</v>
      </c>
      <c r="G53">
        <v>1054.7</v>
      </c>
      <c r="H53">
        <v>2E-3</v>
      </c>
      <c r="I53">
        <v>-1</v>
      </c>
      <c r="K53" s="93">
        <f>G53/CarriersTech_characteristics!$G$2/Conversions!$D$2</f>
        <v>2.2065895059990466E-4</v>
      </c>
      <c r="L53" t="s">
        <v>372</v>
      </c>
      <c r="M53" t="s">
        <v>372</v>
      </c>
      <c r="N53" s="93" t="s">
        <v>372</v>
      </c>
      <c r="O53" s="93" t="b">
        <v>1</v>
      </c>
      <c r="P53" s="93" t="b">
        <v>0</v>
      </c>
      <c r="Q53" s="89">
        <v>500</v>
      </c>
    </row>
    <row r="54" spans="1:17" x14ac:dyDescent="0.25">
      <c r="B54" t="s">
        <v>33</v>
      </c>
      <c r="C54" t="s">
        <v>6</v>
      </c>
      <c r="D54" t="s">
        <v>12</v>
      </c>
      <c r="E54" t="s">
        <v>12</v>
      </c>
      <c r="F54">
        <v>2024</v>
      </c>
      <c r="G54">
        <v>926</v>
      </c>
      <c r="H54">
        <v>2E-3</v>
      </c>
      <c r="I54">
        <v>-1</v>
      </c>
      <c r="K54" s="93">
        <f>G54/CarriersTech_characteristics!$G$2/Conversions!$D$2</f>
        <v>1.93732993510488E-4</v>
      </c>
      <c r="L54" t="s">
        <v>372</v>
      </c>
      <c r="M54" t="s">
        <v>372</v>
      </c>
      <c r="N54" s="93" t="s">
        <v>372</v>
      </c>
      <c r="O54" s="93" t="b">
        <v>1</v>
      </c>
      <c r="P54" s="93" t="b">
        <v>0</v>
      </c>
      <c r="Q54" s="89">
        <v>500</v>
      </c>
    </row>
    <row r="55" spans="1:17" x14ac:dyDescent="0.25">
      <c r="B55" t="s">
        <v>33</v>
      </c>
      <c r="C55" t="s">
        <v>6</v>
      </c>
      <c r="D55" t="s">
        <v>8</v>
      </c>
      <c r="E55" t="s">
        <v>8</v>
      </c>
      <c r="F55">
        <v>2024</v>
      </c>
      <c r="G55">
        <v>926</v>
      </c>
      <c r="H55">
        <v>2E-3</v>
      </c>
      <c r="I55">
        <v>-1</v>
      </c>
      <c r="K55" s="93">
        <f>G55/CarriersTech_characteristics!$G$2/Conversions!$D$2</f>
        <v>1.93732993510488E-4</v>
      </c>
      <c r="L55" t="s">
        <v>372</v>
      </c>
      <c r="M55" t="s">
        <v>372</v>
      </c>
      <c r="N55" s="93" t="s">
        <v>372</v>
      </c>
      <c r="O55" s="93" t="b">
        <v>1</v>
      </c>
      <c r="P55" s="93" t="b">
        <v>0</v>
      </c>
      <c r="Q55" s="89">
        <v>500</v>
      </c>
    </row>
    <row r="56" spans="1:17" s="24" customFormat="1" x14ac:dyDescent="0.25">
      <c r="B56" s="24" t="s">
        <v>33</v>
      </c>
      <c r="C56" s="24" t="s">
        <v>6</v>
      </c>
      <c r="D56" s="24" t="s">
        <v>9</v>
      </c>
      <c r="E56" s="24" t="s">
        <v>9</v>
      </c>
      <c r="F56" s="24">
        <v>2024</v>
      </c>
      <c r="G56" s="24">
        <v>797.2</v>
      </c>
      <c r="H56" s="24">
        <v>2E-3</v>
      </c>
      <c r="I56" s="24">
        <v>-1</v>
      </c>
      <c r="K56" s="94">
        <f>G56/CarriersTech_characteristics!$G$2/Conversions!$D$2</f>
        <v>1.6678611493149142E-4</v>
      </c>
      <c r="L56" s="24" t="s">
        <v>372</v>
      </c>
      <c r="M56" s="24" t="s">
        <v>372</v>
      </c>
      <c r="N56" s="94" t="s">
        <v>372</v>
      </c>
      <c r="O56" s="94" t="b">
        <v>1</v>
      </c>
      <c r="P56" s="94" t="b">
        <v>0</v>
      </c>
      <c r="Q56" s="90">
        <v>500</v>
      </c>
    </row>
    <row r="57" spans="1:17" x14ac:dyDescent="0.25">
      <c r="B57" t="s">
        <v>33</v>
      </c>
      <c r="C57" t="s">
        <v>6</v>
      </c>
      <c r="D57" t="s">
        <v>10</v>
      </c>
      <c r="E57" t="s">
        <v>11</v>
      </c>
      <c r="F57">
        <v>2024</v>
      </c>
      <c r="G57">
        <v>2399.6</v>
      </c>
      <c r="H57">
        <v>8.0000000000000002E-3</v>
      </c>
      <c r="I57">
        <v>-1</v>
      </c>
      <c r="J57" t="s">
        <v>396</v>
      </c>
      <c r="K57" s="93">
        <f>G57/CarriersTech_characteristics!$G$2/Conversions!$D$2</f>
        <v>5.0203206396087145E-4</v>
      </c>
      <c r="L57" t="s">
        <v>372</v>
      </c>
      <c r="M57" t="s">
        <v>372</v>
      </c>
      <c r="N57" s="93" t="s">
        <v>372</v>
      </c>
      <c r="O57" s="93" t="b">
        <v>1</v>
      </c>
      <c r="P57" s="93" t="b">
        <v>0</v>
      </c>
      <c r="Q57">
        <v>1300</v>
      </c>
    </row>
    <row r="58" spans="1:17" x14ac:dyDescent="0.25">
      <c r="B58" t="s">
        <v>33</v>
      </c>
      <c r="C58" t="s">
        <v>6</v>
      </c>
      <c r="D58" t="s">
        <v>10</v>
      </c>
      <c r="E58" t="s">
        <v>12</v>
      </c>
      <c r="F58">
        <v>2024</v>
      </c>
      <c r="G58">
        <v>2497.6</v>
      </c>
      <c r="H58">
        <v>8.0000000000000002E-3</v>
      </c>
      <c r="I58">
        <v>-1</v>
      </c>
      <c r="J58" t="s">
        <v>396</v>
      </c>
      <c r="K58" s="93">
        <f>G58/CarriersTech_characteristics!$G$2/Conversions!$D$2</f>
        <v>5.2253512374923847E-4</v>
      </c>
      <c r="L58" t="s">
        <v>372</v>
      </c>
      <c r="M58" t="s">
        <v>372</v>
      </c>
      <c r="N58" s="93" t="s">
        <v>372</v>
      </c>
      <c r="O58" s="93" t="b">
        <v>1</v>
      </c>
      <c r="P58" s="93" t="b">
        <v>0</v>
      </c>
      <c r="Q58">
        <v>1350</v>
      </c>
    </row>
    <row r="59" spans="1:17" x14ac:dyDescent="0.25">
      <c r="B59" t="s">
        <v>33</v>
      </c>
      <c r="C59" t="s">
        <v>6</v>
      </c>
      <c r="D59" t="s">
        <v>10</v>
      </c>
      <c r="E59" t="s">
        <v>8</v>
      </c>
      <c r="F59">
        <v>2024</v>
      </c>
      <c r="G59">
        <v>2776.7</v>
      </c>
      <c r="H59">
        <v>8.0000000000000002E-3</v>
      </c>
      <c r="I59">
        <v>-1</v>
      </c>
      <c r="J59" t="s">
        <v>396</v>
      </c>
      <c r="K59" s="93">
        <f>G59/CarriersTech_characteristics!$G$2/Conversions!$D$2</f>
        <v>5.8092700116692448E-4</v>
      </c>
      <c r="L59" t="s">
        <v>372</v>
      </c>
      <c r="M59" t="s">
        <v>372</v>
      </c>
      <c r="N59" s="93" t="s">
        <v>372</v>
      </c>
      <c r="O59" s="93" t="b">
        <v>1</v>
      </c>
      <c r="P59" s="93" t="b">
        <v>0</v>
      </c>
      <c r="Q59">
        <v>1600</v>
      </c>
    </row>
    <row r="60" spans="1:17" x14ac:dyDescent="0.25">
      <c r="B60" t="s">
        <v>33</v>
      </c>
      <c r="C60" t="s">
        <v>6</v>
      </c>
      <c r="D60" t="s">
        <v>10</v>
      </c>
      <c r="E60" t="s">
        <v>9</v>
      </c>
      <c r="F60">
        <v>2024</v>
      </c>
      <c r="G60">
        <v>2497.6</v>
      </c>
      <c r="H60">
        <v>8.0000000000000002E-3</v>
      </c>
      <c r="I60">
        <v>-1</v>
      </c>
      <c r="J60" t="s">
        <v>396</v>
      </c>
      <c r="K60" s="93">
        <f>G60/CarriersTech_characteristics!$G$2/Conversions!$D$2</f>
        <v>5.2253512374923847E-4</v>
      </c>
      <c r="L60" t="s">
        <v>372</v>
      </c>
      <c r="M60" t="s">
        <v>372</v>
      </c>
      <c r="N60" s="93" t="s">
        <v>372</v>
      </c>
      <c r="O60" s="93" t="b">
        <v>1</v>
      </c>
      <c r="P60" s="93" t="b">
        <v>0</v>
      </c>
      <c r="Q60">
        <v>1350</v>
      </c>
    </row>
    <row r="61" spans="1:17" x14ac:dyDescent="0.25">
      <c r="B61" t="s">
        <v>33</v>
      </c>
      <c r="C61" t="s">
        <v>6</v>
      </c>
      <c r="D61" t="s">
        <v>11</v>
      </c>
      <c r="E61" t="s">
        <v>12</v>
      </c>
      <c r="F61">
        <v>2024</v>
      </c>
      <c r="G61">
        <v>1838.6</v>
      </c>
      <c r="H61">
        <v>8.0000000000000002E-3</v>
      </c>
      <c r="I61">
        <v>-1</v>
      </c>
      <c r="J61" t="s">
        <v>396</v>
      </c>
      <c r="K61" s="93">
        <f>G61/CarriersTech_characteristics!$G$2/Conversions!$D$2</f>
        <v>3.8466250741726052E-4</v>
      </c>
      <c r="L61" t="s">
        <v>372</v>
      </c>
      <c r="M61" t="s">
        <v>372</v>
      </c>
      <c r="N61" s="93" t="s">
        <v>372</v>
      </c>
      <c r="O61" s="93" t="b">
        <v>1</v>
      </c>
      <c r="P61" s="93" t="b">
        <v>0</v>
      </c>
      <c r="Q61">
        <v>950</v>
      </c>
    </row>
    <row r="62" spans="1:17" x14ac:dyDescent="0.25">
      <c r="B62" t="s">
        <v>33</v>
      </c>
      <c r="C62" t="s">
        <v>6</v>
      </c>
      <c r="D62" t="s">
        <v>11</v>
      </c>
      <c r="E62" t="s">
        <v>8</v>
      </c>
      <c r="F62">
        <v>2024</v>
      </c>
      <c r="G62">
        <v>2160.3000000000002</v>
      </c>
      <c r="H62">
        <v>8.0000000000000002E-3</v>
      </c>
      <c r="I62">
        <v>-1</v>
      </c>
      <c r="J62" t="s">
        <v>396</v>
      </c>
      <c r="K62" s="93">
        <f>G62/CarriersTech_characteristics!$G$2/Conversions!$D$2</f>
        <v>4.5196693939601225E-4</v>
      </c>
      <c r="L62" t="s">
        <v>372</v>
      </c>
      <c r="M62" t="s">
        <v>372</v>
      </c>
      <c r="N62" s="93" t="s">
        <v>372</v>
      </c>
      <c r="O62" s="93" t="b">
        <v>1</v>
      </c>
      <c r="P62" s="93" t="b">
        <v>0</v>
      </c>
      <c r="Q62">
        <v>1150</v>
      </c>
    </row>
    <row r="63" spans="1:17" x14ac:dyDescent="0.25">
      <c r="B63" t="s">
        <v>33</v>
      </c>
      <c r="C63" t="s">
        <v>6</v>
      </c>
      <c r="D63" t="s">
        <v>11</v>
      </c>
      <c r="E63" t="s">
        <v>9</v>
      </c>
      <c r="F63">
        <v>2024</v>
      </c>
      <c r="G63">
        <v>3354.5</v>
      </c>
      <c r="H63">
        <v>8.0000000000000002E-3</v>
      </c>
      <c r="I63">
        <v>-1</v>
      </c>
      <c r="J63" t="s">
        <v>396</v>
      </c>
      <c r="K63" s="93">
        <f>G63/CarriersTech_characteristics!$G$2/Conversions!$D$2</f>
        <v>7.0181136795996989E-4</v>
      </c>
      <c r="L63" t="s">
        <v>372</v>
      </c>
      <c r="M63" t="s">
        <v>372</v>
      </c>
      <c r="N63" s="93" t="s">
        <v>372</v>
      </c>
      <c r="O63" s="93" t="b">
        <v>1</v>
      </c>
      <c r="P63" s="93" t="b">
        <v>0</v>
      </c>
      <c r="Q63">
        <v>2400</v>
      </c>
    </row>
    <row r="64" spans="1:17" x14ac:dyDescent="0.25">
      <c r="B64" t="s">
        <v>33</v>
      </c>
      <c r="C64" t="s">
        <v>6</v>
      </c>
      <c r="D64" t="s">
        <v>12</v>
      </c>
      <c r="E64" t="s">
        <v>8</v>
      </c>
      <c r="F64">
        <v>2024</v>
      </c>
      <c r="G64">
        <v>3029.6</v>
      </c>
      <c r="H64">
        <v>8.0000000000000002E-3</v>
      </c>
      <c r="I64">
        <v>-1</v>
      </c>
      <c r="J64" t="s">
        <v>396</v>
      </c>
      <c r="K64" s="93">
        <f>G64/CarriersTech_characteristics!$G$2/Conversions!$D$2</f>
        <v>6.3383744831465921E-4</v>
      </c>
      <c r="L64" t="s">
        <v>372</v>
      </c>
      <c r="M64" t="s">
        <v>372</v>
      </c>
      <c r="N64" s="93" t="s">
        <v>372</v>
      </c>
      <c r="O64" s="93" t="b">
        <v>1</v>
      </c>
      <c r="P64" s="93" t="b">
        <v>0</v>
      </c>
      <c r="Q64">
        <v>1950</v>
      </c>
    </row>
    <row r="65" spans="2:17" x14ac:dyDescent="0.25">
      <c r="B65" t="s">
        <v>33</v>
      </c>
      <c r="C65" t="s">
        <v>6</v>
      </c>
      <c r="D65" t="s">
        <v>12</v>
      </c>
      <c r="E65" t="s">
        <v>9</v>
      </c>
      <c r="F65">
        <v>2024</v>
      </c>
      <c r="G65">
        <v>3174</v>
      </c>
      <c r="H65">
        <v>8.0000000000000002E-3</v>
      </c>
      <c r="I65">
        <v>-1</v>
      </c>
      <c r="J65" t="s">
        <v>396</v>
      </c>
      <c r="K65" s="93">
        <f>G65/CarriersTech_characteristics!$G$2/Conversions!$D$2</f>
        <v>6.6404807926813067E-4</v>
      </c>
      <c r="L65" t="s">
        <v>372</v>
      </c>
      <c r="M65" t="s">
        <v>372</v>
      </c>
      <c r="N65" s="93" t="s">
        <v>372</v>
      </c>
      <c r="O65" s="93" t="b">
        <v>1</v>
      </c>
      <c r="P65" s="93" t="b">
        <v>0</v>
      </c>
      <c r="Q65">
        <v>2150</v>
      </c>
    </row>
    <row r="66" spans="2:17" s="24" customFormat="1" x14ac:dyDescent="0.25">
      <c r="B66" s="24" t="s">
        <v>33</v>
      </c>
      <c r="C66" s="24" t="s">
        <v>6</v>
      </c>
      <c r="D66" s="24" t="s">
        <v>8</v>
      </c>
      <c r="E66" s="24" t="s">
        <v>9</v>
      </c>
      <c r="F66" s="24">
        <v>2024</v>
      </c>
      <c r="G66" s="24">
        <v>3787.9</v>
      </c>
      <c r="H66" s="24">
        <v>8.0000000000000002E-3</v>
      </c>
      <c r="I66" s="24">
        <v>-1</v>
      </c>
      <c r="J66" s="24" t="s">
        <v>396</v>
      </c>
      <c r="K66" s="94">
        <f>G66/CarriersTech_characteristics!$G$2/Conversions!$D$2</f>
        <v>7.9248510379954383E-4</v>
      </c>
      <c r="L66" s="24" t="s">
        <v>372</v>
      </c>
      <c r="M66" s="24" t="s">
        <v>372</v>
      </c>
      <c r="N66" s="94" t="s">
        <v>372</v>
      </c>
      <c r="O66" s="94" t="b">
        <v>1</v>
      </c>
      <c r="P66" s="94" t="b">
        <v>0</v>
      </c>
      <c r="Q66" s="24">
        <v>3000</v>
      </c>
    </row>
    <row r="67" spans="2:17" x14ac:dyDescent="0.25">
      <c r="B67" t="s">
        <v>33</v>
      </c>
      <c r="C67" t="s">
        <v>6</v>
      </c>
      <c r="D67" t="s">
        <v>11</v>
      </c>
      <c r="E67" t="s">
        <v>10</v>
      </c>
      <c r="F67">
        <v>2024</v>
      </c>
      <c r="G67">
        <v>2399.6</v>
      </c>
      <c r="H67">
        <v>8.0000000000000002E-3</v>
      </c>
      <c r="I67">
        <v>-1</v>
      </c>
      <c r="K67" s="93">
        <f>G67/CarriersTech_characteristics!$G$2/Conversions!$D$2</f>
        <v>5.0203206396087145E-4</v>
      </c>
      <c r="L67" t="s">
        <v>372</v>
      </c>
      <c r="M67" t="s">
        <v>372</v>
      </c>
      <c r="N67" s="93" t="s">
        <v>372</v>
      </c>
      <c r="O67" s="93" t="b">
        <v>1</v>
      </c>
      <c r="P67" s="93" t="b">
        <v>0</v>
      </c>
      <c r="Q67">
        <v>1300</v>
      </c>
    </row>
    <row r="68" spans="2:17" x14ac:dyDescent="0.25">
      <c r="B68" t="s">
        <v>33</v>
      </c>
      <c r="C68" t="s">
        <v>6</v>
      </c>
      <c r="D68" t="s">
        <v>12</v>
      </c>
      <c r="E68" t="s">
        <v>10</v>
      </c>
      <c r="F68">
        <v>2024</v>
      </c>
      <c r="G68">
        <v>2497.6</v>
      </c>
      <c r="H68">
        <v>8.0000000000000002E-3</v>
      </c>
      <c r="I68">
        <v>-1</v>
      </c>
      <c r="K68" s="93">
        <f>G68/CarriersTech_characteristics!$G$2/Conversions!$D$2</f>
        <v>5.2253512374923847E-4</v>
      </c>
      <c r="L68" t="s">
        <v>372</v>
      </c>
      <c r="M68" t="s">
        <v>372</v>
      </c>
      <c r="N68" s="93" t="s">
        <v>372</v>
      </c>
      <c r="O68" s="93" t="b">
        <v>1</v>
      </c>
      <c r="P68" s="93" t="b">
        <v>0</v>
      </c>
      <c r="Q68">
        <v>1350</v>
      </c>
    </row>
    <row r="69" spans="2:17" x14ac:dyDescent="0.25">
      <c r="B69" t="s">
        <v>33</v>
      </c>
      <c r="C69" t="s">
        <v>6</v>
      </c>
      <c r="D69" t="s">
        <v>8</v>
      </c>
      <c r="E69" t="s">
        <v>10</v>
      </c>
      <c r="F69">
        <v>2024</v>
      </c>
      <c r="G69">
        <v>2776.7</v>
      </c>
      <c r="H69">
        <v>8.0000000000000002E-3</v>
      </c>
      <c r="I69">
        <v>-1</v>
      </c>
      <c r="K69" s="93">
        <f>G69/CarriersTech_characteristics!$G$2/Conversions!$D$2</f>
        <v>5.8092700116692448E-4</v>
      </c>
      <c r="L69" t="s">
        <v>372</v>
      </c>
      <c r="M69" t="s">
        <v>372</v>
      </c>
      <c r="N69" s="93" t="s">
        <v>372</v>
      </c>
      <c r="O69" s="93" t="b">
        <v>1</v>
      </c>
      <c r="P69" s="93" t="b">
        <v>0</v>
      </c>
      <c r="Q69">
        <v>1600</v>
      </c>
    </row>
    <row r="70" spans="2:17" x14ac:dyDescent="0.25">
      <c r="B70" t="s">
        <v>33</v>
      </c>
      <c r="C70" t="s">
        <v>6</v>
      </c>
      <c r="D70" t="s">
        <v>9</v>
      </c>
      <c r="E70" t="s">
        <v>10</v>
      </c>
      <c r="F70">
        <v>2024</v>
      </c>
      <c r="G70">
        <v>2497.6</v>
      </c>
      <c r="H70">
        <v>8.0000000000000002E-3</v>
      </c>
      <c r="I70">
        <v>-1</v>
      </c>
      <c r="K70" s="93">
        <f>G70/CarriersTech_characteristics!$G$2/Conversions!$D$2</f>
        <v>5.2253512374923847E-4</v>
      </c>
      <c r="L70" t="s">
        <v>372</v>
      </c>
      <c r="M70" t="s">
        <v>372</v>
      </c>
      <c r="N70" s="93" t="s">
        <v>372</v>
      </c>
      <c r="O70" s="93" t="b">
        <v>1</v>
      </c>
      <c r="P70" s="93" t="b">
        <v>0</v>
      </c>
      <c r="Q70">
        <v>1350</v>
      </c>
    </row>
    <row r="71" spans="2:17" x14ac:dyDescent="0.25">
      <c r="B71" t="s">
        <v>33</v>
      </c>
      <c r="C71" t="s">
        <v>6</v>
      </c>
      <c r="D71" t="s">
        <v>12</v>
      </c>
      <c r="E71" t="s">
        <v>11</v>
      </c>
      <c r="F71">
        <v>2024</v>
      </c>
      <c r="G71">
        <v>1838.6</v>
      </c>
      <c r="H71">
        <v>8.0000000000000002E-3</v>
      </c>
      <c r="I71">
        <v>-1</v>
      </c>
      <c r="K71" s="93">
        <f>G71/CarriersTech_characteristics!$G$2/Conversions!$D$2</f>
        <v>3.8466250741726052E-4</v>
      </c>
      <c r="L71" t="s">
        <v>372</v>
      </c>
      <c r="M71" t="s">
        <v>372</v>
      </c>
      <c r="N71" s="93" t="s">
        <v>372</v>
      </c>
      <c r="O71" s="93" t="b">
        <v>1</v>
      </c>
      <c r="P71" s="93" t="b">
        <v>0</v>
      </c>
      <c r="Q71">
        <v>950</v>
      </c>
    </row>
    <row r="72" spans="2:17" x14ac:dyDescent="0.25">
      <c r="B72" t="s">
        <v>33</v>
      </c>
      <c r="C72" t="s">
        <v>6</v>
      </c>
      <c r="D72" t="s">
        <v>8</v>
      </c>
      <c r="E72" t="s">
        <v>11</v>
      </c>
      <c r="F72">
        <v>2024</v>
      </c>
      <c r="G72">
        <v>2160.3000000000002</v>
      </c>
      <c r="H72">
        <v>8.0000000000000002E-3</v>
      </c>
      <c r="I72">
        <v>-1</v>
      </c>
      <c r="K72" s="93">
        <f>G72/CarriersTech_characteristics!$G$2/Conversions!$D$2</f>
        <v>4.5196693939601225E-4</v>
      </c>
      <c r="L72" t="s">
        <v>372</v>
      </c>
      <c r="M72" t="s">
        <v>372</v>
      </c>
      <c r="N72" s="93" t="s">
        <v>372</v>
      </c>
      <c r="O72" s="93" t="b">
        <v>1</v>
      </c>
      <c r="P72" s="93" t="b">
        <v>0</v>
      </c>
      <c r="Q72">
        <v>1150</v>
      </c>
    </row>
    <row r="73" spans="2:17" x14ac:dyDescent="0.25">
      <c r="B73" t="s">
        <v>33</v>
      </c>
      <c r="C73" t="s">
        <v>6</v>
      </c>
      <c r="D73" t="s">
        <v>9</v>
      </c>
      <c r="E73" t="s">
        <v>11</v>
      </c>
      <c r="F73">
        <v>2024</v>
      </c>
      <c r="G73">
        <v>3354.5</v>
      </c>
      <c r="H73">
        <v>8.0000000000000002E-3</v>
      </c>
      <c r="I73">
        <v>-1</v>
      </c>
      <c r="K73" s="93">
        <f>G73/CarriersTech_characteristics!$G$2/Conversions!$D$2</f>
        <v>7.0181136795996989E-4</v>
      </c>
      <c r="L73" t="s">
        <v>372</v>
      </c>
      <c r="M73" t="s">
        <v>372</v>
      </c>
      <c r="N73" s="93" t="s">
        <v>372</v>
      </c>
      <c r="O73" s="93" t="b">
        <v>1</v>
      </c>
      <c r="P73" s="93" t="b">
        <v>0</v>
      </c>
      <c r="Q73">
        <v>2400</v>
      </c>
    </row>
    <row r="74" spans="2:17" x14ac:dyDescent="0.25">
      <c r="B74" t="s">
        <v>33</v>
      </c>
      <c r="C74" t="s">
        <v>6</v>
      </c>
      <c r="D74" t="s">
        <v>8</v>
      </c>
      <c r="E74" t="s">
        <v>12</v>
      </c>
      <c r="F74">
        <v>2024</v>
      </c>
      <c r="G74">
        <v>3029.6</v>
      </c>
      <c r="H74">
        <v>8.0000000000000002E-3</v>
      </c>
      <c r="I74">
        <v>-1</v>
      </c>
      <c r="K74" s="93">
        <f>G74/CarriersTech_characteristics!$G$2/Conversions!$D$2</f>
        <v>6.3383744831465921E-4</v>
      </c>
      <c r="L74" t="s">
        <v>372</v>
      </c>
      <c r="M74" t="s">
        <v>372</v>
      </c>
      <c r="N74" s="93" t="s">
        <v>372</v>
      </c>
      <c r="O74" s="93" t="b">
        <v>1</v>
      </c>
      <c r="P74" s="93" t="b">
        <v>0</v>
      </c>
      <c r="Q74">
        <v>1950</v>
      </c>
    </row>
    <row r="75" spans="2:17" x14ac:dyDescent="0.25">
      <c r="B75" t="s">
        <v>33</v>
      </c>
      <c r="C75" t="s">
        <v>6</v>
      </c>
      <c r="D75" t="s">
        <v>9</v>
      </c>
      <c r="E75" t="s">
        <v>12</v>
      </c>
      <c r="F75">
        <v>2024</v>
      </c>
      <c r="G75">
        <v>3174</v>
      </c>
      <c r="H75">
        <v>8.0000000000000002E-3</v>
      </c>
      <c r="I75">
        <v>-1</v>
      </c>
      <c r="K75" s="93">
        <f>G75/CarriersTech_characteristics!$G$2/Conversions!$D$2</f>
        <v>6.6404807926813067E-4</v>
      </c>
      <c r="L75" t="s">
        <v>372</v>
      </c>
      <c r="M75" t="s">
        <v>372</v>
      </c>
      <c r="N75" s="93" t="s">
        <v>372</v>
      </c>
      <c r="O75" s="93" t="b">
        <v>1</v>
      </c>
      <c r="P75" s="93" t="b">
        <v>0</v>
      </c>
      <c r="Q75">
        <v>2150</v>
      </c>
    </row>
    <row r="76" spans="2:17" s="24" customFormat="1" x14ac:dyDescent="0.25">
      <c r="B76" s="24" t="s">
        <v>33</v>
      </c>
      <c r="C76" s="24" t="s">
        <v>6</v>
      </c>
      <c r="D76" s="24" t="s">
        <v>9</v>
      </c>
      <c r="E76" s="24" t="s">
        <v>8</v>
      </c>
      <c r="F76" s="24">
        <v>2024</v>
      </c>
      <c r="G76" s="24">
        <v>3787.9</v>
      </c>
      <c r="H76" s="24">
        <v>8.0000000000000002E-3</v>
      </c>
      <c r="I76" s="24">
        <v>-1</v>
      </c>
      <c r="K76" s="94">
        <f>G76/CarriersTech_characteristics!$G$2/Conversions!$D$2</f>
        <v>7.9248510379954383E-4</v>
      </c>
      <c r="L76" s="24" t="s">
        <v>372</v>
      </c>
      <c r="M76" s="24" t="s">
        <v>372</v>
      </c>
      <c r="N76" s="94" t="s">
        <v>372</v>
      </c>
      <c r="O76" s="94" t="b">
        <v>1</v>
      </c>
      <c r="P76" s="94" t="b">
        <v>0</v>
      </c>
      <c r="Q76" s="24">
        <v>3000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4C73-D470-4D0C-9696-8E7CCC98AAC3}">
  <dimension ref="A1:P51"/>
  <sheetViews>
    <sheetView workbookViewId="0">
      <selection activeCell="N27" sqref="N27"/>
    </sheetView>
  </sheetViews>
  <sheetFormatPr defaultRowHeight="15" x14ac:dyDescent="0.25"/>
  <cols>
    <col min="1" max="1" width="14.7109375" customWidth="1"/>
    <col min="4" max="4" width="20.42578125" customWidth="1"/>
    <col min="5" max="5" width="18" customWidth="1"/>
    <col min="6" max="6" width="12" bestFit="1" customWidth="1"/>
    <col min="7" max="7" width="16.7109375" customWidth="1"/>
    <col min="8" max="8" width="13" customWidth="1"/>
    <col min="11" max="11" width="16.7109375" bestFit="1" customWidth="1"/>
    <col min="12" max="12" width="12.7109375" bestFit="1" customWidth="1"/>
    <col min="13" max="13" width="13.140625" bestFit="1" customWidth="1"/>
    <col min="15" max="15" width="11.5703125" bestFit="1" customWidth="1"/>
    <col min="16" max="16" width="10" bestFit="1" customWidth="1"/>
  </cols>
  <sheetData>
    <row r="1" spans="1:16" x14ac:dyDescent="0.25">
      <c r="A1" t="s">
        <v>146</v>
      </c>
      <c r="B1" t="s">
        <v>373</v>
      </c>
      <c r="C1" t="s">
        <v>373</v>
      </c>
      <c r="D1" t="s">
        <v>373</v>
      </c>
      <c r="E1" t="s">
        <v>373</v>
      </c>
      <c r="F1" t="s">
        <v>373</v>
      </c>
      <c r="G1" t="s">
        <v>373</v>
      </c>
      <c r="H1" t="s">
        <v>373</v>
      </c>
      <c r="I1" t="s">
        <v>373</v>
      </c>
    </row>
    <row r="2" spans="1:16" x14ac:dyDescent="0.25">
      <c r="A2" t="s">
        <v>224</v>
      </c>
      <c r="B2" s="14" t="s">
        <v>52</v>
      </c>
      <c r="C2" s="14" t="s">
        <v>75</v>
      </c>
      <c r="D2" s="14" t="s">
        <v>76</v>
      </c>
      <c r="E2" s="14" t="s">
        <v>78</v>
      </c>
      <c r="F2" s="14" t="s">
        <v>3</v>
      </c>
      <c r="G2" s="14" t="s">
        <v>79</v>
      </c>
      <c r="H2" s="14" t="s">
        <v>80</v>
      </c>
      <c r="I2" s="14" t="s">
        <v>81</v>
      </c>
    </row>
    <row r="3" spans="1:16" x14ac:dyDescent="0.25">
      <c r="A3" t="s">
        <v>83</v>
      </c>
      <c r="G3" t="s">
        <v>84</v>
      </c>
      <c r="H3" t="s">
        <v>85</v>
      </c>
      <c r="I3" t="s">
        <v>86</v>
      </c>
      <c r="K3" t="s">
        <v>93</v>
      </c>
      <c r="L3" t="s">
        <v>94</v>
      </c>
      <c r="M3" t="s">
        <v>95</v>
      </c>
      <c r="N3" t="s">
        <v>96</v>
      </c>
    </row>
    <row r="4" spans="1:16" x14ac:dyDescent="0.25">
      <c r="A4" t="s">
        <v>155</v>
      </c>
      <c r="G4" t="s">
        <v>378</v>
      </c>
      <c r="H4" t="s">
        <v>379</v>
      </c>
      <c r="I4" t="s">
        <v>385</v>
      </c>
      <c r="L4" t="s">
        <v>384</v>
      </c>
      <c r="M4" t="s">
        <v>384</v>
      </c>
    </row>
    <row r="5" spans="1:16" x14ac:dyDescent="0.25">
      <c r="A5" t="s">
        <v>225</v>
      </c>
      <c r="K5" t="s">
        <v>380</v>
      </c>
      <c r="L5" t="s">
        <v>382</v>
      </c>
      <c r="M5" t="s">
        <v>383</v>
      </c>
    </row>
    <row r="6" spans="1:16" s="8" customFormat="1" x14ac:dyDescent="0.25">
      <c r="A6" s="24" t="s">
        <v>226</v>
      </c>
      <c r="D6" s="8" t="s">
        <v>374</v>
      </c>
      <c r="E6" s="8" t="s">
        <v>375</v>
      </c>
      <c r="F6" s="8" t="s">
        <v>3</v>
      </c>
      <c r="H6" s="8" t="s">
        <v>376</v>
      </c>
      <c r="K6" s="8" t="s">
        <v>276</v>
      </c>
      <c r="L6" s="8" t="s">
        <v>377</v>
      </c>
      <c r="M6" s="8" t="s">
        <v>239</v>
      </c>
      <c r="N6" s="8" t="s">
        <v>293</v>
      </c>
      <c r="O6" s="8" t="s">
        <v>391</v>
      </c>
      <c r="P6" s="8" t="s">
        <v>392</v>
      </c>
    </row>
    <row r="7" spans="1:16" x14ac:dyDescent="0.25">
      <c r="A7" t="str">
        <f>"distribution"</f>
        <v>distribution</v>
      </c>
      <c r="B7" t="s">
        <v>34</v>
      </c>
      <c r="C7" t="s">
        <v>6</v>
      </c>
      <c r="D7" t="s">
        <v>12</v>
      </c>
      <c r="E7" t="s">
        <v>12</v>
      </c>
      <c r="F7">
        <v>2024</v>
      </c>
      <c r="G7">
        <v>2.6248298320000001</v>
      </c>
      <c r="H7">
        <v>0.14930632299999999</v>
      </c>
      <c r="I7">
        <v>-1</v>
      </c>
      <c r="K7" s="56">
        <f>G7/1000</f>
        <v>2.6248298320000001E-3</v>
      </c>
      <c r="L7">
        <v>0</v>
      </c>
      <c r="M7" t="s">
        <v>381</v>
      </c>
      <c r="N7" t="s">
        <v>372</v>
      </c>
      <c r="O7" t="b">
        <v>1</v>
      </c>
      <c r="P7" t="b">
        <v>0</v>
      </c>
    </row>
    <row r="8" spans="1:16" x14ac:dyDescent="0.25">
      <c r="A8" t="str">
        <f>"distribution"</f>
        <v>distribution</v>
      </c>
      <c r="B8" t="s">
        <v>34</v>
      </c>
      <c r="C8" t="s">
        <v>6</v>
      </c>
      <c r="D8" t="s">
        <v>11</v>
      </c>
      <c r="E8" t="s">
        <v>11</v>
      </c>
      <c r="F8">
        <v>2024</v>
      </c>
      <c r="G8">
        <v>1.8783627890000001</v>
      </c>
      <c r="H8">
        <v>0.12258155699999999</v>
      </c>
      <c r="I8">
        <v>-1</v>
      </c>
      <c r="K8">
        <f t="shared" ref="K8:K31" si="0">G8/1000</f>
        <v>1.8783627890000001E-3</v>
      </c>
      <c r="L8">
        <v>0</v>
      </c>
      <c r="M8" t="s">
        <v>381</v>
      </c>
      <c r="N8" t="s">
        <v>372</v>
      </c>
      <c r="O8" t="b">
        <v>1</v>
      </c>
      <c r="P8" t="b">
        <v>0</v>
      </c>
    </row>
    <row r="9" spans="1:16" x14ac:dyDescent="0.25">
      <c r="A9" t="str">
        <f>"distribution"</f>
        <v>distribution</v>
      </c>
      <c r="B9" t="s">
        <v>34</v>
      </c>
      <c r="C9" t="s">
        <v>6</v>
      </c>
      <c r="D9" t="s">
        <v>8</v>
      </c>
      <c r="E9" t="s">
        <v>8</v>
      </c>
      <c r="F9">
        <v>2024</v>
      </c>
      <c r="G9">
        <v>2.8361182519999999</v>
      </c>
      <c r="H9">
        <v>0.106457711</v>
      </c>
      <c r="I9">
        <v>-1</v>
      </c>
      <c r="K9">
        <f t="shared" si="0"/>
        <v>2.8361182519999997E-3</v>
      </c>
      <c r="L9">
        <v>0</v>
      </c>
      <c r="M9" t="s">
        <v>381</v>
      </c>
      <c r="N9" t="s">
        <v>372</v>
      </c>
      <c r="O9" t="b">
        <v>1</v>
      </c>
      <c r="P9" t="b">
        <v>0</v>
      </c>
    </row>
    <row r="10" spans="1:16" x14ac:dyDescent="0.25">
      <c r="A10" t="str">
        <f>"distribution"</f>
        <v>distribution</v>
      </c>
      <c r="B10" t="s">
        <v>34</v>
      </c>
      <c r="C10" t="s">
        <v>6</v>
      </c>
      <c r="D10" t="s">
        <v>10</v>
      </c>
      <c r="E10" t="s">
        <v>10</v>
      </c>
      <c r="F10">
        <v>2024</v>
      </c>
      <c r="G10">
        <v>1.827294889</v>
      </c>
      <c r="H10">
        <v>0.17367141</v>
      </c>
      <c r="I10">
        <v>-1</v>
      </c>
      <c r="K10">
        <f t="shared" si="0"/>
        <v>1.8272948890000001E-3</v>
      </c>
      <c r="L10">
        <v>0</v>
      </c>
      <c r="M10" t="s">
        <v>381</v>
      </c>
      <c r="N10" t="s">
        <v>372</v>
      </c>
      <c r="O10" t="b">
        <v>1</v>
      </c>
      <c r="P10" t="b">
        <v>0</v>
      </c>
    </row>
    <row r="11" spans="1:16" s="24" customFormat="1" x14ac:dyDescent="0.25">
      <c r="A11" s="24" t="str">
        <f>"distribution"</f>
        <v>distribution</v>
      </c>
      <c r="B11" s="24" t="s">
        <v>34</v>
      </c>
      <c r="C11" s="24" t="s">
        <v>6</v>
      </c>
      <c r="D11" s="24" t="s">
        <v>9</v>
      </c>
      <c r="E11" s="24" t="s">
        <v>9</v>
      </c>
      <c r="F11" s="24">
        <v>2024</v>
      </c>
      <c r="G11" s="24">
        <v>4.6461250850000004</v>
      </c>
      <c r="H11" s="24">
        <v>0.15154467499999999</v>
      </c>
      <c r="I11" s="24">
        <v>-1</v>
      </c>
      <c r="K11" s="24">
        <f t="shared" si="0"/>
        <v>4.6461250850000002E-3</v>
      </c>
      <c r="L11" s="24">
        <v>0</v>
      </c>
      <c r="M11" s="24" t="s">
        <v>381</v>
      </c>
      <c r="N11" s="24" t="s">
        <v>372</v>
      </c>
      <c r="O11" s="24" t="b">
        <v>1</v>
      </c>
      <c r="P11" s="24" t="b">
        <v>0</v>
      </c>
    </row>
    <row r="12" spans="1:16" x14ac:dyDescent="0.25">
      <c r="A12" t="s">
        <v>390</v>
      </c>
      <c r="B12" t="s">
        <v>34</v>
      </c>
      <c r="C12" t="s">
        <v>6</v>
      </c>
      <c r="D12" t="s">
        <v>12</v>
      </c>
      <c r="E12" t="s">
        <v>11</v>
      </c>
      <c r="F12">
        <v>2024</v>
      </c>
      <c r="G12">
        <v>0.50994571399999999</v>
      </c>
      <c r="H12">
        <v>3.5000000000000003E-2</v>
      </c>
      <c r="I12">
        <v>36.72</v>
      </c>
      <c r="K12">
        <f t="shared" si="0"/>
        <v>5.09945714E-4</v>
      </c>
      <c r="L12">
        <v>0</v>
      </c>
      <c r="M12">
        <v>36720</v>
      </c>
      <c r="N12" t="s">
        <v>372</v>
      </c>
      <c r="O12" t="b">
        <v>0</v>
      </c>
      <c r="P12" t="b">
        <v>0</v>
      </c>
    </row>
    <row r="13" spans="1:16" x14ac:dyDescent="0.25">
      <c r="A13" t="s">
        <v>390</v>
      </c>
      <c r="B13" t="s">
        <v>34</v>
      </c>
      <c r="C13" t="s">
        <v>6</v>
      </c>
      <c r="D13" t="s">
        <v>11</v>
      </c>
      <c r="E13" t="s">
        <v>8</v>
      </c>
      <c r="F13">
        <v>2024</v>
      </c>
      <c r="G13">
        <v>0.50994571399999999</v>
      </c>
      <c r="H13">
        <v>3.5000000000000003E-2</v>
      </c>
      <c r="I13">
        <v>22.32</v>
      </c>
      <c r="K13">
        <f t="shared" si="0"/>
        <v>5.09945714E-4</v>
      </c>
      <c r="L13">
        <v>0</v>
      </c>
      <c r="M13">
        <v>18120</v>
      </c>
      <c r="N13" t="s">
        <v>372</v>
      </c>
      <c r="O13" t="b">
        <v>0</v>
      </c>
      <c r="P13" t="b">
        <v>0</v>
      </c>
    </row>
    <row r="14" spans="1:16" x14ac:dyDescent="0.25">
      <c r="A14" t="s">
        <v>390</v>
      </c>
      <c r="B14" t="s">
        <v>34</v>
      </c>
      <c r="C14" t="s">
        <v>6</v>
      </c>
      <c r="D14" t="s">
        <v>8</v>
      </c>
      <c r="E14" t="s">
        <v>10</v>
      </c>
      <c r="F14">
        <v>2024</v>
      </c>
      <c r="G14">
        <v>0.50994571399999999</v>
      </c>
      <c r="H14">
        <v>3.5000000000000003E-2</v>
      </c>
      <c r="I14">
        <v>5.83</v>
      </c>
      <c r="K14">
        <f t="shared" si="0"/>
        <v>5.09945714E-4</v>
      </c>
      <c r="L14">
        <v>0</v>
      </c>
      <c r="M14">
        <v>5830</v>
      </c>
      <c r="N14" t="s">
        <v>372</v>
      </c>
      <c r="O14" t="b">
        <v>0</v>
      </c>
      <c r="P14" t="b">
        <v>0</v>
      </c>
    </row>
    <row r="15" spans="1:16" x14ac:dyDescent="0.25">
      <c r="A15" t="s">
        <v>390</v>
      </c>
      <c r="B15" t="s">
        <v>34</v>
      </c>
      <c r="C15" t="s">
        <v>6</v>
      </c>
      <c r="D15" t="s">
        <v>10</v>
      </c>
      <c r="E15" t="s">
        <v>9</v>
      </c>
      <c r="F15">
        <v>2024</v>
      </c>
      <c r="G15">
        <v>0.50994571399999999</v>
      </c>
      <c r="H15">
        <v>3.5000000000000003E-2</v>
      </c>
      <c r="I15">
        <v>2.95</v>
      </c>
      <c r="K15">
        <f t="shared" si="0"/>
        <v>5.09945714E-4</v>
      </c>
      <c r="L15">
        <v>0</v>
      </c>
      <c r="M15">
        <v>2860</v>
      </c>
      <c r="N15" t="s">
        <v>372</v>
      </c>
      <c r="O15" t="b">
        <v>0</v>
      </c>
      <c r="P15" t="b">
        <v>0</v>
      </c>
    </row>
    <row r="16" spans="1:16" x14ac:dyDescent="0.25">
      <c r="A16" t="s">
        <v>390</v>
      </c>
      <c r="B16" t="s">
        <v>34</v>
      </c>
      <c r="C16" t="s">
        <v>6</v>
      </c>
      <c r="D16" t="s">
        <v>9</v>
      </c>
      <c r="E16" t="s">
        <v>12</v>
      </c>
      <c r="F16">
        <v>2024</v>
      </c>
      <c r="G16">
        <v>0.50994571399999999</v>
      </c>
      <c r="H16">
        <v>3.5000000000000003E-2</v>
      </c>
      <c r="I16">
        <v>3</v>
      </c>
      <c r="K16">
        <f t="shared" si="0"/>
        <v>5.09945714E-4</v>
      </c>
      <c r="L16">
        <v>0</v>
      </c>
      <c r="M16">
        <v>3000</v>
      </c>
      <c r="N16" t="s">
        <v>372</v>
      </c>
      <c r="O16" t="b">
        <v>0</v>
      </c>
      <c r="P16" t="b">
        <v>0</v>
      </c>
    </row>
    <row r="17" spans="1:16" x14ac:dyDescent="0.25">
      <c r="A17" t="s">
        <v>390</v>
      </c>
      <c r="B17" t="s">
        <v>34</v>
      </c>
      <c r="C17" t="s">
        <v>6</v>
      </c>
      <c r="D17" t="s">
        <v>12</v>
      </c>
      <c r="E17" t="s">
        <v>8</v>
      </c>
      <c r="F17">
        <v>2024</v>
      </c>
      <c r="G17">
        <v>0.50994571399999999</v>
      </c>
      <c r="H17">
        <v>3.5000000000000003E-2</v>
      </c>
      <c r="I17">
        <v>0</v>
      </c>
      <c r="K17">
        <f t="shared" si="0"/>
        <v>5.09945714E-4</v>
      </c>
      <c r="L17">
        <v>0</v>
      </c>
      <c r="M17">
        <v>0</v>
      </c>
      <c r="N17" t="s">
        <v>372</v>
      </c>
      <c r="O17" t="b">
        <v>0</v>
      </c>
      <c r="P17" t="b">
        <v>0</v>
      </c>
    </row>
    <row r="18" spans="1:16" x14ac:dyDescent="0.25">
      <c r="A18" t="s">
        <v>390</v>
      </c>
      <c r="B18" t="s">
        <v>34</v>
      </c>
      <c r="C18" t="s">
        <v>6</v>
      </c>
      <c r="D18" t="s">
        <v>11</v>
      </c>
      <c r="E18" t="s">
        <v>10</v>
      </c>
      <c r="F18">
        <v>2024</v>
      </c>
      <c r="G18">
        <v>0.50994571399999999</v>
      </c>
      <c r="H18">
        <v>3.5000000000000003E-2</v>
      </c>
      <c r="I18">
        <v>21.19</v>
      </c>
      <c r="K18">
        <f t="shared" si="0"/>
        <v>5.09945714E-4</v>
      </c>
      <c r="L18">
        <v>0</v>
      </c>
      <c r="M18">
        <v>21190</v>
      </c>
      <c r="N18" t="s">
        <v>372</v>
      </c>
      <c r="O18" t="b">
        <v>0</v>
      </c>
      <c r="P18" t="b">
        <v>0</v>
      </c>
    </row>
    <row r="19" spans="1:16" x14ac:dyDescent="0.25">
      <c r="A19" t="s">
        <v>390</v>
      </c>
      <c r="B19" t="s">
        <v>34</v>
      </c>
      <c r="C19" t="s">
        <v>6</v>
      </c>
      <c r="D19" t="s">
        <v>8</v>
      </c>
      <c r="E19" t="s">
        <v>9</v>
      </c>
      <c r="F19">
        <v>2024</v>
      </c>
      <c r="G19">
        <v>0.50994571399999999</v>
      </c>
      <c r="H19">
        <v>3.5000000000000003E-2</v>
      </c>
      <c r="I19">
        <v>0</v>
      </c>
      <c r="K19">
        <f t="shared" si="0"/>
        <v>5.09945714E-4</v>
      </c>
      <c r="L19">
        <v>0</v>
      </c>
      <c r="M19">
        <v>0</v>
      </c>
      <c r="N19" t="s">
        <v>372</v>
      </c>
      <c r="O19" t="b">
        <v>0</v>
      </c>
      <c r="P19" t="b">
        <v>0</v>
      </c>
    </row>
    <row r="20" spans="1:16" x14ac:dyDescent="0.25">
      <c r="A20" t="s">
        <v>390</v>
      </c>
      <c r="B20" t="s">
        <v>34</v>
      </c>
      <c r="C20" t="s">
        <v>6</v>
      </c>
      <c r="D20" t="s">
        <v>10</v>
      </c>
      <c r="E20" t="s">
        <v>12</v>
      </c>
      <c r="F20">
        <v>2024</v>
      </c>
      <c r="G20">
        <v>0.50994571399999999</v>
      </c>
      <c r="H20">
        <v>3.5000000000000003E-2</v>
      </c>
      <c r="I20">
        <v>22.53</v>
      </c>
      <c r="K20">
        <f t="shared" si="0"/>
        <v>5.09945714E-4</v>
      </c>
      <c r="L20">
        <v>0</v>
      </c>
      <c r="M20">
        <v>22530</v>
      </c>
      <c r="N20" t="s">
        <v>372</v>
      </c>
      <c r="O20" t="b">
        <v>0</v>
      </c>
      <c r="P20" t="b">
        <v>0</v>
      </c>
    </row>
    <row r="21" spans="1:16" x14ac:dyDescent="0.25">
      <c r="A21" t="s">
        <v>390</v>
      </c>
      <c r="B21" t="s">
        <v>34</v>
      </c>
      <c r="C21" t="s">
        <v>6</v>
      </c>
      <c r="D21" t="s">
        <v>9</v>
      </c>
      <c r="E21" t="s">
        <v>11</v>
      </c>
      <c r="F21">
        <v>2024</v>
      </c>
      <c r="G21">
        <v>0.50994571399999999</v>
      </c>
      <c r="H21">
        <v>3.5000000000000003E-2</v>
      </c>
      <c r="I21">
        <v>0</v>
      </c>
      <c r="K21">
        <f t="shared" si="0"/>
        <v>5.09945714E-4</v>
      </c>
      <c r="L21">
        <v>0</v>
      </c>
      <c r="M21">
        <v>0</v>
      </c>
      <c r="N21" t="s">
        <v>372</v>
      </c>
      <c r="O21" t="b">
        <v>0</v>
      </c>
      <c r="P21" t="b">
        <v>0</v>
      </c>
    </row>
    <row r="22" spans="1:16" x14ac:dyDescent="0.25">
      <c r="A22" t="s">
        <v>390</v>
      </c>
      <c r="B22" t="s">
        <v>34</v>
      </c>
      <c r="C22" t="s">
        <v>6</v>
      </c>
      <c r="D22" t="s">
        <v>12</v>
      </c>
      <c r="E22" t="s">
        <v>10</v>
      </c>
      <c r="F22">
        <v>2024</v>
      </c>
      <c r="G22">
        <v>0.50994571399999999</v>
      </c>
      <c r="H22">
        <v>3.5000000000000003E-2</v>
      </c>
      <c r="I22">
        <v>19.53</v>
      </c>
      <c r="K22">
        <f t="shared" si="0"/>
        <v>5.09945714E-4</v>
      </c>
      <c r="L22">
        <v>0</v>
      </c>
      <c r="M22">
        <v>19530</v>
      </c>
      <c r="N22" t="s">
        <v>372</v>
      </c>
      <c r="O22" t="b">
        <v>0</v>
      </c>
      <c r="P22" t="b">
        <v>0</v>
      </c>
    </row>
    <row r="23" spans="1:16" x14ac:dyDescent="0.25">
      <c r="A23" t="s">
        <v>390</v>
      </c>
      <c r="B23" t="s">
        <v>34</v>
      </c>
      <c r="C23" t="s">
        <v>6</v>
      </c>
      <c r="D23" t="s">
        <v>11</v>
      </c>
      <c r="E23" t="s">
        <v>9</v>
      </c>
      <c r="F23">
        <v>2024</v>
      </c>
      <c r="G23">
        <v>0.50994571399999999</v>
      </c>
      <c r="H23">
        <v>3.5000000000000003E-2</v>
      </c>
      <c r="I23">
        <v>0</v>
      </c>
      <c r="K23">
        <f t="shared" si="0"/>
        <v>5.09945714E-4</v>
      </c>
      <c r="L23">
        <v>0</v>
      </c>
      <c r="M23">
        <v>0</v>
      </c>
      <c r="N23" t="s">
        <v>372</v>
      </c>
      <c r="O23" t="b">
        <v>0</v>
      </c>
      <c r="P23" t="b">
        <v>0</v>
      </c>
    </row>
    <row r="24" spans="1:16" x14ac:dyDescent="0.25">
      <c r="A24" t="s">
        <v>390</v>
      </c>
      <c r="B24" t="s">
        <v>34</v>
      </c>
      <c r="C24" t="s">
        <v>6</v>
      </c>
      <c r="D24" t="s">
        <v>8</v>
      </c>
      <c r="E24" t="s">
        <v>12</v>
      </c>
      <c r="F24">
        <v>2024</v>
      </c>
      <c r="G24">
        <v>0.50994571399999999</v>
      </c>
      <c r="H24">
        <v>3.5000000000000003E-2</v>
      </c>
      <c r="I24">
        <v>0</v>
      </c>
      <c r="K24">
        <f t="shared" si="0"/>
        <v>5.09945714E-4</v>
      </c>
      <c r="L24">
        <v>0</v>
      </c>
      <c r="M24">
        <v>0</v>
      </c>
      <c r="N24" t="s">
        <v>372</v>
      </c>
      <c r="O24" t="b">
        <v>0</v>
      </c>
      <c r="P24" t="b">
        <v>0</v>
      </c>
    </row>
    <row r="25" spans="1:16" x14ac:dyDescent="0.25">
      <c r="A25" t="s">
        <v>390</v>
      </c>
      <c r="B25" t="s">
        <v>34</v>
      </c>
      <c r="C25" t="s">
        <v>6</v>
      </c>
      <c r="D25" t="s">
        <v>10</v>
      </c>
      <c r="E25" t="s">
        <v>11</v>
      </c>
      <c r="F25">
        <v>2024</v>
      </c>
      <c r="G25">
        <v>0.50994571399999999</v>
      </c>
      <c r="H25">
        <v>3.5000000000000003E-2</v>
      </c>
      <c r="I25">
        <v>21.19</v>
      </c>
      <c r="K25">
        <f t="shared" si="0"/>
        <v>5.09945714E-4</v>
      </c>
      <c r="L25">
        <v>0</v>
      </c>
      <c r="M25">
        <v>21190</v>
      </c>
      <c r="N25" t="s">
        <v>372</v>
      </c>
      <c r="O25" t="b">
        <v>0</v>
      </c>
      <c r="P25" t="b">
        <v>0</v>
      </c>
    </row>
    <row r="26" spans="1:16" x14ac:dyDescent="0.25">
      <c r="A26" t="s">
        <v>390</v>
      </c>
      <c r="B26" t="s">
        <v>34</v>
      </c>
      <c r="C26" t="s">
        <v>6</v>
      </c>
      <c r="D26" t="s">
        <v>9</v>
      </c>
      <c r="E26" t="s">
        <v>8</v>
      </c>
      <c r="F26">
        <v>2024</v>
      </c>
      <c r="G26">
        <v>0.50994571399999999</v>
      </c>
      <c r="H26">
        <v>3.5000000000000003E-2</v>
      </c>
      <c r="I26">
        <v>0</v>
      </c>
      <c r="K26">
        <f t="shared" si="0"/>
        <v>5.09945714E-4</v>
      </c>
      <c r="L26">
        <v>0</v>
      </c>
      <c r="M26">
        <v>0</v>
      </c>
      <c r="N26" t="s">
        <v>372</v>
      </c>
      <c r="O26" t="b">
        <v>0</v>
      </c>
      <c r="P26" t="b">
        <v>0</v>
      </c>
    </row>
    <row r="27" spans="1:16" x14ac:dyDescent="0.25">
      <c r="A27" t="s">
        <v>390</v>
      </c>
      <c r="B27" t="s">
        <v>34</v>
      </c>
      <c r="C27" t="s">
        <v>6</v>
      </c>
      <c r="D27" t="s">
        <v>12</v>
      </c>
      <c r="E27" t="s">
        <v>9</v>
      </c>
      <c r="F27">
        <v>2024</v>
      </c>
      <c r="G27">
        <v>0.50994571399999999</v>
      </c>
      <c r="H27">
        <v>3.5000000000000003E-2</v>
      </c>
      <c r="I27">
        <v>1.5</v>
      </c>
      <c r="K27">
        <f t="shared" si="0"/>
        <v>5.09945714E-4</v>
      </c>
      <c r="L27">
        <v>0</v>
      </c>
      <c r="M27">
        <v>1500</v>
      </c>
      <c r="N27" t="s">
        <v>372</v>
      </c>
      <c r="O27" t="b">
        <v>0</v>
      </c>
      <c r="P27" t="b">
        <v>0</v>
      </c>
    </row>
    <row r="28" spans="1:16" x14ac:dyDescent="0.25">
      <c r="A28" t="s">
        <v>390</v>
      </c>
      <c r="B28" t="s">
        <v>34</v>
      </c>
      <c r="C28" t="s">
        <v>6</v>
      </c>
      <c r="D28" t="s">
        <v>11</v>
      </c>
      <c r="E28" t="s">
        <v>12</v>
      </c>
      <c r="F28">
        <v>2024</v>
      </c>
      <c r="G28">
        <v>0.50994571399999999</v>
      </c>
      <c r="H28">
        <v>3.5000000000000003E-2</v>
      </c>
      <c r="I28">
        <v>32.57</v>
      </c>
      <c r="K28">
        <f t="shared" si="0"/>
        <v>5.09945714E-4</v>
      </c>
      <c r="L28">
        <v>0</v>
      </c>
      <c r="M28">
        <v>32570</v>
      </c>
      <c r="N28" t="s">
        <v>372</v>
      </c>
      <c r="O28" t="b">
        <v>0</v>
      </c>
      <c r="P28" t="b">
        <v>0</v>
      </c>
    </row>
    <row r="29" spans="1:16" x14ac:dyDescent="0.25">
      <c r="A29" t="s">
        <v>390</v>
      </c>
      <c r="B29" t="s">
        <v>34</v>
      </c>
      <c r="C29" t="s">
        <v>6</v>
      </c>
      <c r="D29" t="s">
        <v>8</v>
      </c>
      <c r="E29" t="s">
        <v>11</v>
      </c>
      <c r="F29">
        <v>2024</v>
      </c>
      <c r="G29">
        <v>0.50994571399999999</v>
      </c>
      <c r="H29">
        <v>3.5000000000000003E-2</v>
      </c>
      <c r="I29">
        <v>19.93</v>
      </c>
      <c r="K29">
        <f t="shared" si="0"/>
        <v>5.09945714E-4</v>
      </c>
      <c r="L29">
        <v>0</v>
      </c>
      <c r="M29">
        <v>16178</v>
      </c>
      <c r="N29" t="s">
        <v>372</v>
      </c>
      <c r="O29" t="b">
        <v>0</v>
      </c>
      <c r="P29" t="b">
        <v>0</v>
      </c>
    </row>
    <row r="30" spans="1:16" x14ac:dyDescent="0.25">
      <c r="A30" t="s">
        <v>390</v>
      </c>
      <c r="B30" t="s">
        <v>34</v>
      </c>
      <c r="C30" t="s">
        <v>6</v>
      </c>
      <c r="D30" t="s">
        <v>10</v>
      </c>
      <c r="E30" t="s">
        <v>8</v>
      </c>
      <c r="F30">
        <v>2024</v>
      </c>
      <c r="G30">
        <v>0.50994571399999999</v>
      </c>
      <c r="H30">
        <v>3.5000000000000003E-2</v>
      </c>
      <c r="I30">
        <v>7.83</v>
      </c>
      <c r="K30">
        <f t="shared" si="0"/>
        <v>5.09945714E-4</v>
      </c>
      <c r="L30">
        <v>0</v>
      </c>
      <c r="M30">
        <v>7830</v>
      </c>
      <c r="N30" t="s">
        <v>372</v>
      </c>
      <c r="O30" t="b">
        <v>0</v>
      </c>
      <c r="P30" t="b">
        <v>0</v>
      </c>
    </row>
    <row r="31" spans="1:16" s="24" customFormat="1" x14ac:dyDescent="0.25">
      <c r="A31" s="24" t="s">
        <v>390</v>
      </c>
      <c r="B31" s="24" t="s">
        <v>34</v>
      </c>
      <c r="C31" s="24" t="s">
        <v>6</v>
      </c>
      <c r="D31" s="24" t="s">
        <v>9</v>
      </c>
      <c r="E31" s="24" t="s">
        <v>10</v>
      </c>
      <c r="F31" s="24">
        <v>2024</v>
      </c>
      <c r="G31" s="24">
        <v>0.50994571399999999</v>
      </c>
      <c r="H31" s="24">
        <v>3.5000000000000003E-2</v>
      </c>
      <c r="I31" s="24">
        <v>2.95</v>
      </c>
      <c r="K31" s="24">
        <f t="shared" si="0"/>
        <v>5.09945714E-4</v>
      </c>
      <c r="L31" s="24">
        <v>0</v>
      </c>
      <c r="M31" s="24">
        <v>2860</v>
      </c>
      <c r="N31" s="24" t="s">
        <v>372</v>
      </c>
      <c r="O31" s="24" t="b">
        <v>0</v>
      </c>
      <c r="P31" s="24" t="b">
        <v>0</v>
      </c>
    </row>
    <row r="32" spans="1:16" x14ac:dyDescent="0.25">
      <c r="B32" t="s">
        <v>34</v>
      </c>
      <c r="C32" t="s">
        <v>6</v>
      </c>
      <c r="D32" t="s">
        <v>12</v>
      </c>
      <c r="E32" t="s">
        <v>11</v>
      </c>
      <c r="F32">
        <v>2024</v>
      </c>
      <c r="G32">
        <v>0.50994571399999999</v>
      </c>
      <c r="H32">
        <v>3.5000000000000003E-2</v>
      </c>
      <c r="I32">
        <v>36.72</v>
      </c>
      <c r="K32">
        <f t="shared" ref="K32:K51" si="1">G32/1000</f>
        <v>5.09945714E-4</v>
      </c>
      <c r="L32">
        <v>0</v>
      </c>
      <c r="M32">
        <v>0</v>
      </c>
      <c r="N32" t="s">
        <v>372</v>
      </c>
      <c r="O32" t="b">
        <v>1</v>
      </c>
      <c r="P32" t="b">
        <v>0</v>
      </c>
    </row>
    <row r="33" spans="2:16" x14ac:dyDescent="0.25">
      <c r="B33" t="s">
        <v>34</v>
      </c>
      <c r="C33" t="s">
        <v>6</v>
      </c>
      <c r="D33" t="s">
        <v>11</v>
      </c>
      <c r="E33" t="s">
        <v>8</v>
      </c>
      <c r="F33">
        <v>2024</v>
      </c>
      <c r="G33">
        <v>0.50994571399999999</v>
      </c>
      <c r="H33">
        <v>3.5000000000000003E-2</v>
      </c>
      <c r="I33">
        <v>22.32</v>
      </c>
      <c r="K33">
        <f t="shared" si="1"/>
        <v>5.09945714E-4</v>
      </c>
      <c r="L33">
        <v>4200</v>
      </c>
      <c r="M33">
        <v>4200</v>
      </c>
      <c r="N33" t="s">
        <v>372</v>
      </c>
      <c r="O33" t="b">
        <v>1</v>
      </c>
      <c r="P33" t="b">
        <v>0</v>
      </c>
    </row>
    <row r="34" spans="2:16" x14ac:dyDescent="0.25">
      <c r="B34" t="s">
        <v>34</v>
      </c>
      <c r="C34" t="s">
        <v>6</v>
      </c>
      <c r="D34" t="s">
        <v>8</v>
      </c>
      <c r="E34" t="s">
        <v>10</v>
      </c>
      <c r="F34">
        <v>2024</v>
      </c>
      <c r="G34">
        <v>0.50994571399999999</v>
      </c>
      <c r="H34">
        <v>3.5000000000000003E-2</v>
      </c>
      <c r="I34">
        <v>5.83</v>
      </c>
      <c r="K34">
        <f t="shared" si="1"/>
        <v>5.09945714E-4</v>
      </c>
      <c r="L34">
        <v>0</v>
      </c>
      <c r="M34">
        <v>0</v>
      </c>
      <c r="N34" t="s">
        <v>372</v>
      </c>
      <c r="O34" t="b">
        <v>1</v>
      </c>
      <c r="P34" t="b">
        <v>0</v>
      </c>
    </row>
    <row r="35" spans="2:16" x14ac:dyDescent="0.25">
      <c r="B35" t="s">
        <v>34</v>
      </c>
      <c r="C35" t="s">
        <v>6</v>
      </c>
      <c r="D35" t="s">
        <v>10</v>
      </c>
      <c r="E35" t="s">
        <v>9</v>
      </c>
      <c r="F35">
        <v>2024</v>
      </c>
      <c r="G35">
        <v>0.50994571399999999</v>
      </c>
      <c r="H35">
        <v>3.5000000000000003E-2</v>
      </c>
      <c r="I35">
        <v>2.95</v>
      </c>
      <c r="K35">
        <f t="shared" si="1"/>
        <v>5.09945714E-4</v>
      </c>
      <c r="L35">
        <v>90</v>
      </c>
      <c r="M35">
        <v>90</v>
      </c>
      <c r="N35" t="s">
        <v>372</v>
      </c>
      <c r="O35" t="b">
        <v>1</v>
      </c>
      <c r="P35" t="b">
        <v>0</v>
      </c>
    </row>
    <row r="36" spans="2:16" x14ac:dyDescent="0.25">
      <c r="B36" t="s">
        <v>34</v>
      </c>
      <c r="C36" t="s">
        <v>6</v>
      </c>
      <c r="D36" t="s">
        <v>9</v>
      </c>
      <c r="E36" t="s">
        <v>12</v>
      </c>
      <c r="F36">
        <v>2024</v>
      </c>
      <c r="G36">
        <v>0.50994571399999999</v>
      </c>
      <c r="H36">
        <v>3.5000000000000003E-2</v>
      </c>
      <c r="I36">
        <v>3</v>
      </c>
      <c r="K36">
        <f t="shared" si="1"/>
        <v>5.09945714E-4</v>
      </c>
      <c r="L36">
        <v>0</v>
      </c>
      <c r="M36">
        <v>0</v>
      </c>
      <c r="N36" t="s">
        <v>372</v>
      </c>
      <c r="O36" t="b">
        <v>1</v>
      </c>
      <c r="P36" t="b">
        <v>0</v>
      </c>
    </row>
    <row r="37" spans="2:16" x14ac:dyDescent="0.25">
      <c r="B37" t="s">
        <v>34</v>
      </c>
      <c r="C37" t="s">
        <v>6</v>
      </c>
      <c r="D37" t="s">
        <v>12</v>
      </c>
      <c r="E37" t="s">
        <v>8</v>
      </c>
      <c r="F37">
        <v>2024</v>
      </c>
      <c r="G37">
        <v>0.50994571399999999</v>
      </c>
      <c r="H37">
        <v>3.5000000000000003E-2</v>
      </c>
      <c r="I37">
        <v>0</v>
      </c>
      <c r="K37">
        <f t="shared" si="1"/>
        <v>5.09945714E-4</v>
      </c>
      <c r="L37">
        <v>0</v>
      </c>
      <c r="M37">
        <v>0</v>
      </c>
      <c r="N37" t="s">
        <v>372</v>
      </c>
      <c r="O37" t="b">
        <v>1</v>
      </c>
      <c r="P37" t="b">
        <v>0</v>
      </c>
    </row>
    <row r="38" spans="2:16" x14ac:dyDescent="0.25">
      <c r="B38" t="s">
        <v>34</v>
      </c>
      <c r="C38" t="s">
        <v>6</v>
      </c>
      <c r="D38" t="s">
        <v>11</v>
      </c>
      <c r="E38" t="s">
        <v>10</v>
      </c>
      <c r="F38">
        <v>2024</v>
      </c>
      <c r="G38">
        <v>0.50994571399999999</v>
      </c>
      <c r="H38">
        <v>3.5000000000000003E-2</v>
      </c>
      <c r="I38">
        <v>21.19</v>
      </c>
      <c r="K38">
        <f t="shared" si="1"/>
        <v>5.09945714E-4</v>
      </c>
      <c r="L38">
        <v>0</v>
      </c>
      <c r="M38">
        <v>0</v>
      </c>
      <c r="N38" t="s">
        <v>372</v>
      </c>
      <c r="O38" t="b">
        <v>1</v>
      </c>
      <c r="P38" t="b">
        <v>0</v>
      </c>
    </row>
    <row r="39" spans="2:16" x14ac:dyDescent="0.25">
      <c r="B39" t="s">
        <v>34</v>
      </c>
      <c r="C39" t="s">
        <v>6</v>
      </c>
      <c r="D39" t="s">
        <v>8</v>
      </c>
      <c r="E39" t="s">
        <v>9</v>
      </c>
      <c r="F39">
        <v>2024</v>
      </c>
      <c r="G39">
        <v>0.50994571399999999</v>
      </c>
      <c r="H39">
        <v>3.5000000000000003E-2</v>
      </c>
      <c r="I39">
        <v>0</v>
      </c>
      <c r="K39">
        <f t="shared" si="1"/>
        <v>5.09945714E-4</v>
      </c>
      <c r="L39">
        <v>0</v>
      </c>
      <c r="M39">
        <v>0</v>
      </c>
      <c r="N39" t="s">
        <v>372</v>
      </c>
      <c r="O39" t="b">
        <v>1</v>
      </c>
      <c r="P39" t="b">
        <v>0</v>
      </c>
    </row>
    <row r="40" spans="2:16" x14ac:dyDescent="0.25">
      <c r="B40" t="s">
        <v>34</v>
      </c>
      <c r="C40" t="s">
        <v>6</v>
      </c>
      <c r="D40" t="s">
        <v>10</v>
      </c>
      <c r="E40" t="s">
        <v>12</v>
      </c>
      <c r="F40">
        <v>2024</v>
      </c>
      <c r="G40">
        <v>0.50994571399999999</v>
      </c>
      <c r="H40">
        <v>3.5000000000000003E-2</v>
      </c>
      <c r="I40">
        <v>22.53</v>
      </c>
      <c r="K40">
        <f t="shared" si="1"/>
        <v>5.09945714E-4</v>
      </c>
      <c r="L40">
        <v>0</v>
      </c>
      <c r="M40">
        <v>0</v>
      </c>
      <c r="N40" t="s">
        <v>372</v>
      </c>
      <c r="O40" t="b">
        <v>1</v>
      </c>
      <c r="P40" t="b">
        <v>0</v>
      </c>
    </row>
    <row r="41" spans="2:16" x14ac:dyDescent="0.25">
      <c r="B41" t="s">
        <v>34</v>
      </c>
      <c r="C41" t="s">
        <v>6</v>
      </c>
      <c r="D41" t="s">
        <v>9</v>
      </c>
      <c r="E41" t="s">
        <v>11</v>
      </c>
      <c r="F41">
        <v>2024</v>
      </c>
      <c r="G41">
        <v>0.50994571399999999</v>
      </c>
      <c r="H41">
        <v>3.5000000000000003E-2</v>
      </c>
      <c r="I41">
        <v>0</v>
      </c>
      <c r="K41">
        <f t="shared" si="1"/>
        <v>5.09945714E-4</v>
      </c>
      <c r="L41">
        <v>0</v>
      </c>
      <c r="M41">
        <v>0</v>
      </c>
      <c r="N41" t="s">
        <v>372</v>
      </c>
      <c r="O41" t="b">
        <v>1</v>
      </c>
      <c r="P41" t="b">
        <v>0</v>
      </c>
    </row>
    <row r="42" spans="2:16" x14ac:dyDescent="0.25">
      <c r="B42" t="s">
        <v>34</v>
      </c>
      <c r="C42" t="s">
        <v>6</v>
      </c>
      <c r="D42" t="s">
        <v>12</v>
      </c>
      <c r="E42" t="s">
        <v>10</v>
      </c>
      <c r="F42">
        <v>2024</v>
      </c>
      <c r="G42">
        <v>0.50994571399999999</v>
      </c>
      <c r="H42">
        <v>3.5000000000000003E-2</v>
      </c>
      <c r="I42">
        <v>19.53</v>
      </c>
      <c r="K42">
        <f t="shared" si="1"/>
        <v>5.09945714E-4</v>
      </c>
      <c r="L42">
        <v>0</v>
      </c>
      <c r="M42">
        <v>0</v>
      </c>
      <c r="N42" t="s">
        <v>372</v>
      </c>
      <c r="O42" t="b">
        <v>1</v>
      </c>
      <c r="P42" t="b">
        <v>0</v>
      </c>
    </row>
    <row r="43" spans="2:16" x14ac:dyDescent="0.25">
      <c r="B43" t="s">
        <v>34</v>
      </c>
      <c r="C43" t="s">
        <v>6</v>
      </c>
      <c r="D43" t="s">
        <v>11</v>
      </c>
      <c r="E43" t="s">
        <v>9</v>
      </c>
      <c r="F43">
        <v>2024</v>
      </c>
      <c r="G43">
        <v>0.50994571399999999</v>
      </c>
      <c r="H43">
        <v>3.5000000000000003E-2</v>
      </c>
      <c r="I43">
        <v>0</v>
      </c>
      <c r="K43">
        <f t="shared" si="1"/>
        <v>5.09945714E-4</v>
      </c>
      <c r="L43">
        <v>0</v>
      </c>
      <c r="M43">
        <v>0</v>
      </c>
      <c r="N43" t="s">
        <v>372</v>
      </c>
      <c r="O43" t="b">
        <v>1</v>
      </c>
      <c r="P43" t="b">
        <v>0</v>
      </c>
    </row>
    <row r="44" spans="2:16" x14ac:dyDescent="0.25">
      <c r="B44" t="s">
        <v>34</v>
      </c>
      <c r="C44" t="s">
        <v>6</v>
      </c>
      <c r="D44" t="s">
        <v>8</v>
      </c>
      <c r="E44" t="s">
        <v>12</v>
      </c>
      <c r="F44">
        <v>2024</v>
      </c>
      <c r="G44">
        <v>0.50994571399999999</v>
      </c>
      <c r="H44">
        <v>3.5000000000000003E-2</v>
      </c>
      <c r="I44">
        <v>0</v>
      </c>
      <c r="K44">
        <f t="shared" si="1"/>
        <v>5.09945714E-4</v>
      </c>
      <c r="L44">
        <v>0</v>
      </c>
      <c r="M44">
        <v>0</v>
      </c>
      <c r="N44" t="s">
        <v>372</v>
      </c>
      <c r="O44" t="b">
        <v>1</v>
      </c>
      <c r="P44" t="b">
        <v>0</v>
      </c>
    </row>
    <row r="45" spans="2:16" x14ac:dyDescent="0.25">
      <c r="B45" t="s">
        <v>34</v>
      </c>
      <c r="C45" t="s">
        <v>6</v>
      </c>
      <c r="D45" t="s">
        <v>10</v>
      </c>
      <c r="E45" t="s">
        <v>11</v>
      </c>
      <c r="F45">
        <v>2024</v>
      </c>
      <c r="G45">
        <v>0.50994571399999999</v>
      </c>
      <c r="H45">
        <v>3.5000000000000003E-2</v>
      </c>
      <c r="I45">
        <v>21.19</v>
      </c>
      <c r="K45">
        <f t="shared" si="1"/>
        <v>5.09945714E-4</v>
      </c>
      <c r="L45">
        <v>0</v>
      </c>
      <c r="M45">
        <v>0</v>
      </c>
      <c r="N45" t="s">
        <v>372</v>
      </c>
      <c r="O45" t="b">
        <v>1</v>
      </c>
      <c r="P45" t="b">
        <v>0</v>
      </c>
    </row>
    <row r="46" spans="2:16" x14ac:dyDescent="0.25">
      <c r="B46" t="s">
        <v>34</v>
      </c>
      <c r="C46" t="s">
        <v>6</v>
      </c>
      <c r="D46" t="s">
        <v>9</v>
      </c>
      <c r="E46" t="s">
        <v>8</v>
      </c>
      <c r="F46">
        <v>2024</v>
      </c>
      <c r="G46">
        <v>0.50994571399999999</v>
      </c>
      <c r="H46">
        <v>3.5000000000000003E-2</v>
      </c>
      <c r="I46">
        <v>0</v>
      </c>
      <c r="K46">
        <f t="shared" si="1"/>
        <v>5.09945714E-4</v>
      </c>
      <c r="L46">
        <v>0</v>
      </c>
      <c r="M46">
        <v>0</v>
      </c>
      <c r="N46" t="s">
        <v>372</v>
      </c>
      <c r="O46" t="b">
        <v>1</v>
      </c>
      <c r="P46" t="b">
        <v>0</v>
      </c>
    </row>
    <row r="47" spans="2:16" x14ac:dyDescent="0.25">
      <c r="B47" t="s">
        <v>34</v>
      </c>
      <c r="C47" t="s">
        <v>6</v>
      </c>
      <c r="D47" t="s">
        <v>12</v>
      </c>
      <c r="E47" t="s">
        <v>9</v>
      </c>
      <c r="F47">
        <v>2024</v>
      </c>
      <c r="G47">
        <v>0.50994571399999999</v>
      </c>
      <c r="H47">
        <v>3.5000000000000003E-2</v>
      </c>
      <c r="I47">
        <v>1.5</v>
      </c>
      <c r="K47">
        <f t="shared" si="1"/>
        <v>5.09945714E-4</v>
      </c>
      <c r="L47">
        <v>0</v>
      </c>
      <c r="M47">
        <v>0</v>
      </c>
      <c r="N47" t="s">
        <v>372</v>
      </c>
      <c r="O47" t="b">
        <v>1</v>
      </c>
      <c r="P47" t="b">
        <v>0</v>
      </c>
    </row>
    <row r="48" spans="2:16" x14ac:dyDescent="0.25">
      <c r="B48" t="s">
        <v>34</v>
      </c>
      <c r="C48" t="s">
        <v>6</v>
      </c>
      <c r="D48" t="s">
        <v>11</v>
      </c>
      <c r="E48" t="s">
        <v>12</v>
      </c>
      <c r="F48">
        <v>2024</v>
      </c>
      <c r="G48">
        <v>0.50994571399999999</v>
      </c>
      <c r="H48">
        <v>3.5000000000000003E-2</v>
      </c>
      <c r="I48">
        <v>32.57</v>
      </c>
      <c r="K48">
        <f t="shared" si="1"/>
        <v>5.09945714E-4</v>
      </c>
      <c r="L48">
        <v>0</v>
      </c>
      <c r="M48">
        <v>0</v>
      </c>
      <c r="N48" t="s">
        <v>372</v>
      </c>
      <c r="O48" t="b">
        <v>1</v>
      </c>
      <c r="P48" t="b">
        <v>0</v>
      </c>
    </row>
    <row r="49" spans="2:16" x14ac:dyDescent="0.25">
      <c r="B49" t="s">
        <v>34</v>
      </c>
      <c r="C49" t="s">
        <v>6</v>
      </c>
      <c r="D49" t="s">
        <v>8</v>
      </c>
      <c r="E49" t="s">
        <v>11</v>
      </c>
      <c r="F49">
        <v>2024</v>
      </c>
      <c r="G49">
        <v>0.50994571399999999</v>
      </c>
      <c r="H49">
        <v>3.5000000000000003E-2</v>
      </c>
      <c r="I49">
        <v>19.93</v>
      </c>
      <c r="K49">
        <f t="shared" si="1"/>
        <v>5.09945714E-4</v>
      </c>
      <c r="L49">
        <v>3752</v>
      </c>
      <c r="M49">
        <v>3752</v>
      </c>
      <c r="N49" t="s">
        <v>372</v>
      </c>
      <c r="O49" t="b">
        <v>1</v>
      </c>
      <c r="P49" t="b">
        <v>0</v>
      </c>
    </row>
    <row r="50" spans="2:16" x14ac:dyDescent="0.25">
      <c r="B50" t="s">
        <v>34</v>
      </c>
      <c r="C50" t="s">
        <v>6</v>
      </c>
      <c r="D50" t="s">
        <v>10</v>
      </c>
      <c r="E50" t="s">
        <v>8</v>
      </c>
      <c r="F50">
        <v>2024</v>
      </c>
      <c r="G50">
        <v>0.50994571399999999</v>
      </c>
      <c r="H50">
        <v>3.5000000000000003E-2</v>
      </c>
      <c r="I50">
        <v>7.83</v>
      </c>
      <c r="K50">
        <f t="shared" si="1"/>
        <v>5.09945714E-4</v>
      </c>
      <c r="L50">
        <v>0</v>
      </c>
      <c r="M50">
        <v>0</v>
      </c>
      <c r="N50" t="s">
        <v>372</v>
      </c>
      <c r="O50" t="b">
        <v>1</v>
      </c>
      <c r="P50" t="b">
        <v>0</v>
      </c>
    </row>
    <row r="51" spans="2:16" x14ac:dyDescent="0.25">
      <c r="B51" t="s">
        <v>34</v>
      </c>
      <c r="C51" t="s">
        <v>6</v>
      </c>
      <c r="D51" t="s">
        <v>9</v>
      </c>
      <c r="E51" t="s">
        <v>10</v>
      </c>
      <c r="F51">
        <v>2024</v>
      </c>
      <c r="G51">
        <v>0.50994571399999999</v>
      </c>
      <c r="H51">
        <v>3.5000000000000003E-2</v>
      </c>
      <c r="I51">
        <v>2.95</v>
      </c>
      <c r="K51">
        <f t="shared" si="1"/>
        <v>5.09945714E-4</v>
      </c>
      <c r="L51">
        <v>90</v>
      </c>
      <c r="M51">
        <v>90</v>
      </c>
      <c r="N51" t="s">
        <v>372</v>
      </c>
      <c r="O51" t="b">
        <v>1</v>
      </c>
      <c r="P51" t="b"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A29" sqref="A29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3</v>
      </c>
      <c r="B1" t="s">
        <v>52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49</v>
      </c>
      <c r="I1" t="s">
        <v>48</v>
      </c>
      <c r="J1" t="s">
        <v>66</v>
      </c>
      <c r="K1" t="s">
        <v>50</v>
      </c>
      <c r="L1" t="s">
        <v>53</v>
      </c>
    </row>
    <row r="2" spans="1:12" x14ac:dyDescent="0.25">
      <c r="A2">
        <v>2024</v>
      </c>
      <c r="B2" t="s">
        <v>33</v>
      </c>
      <c r="C2" t="s">
        <v>67</v>
      </c>
      <c r="D2" t="s">
        <v>68</v>
      </c>
      <c r="E2" t="s">
        <v>69</v>
      </c>
      <c r="F2" t="s">
        <v>70</v>
      </c>
      <c r="G2">
        <v>17.207187650000002</v>
      </c>
      <c r="H2">
        <v>1871.873679</v>
      </c>
      <c r="I2" t="s">
        <v>51</v>
      </c>
      <c r="J2">
        <v>22.608720000000002</v>
      </c>
      <c r="K2">
        <v>1982.1860300000001</v>
      </c>
    </row>
    <row r="3" spans="1:12" x14ac:dyDescent="0.25">
      <c r="A3">
        <v>2024</v>
      </c>
      <c r="B3" t="s">
        <v>35</v>
      </c>
      <c r="C3" t="s">
        <v>71</v>
      </c>
      <c r="D3" t="s">
        <v>68</v>
      </c>
      <c r="E3" t="s">
        <v>72</v>
      </c>
      <c r="F3" t="s">
        <v>70</v>
      </c>
      <c r="G3">
        <v>37.681199999999997</v>
      </c>
      <c r="H3">
        <v>3025.0245490000002</v>
      </c>
      <c r="I3" t="s">
        <v>51</v>
      </c>
      <c r="J3">
        <v>37.681199999999997</v>
      </c>
      <c r="K3">
        <v>2048.5161600000001</v>
      </c>
    </row>
    <row r="4" spans="1:12" x14ac:dyDescent="0.25">
      <c r="A4">
        <v>2024</v>
      </c>
      <c r="B4" t="s">
        <v>57</v>
      </c>
      <c r="C4" t="s">
        <v>71</v>
      </c>
      <c r="D4" t="s">
        <v>68</v>
      </c>
      <c r="E4" t="s">
        <v>72</v>
      </c>
      <c r="F4" t="s">
        <v>70</v>
      </c>
      <c r="G4">
        <v>22.8</v>
      </c>
      <c r="H4">
        <v>2001.5626</v>
      </c>
      <c r="I4" t="s">
        <v>51</v>
      </c>
      <c r="J4">
        <v>22.8</v>
      </c>
      <c r="K4">
        <v>1246.1225999999999</v>
      </c>
      <c r="L4" t="s">
        <v>58</v>
      </c>
    </row>
    <row r="5" spans="1:12" x14ac:dyDescent="0.25">
      <c r="A5">
        <v>2024</v>
      </c>
      <c r="B5" t="s">
        <v>59</v>
      </c>
      <c r="C5" t="s">
        <v>71</v>
      </c>
      <c r="D5" t="s">
        <v>68</v>
      </c>
      <c r="E5" t="s">
        <v>69</v>
      </c>
      <c r="F5" t="s">
        <v>70</v>
      </c>
      <c r="G5">
        <v>15.56</v>
      </c>
      <c r="H5">
        <v>1656.436688</v>
      </c>
      <c r="I5" t="s">
        <v>51</v>
      </c>
      <c r="J5">
        <v>15.56</v>
      </c>
      <c r="K5">
        <v>1656.436688</v>
      </c>
    </row>
    <row r="6" spans="1:12" x14ac:dyDescent="0.25">
      <c r="A6">
        <v>2024</v>
      </c>
      <c r="B6" t="s">
        <v>41</v>
      </c>
      <c r="C6" t="s">
        <v>71</v>
      </c>
      <c r="D6" t="s">
        <v>68</v>
      </c>
      <c r="E6" t="s">
        <v>69</v>
      </c>
      <c r="F6" t="s">
        <v>70</v>
      </c>
      <c r="G6">
        <v>43.124040000000001</v>
      </c>
      <c r="H6">
        <v>54.232192410000003</v>
      </c>
      <c r="I6" t="s">
        <v>51</v>
      </c>
      <c r="J6">
        <v>43.124040000000001</v>
      </c>
      <c r="K6">
        <v>0</v>
      </c>
      <c r="L6" t="s">
        <v>60</v>
      </c>
    </row>
    <row r="7" spans="1:12" x14ac:dyDescent="0.25">
      <c r="A7">
        <v>2024</v>
      </c>
      <c r="B7" t="s">
        <v>38</v>
      </c>
      <c r="C7" t="s">
        <v>71</v>
      </c>
      <c r="D7" t="s">
        <v>68</v>
      </c>
      <c r="E7" t="s">
        <v>69</v>
      </c>
      <c r="F7" t="s">
        <v>70</v>
      </c>
      <c r="G7">
        <v>13.648968</v>
      </c>
      <c r="H7">
        <v>1292.306701</v>
      </c>
      <c r="I7" t="s">
        <v>51</v>
      </c>
      <c r="J7">
        <v>13.648968</v>
      </c>
      <c r="K7">
        <v>1292.306701</v>
      </c>
    </row>
    <row r="8" spans="1:12" x14ac:dyDescent="0.25">
      <c r="A8">
        <v>2024</v>
      </c>
      <c r="B8" t="s">
        <v>54</v>
      </c>
      <c r="C8" t="s">
        <v>67</v>
      </c>
      <c r="D8" t="s">
        <v>68</v>
      </c>
      <c r="E8" t="s">
        <v>69</v>
      </c>
      <c r="F8" t="s">
        <v>70</v>
      </c>
      <c r="G8">
        <v>20.555669309999999</v>
      </c>
      <c r="H8">
        <v>2257.6805100000001</v>
      </c>
      <c r="I8" t="s">
        <v>51</v>
      </c>
      <c r="J8">
        <v>24.17925129</v>
      </c>
      <c r="K8">
        <v>2760.9</v>
      </c>
    </row>
    <row r="9" spans="1:12" x14ac:dyDescent="0.25">
      <c r="A9">
        <v>2024</v>
      </c>
      <c r="B9" t="s">
        <v>47</v>
      </c>
      <c r="H9">
        <v>3176.6475</v>
      </c>
      <c r="I9" t="s">
        <v>51</v>
      </c>
      <c r="K9">
        <v>3176.6475</v>
      </c>
    </row>
    <row r="10" spans="1:12" x14ac:dyDescent="0.25">
      <c r="A10">
        <v>2024</v>
      </c>
      <c r="B10" t="s">
        <v>46</v>
      </c>
      <c r="H10">
        <v>3141.2837930000001</v>
      </c>
      <c r="I10" t="s">
        <v>51</v>
      </c>
      <c r="K10">
        <v>3141.2837930000001</v>
      </c>
    </row>
    <row r="11" spans="1:12" x14ac:dyDescent="0.25">
      <c r="A11">
        <v>2024</v>
      </c>
      <c r="B11" t="s">
        <v>42</v>
      </c>
      <c r="H11">
        <v>3080.7548999999999</v>
      </c>
      <c r="I11" t="s">
        <v>51</v>
      </c>
      <c r="K11">
        <v>3080.7548999999999</v>
      </c>
    </row>
    <row r="12" spans="1:12" x14ac:dyDescent="0.25">
      <c r="A12">
        <v>2025</v>
      </c>
      <c r="B12" t="s">
        <v>42</v>
      </c>
      <c r="H12">
        <v>2464.60392</v>
      </c>
      <c r="I12" t="s">
        <v>51</v>
      </c>
      <c r="K12">
        <v>2464.60392</v>
      </c>
      <c r="L12" t="s">
        <v>55</v>
      </c>
    </row>
    <row r="13" spans="1:12" x14ac:dyDescent="0.25">
      <c r="A13">
        <v>2024</v>
      </c>
      <c r="B13" t="s">
        <v>43</v>
      </c>
      <c r="H13">
        <v>3196.7489999999998</v>
      </c>
      <c r="I13" t="s">
        <v>51</v>
      </c>
      <c r="K13">
        <v>3196.7489999999998</v>
      </c>
    </row>
    <row r="14" spans="1:12" x14ac:dyDescent="0.25">
      <c r="A14">
        <v>2024</v>
      </c>
      <c r="B14" t="s">
        <v>44</v>
      </c>
      <c r="H14">
        <v>3080.7548999999999</v>
      </c>
      <c r="I14" t="s">
        <v>51</v>
      </c>
      <c r="K14">
        <v>3080.7548999999999</v>
      </c>
    </row>
    <row r="15" spans="1:12" x14ac:dyDescent="0.25">
      <c r="A15">
        <v>2035</v>
      </c>
      <c r="B15" t="s">
        <v>44</v>
      </c>
      <c r="H15">
        <v>3058.2628260000001</v>
      </c>
      <c r="I15" t="s">
        <v>51</v>
      </c>
      <c r="K15">
        <v>3058.2628260000001</v>
      </c>
    </row>
    <row r="16" spans="1:12" x14ac:dyDescent="0.25">
      <c r="A16">
        <v>2036</v>
      </c>
      <c r="B16" t="s">
        <v>44</v>
      </c>
      <c r="H16">
        <v>3035.9349630000002</v>
      </c>
      <c r="I16" t="s">
        <v>51</v>
      </c>
      <c r="K16">
        <v>3035.9349630000002</v>
      </c>
    </row>
    <row r="17" spans="1:12" x14ac:dyDescent="0.25">
      <c r="A17">
        <v>2037</v>
      </c>
      <c r="B17" t="s">
        <v>44</v>
      </c>
      <c r="H17">
        <v>3013.7701120000002</v>
      </c>
      <c r="I17" t="s">
        <v>51</v>
      </c>
      <c r="K17">
        <v>3013.7701120000002</v>
      </c>
    </row>
    <row r="18" spans="1:12" x14ac:dyDescent="0.25">
      <c r="A18">
        <v>2038</v>
      </c>
      <c r="B18" t="s">
        <v>44</v>
      </c>
      <c r="H18">
        <v>2991.7670830000002</v>
      </c>
      <c r="I18" t="s">
        <v>51</v>
      </c>
      <c r="K18">
        <v>2991.7670830000002</v>
      </c>
    </row>
    <row r="19" spans="1:12" x14ac:dyDescent="0.25">
      <c r="A19">
        <v>2039</v>
      </c>
      <c r="B19" t="s">
        <v>44</v>
      </c>
      <c r="H19">
        <v>2969.9246939999998</v>
      </c>
      <c r="I19" t="s">
        <v>51</v>
      </c>
      <c r="K19">
        <v>2969.9246939999998</v>
      </c>
    </row>
    <row r="20" spans="1:12" x14ac:dyDescent="0.25">
      <c r="A20">
        <v>2040</v>
      </c>
      <c r="B20" t="s">
        <v>44</v>
      </c>
      <c r="H20">
        <v>2948.2417730000002</v>
      </c>
      <c r="I20" t="s">
        <v>51</v>
      </c>
      <c r="K20">
        <v>2948.2417730000002</v>
      </c>
    </row>
    <row r="21" spans="1:12" x14ac:dyDescent="0.25">
      <c r="A21">
        <v>2041</v>
      </c>
      <c r="B21" t="s">
        <v>44</v>
      </c>
      <c r="H21">
        <v>2926.7171549999998</v>
      </c>
      <c r="I21" t="s">
        <v>51</v>
      </c>
      <c r="K21">
        <v>2926.7171549999998</v>
      </c>
      <c r="L21" t="s">
        <v>56</v>
      </c>
    </row>
    <row r="22" spans="1:12" x14ac:dyDescent="0.25">
      <c r="A22">
        <v>2024</v>
      </c>
      <c r="B22" t="s">
        <v>45</v>
      </c>
      <c r="H22">
        <v>2987.2078499999998</v>
      </c>
      <c r="I22" t="s">
        <v>51</v>
      </c>
      <c r="K22">
        <v>2987.2078499999998</v>
      </c>
    </row>
    <row r="26" spans="1:12" x14ac:dyDescent="0.25">
      <c r="A26" t="s">
        <v>327</v>
      </c>
    </row>
    <row r="27" spans="1:12" x14ac:dyDescent="0.25">
      <c r="B27" t="s">
        <v>0</v>
      </c>
      <c r="H27" t="s">
        <v>49</v>
      </c>
      <c r="I27" t="s">
        <v>48</v>
      </c>
      <c r="K27" t="s">
        <v>50</v>
      </c>
    </row>
    <row r="28" spans="1:12" x14ac:dyDescent="0.25">
      <c r="A28" t="s">
        <v>82</v>
      </c>
      <c r="B28" t="s">
        <v>13</v>
      </c>
      <c r="H28">
        <v>1942.0976230000001</v>
      </c>
      <c r="I28" t="s">
        <v>51</v>
      </c>
      <c r="K28">
        <v>2057.8978219999999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FB83-8CC9-450C-9FA7-1916DC382669}">
  <dimension ref="A2:N18"/>
  <sheetViews>
    <sheetView workbookViewId="0">
      <selection activeCell="R10" sqref="R10"/>
    </sheetView>
  </sheetViews>
  <sheetFormatPr defaultRowHeight="15" x14ac:dyDescent="0.25"/>
  <cols>
    <col min="5" max="5" width="13.5703125" bestFit="1" customWidth="1"/>
    <col min="11" max="11" width="10.28515625" bestFit="1" customWidth="1"/>
  </cols>
  <sheetData>
    <row r="2" spans="1:14" x14ac:dyDescent="0.25">
      <c r="A2">
        <v>1</v>
      </c>
      <c r="B2" t="s">
        <v>70</v>
      </c>
      <c r="C2" t="s">
        <v>141</v>
      </c>
      <c r="D2">
        <v>277777.78000000003</v>
      </c>
      <c r="E2" t="s">
        <v>101</v>
      </c>
      <c r="H2" t="s">
        <v>271</v>
      </c>
    </row>
    <row r="3" spans="1:14" x14ac:dyDescent="0.25">
      <c r="A3">
        <v>1</v>
      </c>
      <c r="B3" t="s">
        <v>268</v>
      </c>
      <c r="C3" t="s">
        <v>141</v>
      </c>
      <c r="D3" s="32">
        <v>0.82899999999999996</v>
      </c>
      <c r="E3" t="s">
        <v>270</v>
      </c>
      <c r="F3" s="32" t="s">
        <v>274</v>
      </c>
      <c r="H3" t="s">
        <v>269</v>
      </c>
    </row>
    <row r="4" spans="1:14" x14ac:dyDescent="0.25">
      <c r="A4">
        <v>1</v>
      </c>
      <c r="B4" t="s">
        <v>272</v>
      </c>
      <c r="C4" t="s">
        <v>141</v>
      </c>
      <c r="D4">
        <v>1.2389175814711242</v>
      </c>
      <c r="E4" t="s">
        <v>273</v>
      </c>
      <c r="H4" t="s">
        <v>129</v>
      </c>
    </row>
    <row r="6" spans="1:14" x14ac:dyDescent="0.25">
      <c r="K6" t="s">
        <v>184</v>
      </c>
      <c r="L6" t="s">
        <v>183</v>
      </c>
      <c r="M6" t="s">
        <v>197</v>
      </c>
      <c r="N6" t="s">
        <v>198</v>
      </c>
    </row>
    <row r="7" spans="1:14" x14ac:dyDescent="0.25">
      <c r="J7" t="s">
        <v>199</v>
      </c>
      <c r="K7" t="s">
        <v>187</v>
      </c>
      <c r="L7">
        <v>30</v>
      </c>
      <c r="M7">
        <v>24</v>
      </c>
      <c r="N7">
        <f>M7*L7</f>
        <v>720</v>
      </c>
    </row>
    <row r="8" spans="1:14" x14ac:dyDescent="0.25">
      <c r="J8" t="s">
        <v>200</v>
      </c>
      <c r="K8" t="s">
        <v>185</v>
      </c>
      <c r="L8">
        <v>31</v>
      </c>
      <c r="M8">
        <v>24</v>
      </c>
      <c r="N8">
        <f t="shared" ref="N8:N18" si="0">M8*L8</f>
        <v>744</v>
      </c>
    </row>
    <row r="9" spans="1:14" x14ac:dyDescent="0.25">
      <c r="J9" t="s">
        <v>201</v>
      </c>
      <c r="K9" t="s">
        <v>186</v>
      </c>
      <c r="L9">
        <v>30</v>
      </c>
      <c r="M9">
        <v>24</v>
      </c>
      <c r="N9">
        <f t="shared" si="0"/>
        <v>720</v>
      </c>
    </row>
    <row r="10" spans="1:14" x14ac:dyDescent="0.25">
      <c r="J10" t="s">
        <v>202</v>
      </c>
      <c r="K10" t="s">
        <v>188</v>
      </c>
      <c r="L10">
        <v>31</v>
      </c>
      <c r="M10">
        <v>24</v>
      </c>
      <c r="N10">
        <f t="shared" si="0"/>
        <v>744</v>
      </c>
    </row>
    <row r="11" spans="1:14" x14ac:dyDescent="0.25">
      <c r="J11" t="s">
        <v>203</v>
      </c>
      <c r="K11" t="s">
        <v>189</v>
      </c>
      <c r="L11">
        <v>31</v>
      </c>
      <c r="M11">
        <v>24</v>
      </c>
      <c r="N11">
        <f t="shared" si="0"/>
        <v>744</v>
      </c>
    </row>
    <row r="12" spans="1:14" x14ac:dyDescent="0.25">
      <c r="J12" t="s">
        <v>204</v>
      </c>
      <c r="K12" t="s">
        <v>190</v>
      </c>
      <c r="L12">
        <v>30</v>
      </c>
      <c r="M12">
        <v>24</v>
      </c>
      <c r="N12">
        <f t="shared" si="0"/>
        <v>720</v>
      </c>
    </row>
    <row r="13" spans="1:14" x14ac:dyDescent="0.25">
      <c r="J13" t="s">
        <v>205</v>
      </c>
      <c r="K13" t="s">
        <v>191</v>
      </c>
      <c r="L13">
        <v>31</v>
      </c>
      <c r="M13">
        <v>24</v>
      </c>
      <c r="N13">
        <f t="shared" si="0"/>
        <v>744</v>
      </c>
    </row>
    <row r="14" spans="1:14" x14ac:dyDescent="0.25">
      <c r="J14" t="s">
        <v>206</v>
      </c>
      <c r="K14" t="s">
        <v>192</v>
      </c>
      <c r="L14">
        <v>30</v>
      </c>
      <c r="M14">
        <v>24</v>
      </c>
      <c r="N14">
        <f t="shared" si="0"/>
        <v>720</v>
      </c>
    </row>
    <row r="15" spans="1:14" x14ac:dyDescent="0.25">
      <c r="J15" t="s">
        <v>207</v>
      </c>
      <c r="K15" t="s">
        <v>193</v>
      </c>
      <c r="L15">
        <v>31</v>
      </c>
      <c r="M15">
        <v>24</v>
      </c>
      <c r="N15">
        <f t="shared" si="0"/>
        <v>744</v>
      </c>
    </row>
    <row r="16" spans="1:14" x14ac:dyDescent="0.25">
      <c r="J16" t="s">
        <v>208</v>
      </c>
      <c r="K16" t="s">
        <v>194</v>
      </c>
      <c r="L16">
        <v>31</v>
      </c>
      <c r="M16">
        <v>24</v>
      </c>
      <c r="N16">
        <f t="shared" si="0"/>
        <v>744</v>
      </c>
    </row>
    <row r="17" spans="10:14" x14ac:dyDescent="0.25">
      <c r="J17" t="s">
        <v>209</v>
      </c>
      <c r="K17" t="s">
        <v>195</v>
      </c>
      <c r="L17">
        <v>28</v>
      </c>
      <c r="M17">
        <v>24</v>
      </c>
      <c r="N17">
        <f t="shared" si="0"/>
        <v>672</v>
      </c>
    </row>
    <row r="18" spans="10:14" x14ac:dyDescent="0.25">
      <c r="J18" t="s">
        <v>210</v>
      </c>
      <c r="K18" t="s">
        <v>196</v>
      </c>
      <c r="L18">
        <v>31</v>
      </c>
      <c r="M18">
        <v>24</v>
      </c>
      <c r="N18">
        <f t="shared" si="0"/>
        <v>744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F7A7-B72E-4819-93FC-C5F163887A5F}">
  <dimension ref="A1:BJ202"/>
  <sheetViews>
    <sheetView workbookViewId="0">
      <pane xSplit="1" ySplit="2" topLeftCell="B178" activePane="bottomRight" state="frozen"/>
      <selection pane="topRight" activeCell="B1" sqref="B1"/>
      <selection pane="bottomLeft" activeCell="A3" sqref="A3"/>
      <selection pane="bottomRight" activeCell="E208" sqref="E208"/>
    </sheetView>
  </sheetViews>
  <sheetFormatPr defaultRowHeight="15" x14ac:dyDescent="0.25"/>
  <cols>
    <col min="1" max="1" width="21.140625" bestFit="1" customWidth="1"/>
    <col min="10" max="11" width="6" bestFit="1" customWidth="1"/>
    <col min="12" max="21" width="5" bestFit="1" customWidth="1"/>
    <col min="22" max="22" width="14.140625" bestFit="1" customWidth="1"/>
    <col min="23" max="42" width="12" bestFit="1" customWidth="1"/>
    <col min="43" max="43" width="18" bestFit="1" customWidth="1"/>
  </cols>
  <sheetData>
    <row r="1" spans="1:62" x14ac:dyDescent="0.25">
      <c r="A1" t="s">
        <v>178</v>
      </c>
      <c r="C1" t="s">
        <v>153</v>
      </c>
      <c r="W1" t="s">
        <v>153</v>
      </c>
      <c r="AQ1" t="s">
        <v>306</v>
      </c>
    </row>
    <row r="2" spans="1:62" x14ac:dyDescent="0.25">
      <c r="A2" s="14" t="s">
        <v>167</v>
      </c>
      <c r="B2" t="s">
        <v>168</v>
      </c>
      <c r="C2" s="14" t="s">
        <v>177</v>
      </c>
      <c r="D2" t="s">
        <v>168</v>
      </c>
      <c r="W2" s="14" t="s">
        <v>74</v>
      </c>
      <c r="X2" t="s">
        <v>168</v>
      </c>
      <c r="AQ2" s="14" t="s">
        <v>305</v>
      </c>
      <c r="AR2" t="s">
        <v>168</v>
      </c>
    </row>
    <row r="3" spans="1:62" x14ac:dyDescent="0.25">
      <c r="A3" t="s">
        <v>73</v>
      </c>
      <c r="B3" s="7">
        <v>2023</v>
      </c>
      <c r="C3" t="s">
        <v>73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 t="s">
        <v>170</v>
      </c>
      <c r="W3" t="s">
        <v>73</v>
      </c>
      <c r="X3">
        <v>2024</v>
      </c>
      <c r="Y3">
        <v>2025</v>
      </c>
      <c r="Z3">
        <v>2026</v>
      </c>
      <c r="AA3">
        <v>2027</v>
      </c>
      <c r="AB3">
        <v>2028</v>
      </c>
      <c r="AC3">
        <v>2029</v>
      </c>
      <c r="AD3">
        <v>2030</v>
      </c>
      <c r="AE3">
        <v>2031</v>
      </c>
      <c r="AF3">
        <v>2032</v>
      </c>
      <c r="AG3">
        <v>2033</v>
      </c>
      <c r="AH3">
        <v>2034</v>
      </c>
      <c r="AI3">
        <v>2035</v>
      </c>
      <c r="AJ3">
        <v>2036</v>
      </c>
      <c r="AK3">
        <v>2037</v>
      </c>
      <c r="AL3">
        <v>2038</v>
      </c>
      <c r="AM3">
        <v>2039</v>
      </c>
      <c r="AN3">
        <v>2040</v>
      </c>
      <c r="AO3">
        <v>2041</v>
      </c>
      <c r="AP3" t="s">
        <v>170</v>
      </c>
      <c r="AQ3" t="s">
        <v>73</v>
      </c>
      <c r="AR3">
        <v>2024</v>
      </c>
      <c r="AS3">
        <v>2025</v>
      </c>
      <c r="AT3">
        <v>2026</v>
      </c>
      <c r="AU3">
        <v>2027</v>
      </c>
      <c r="AV3">
        <v>2028</v>
      </c>
      <c r="AW3">
        <v>2029</v>
      </c>
      <c r="AX3">
        <v>2030</v>
      </c>
      <c r="AY3">
        <v>2031</v>
      </c>
      <c r="AZ3">
        <v>2032</v>
      </c>
      <c r="BA3">
        <v>2033</v>
      </c>
      <c r="BB3">
        <v>2034</v>
      </c>
      <c r="BC3">
        <v>2035</v>
      </c>
      <c r="BD3">
        <v>2036</v>
      </c>
      <c r="BE3">
        <v>2037</v>
      </c>
      <c r="BF3">
        <v>2038</v>
      </c>
      <c r="BG3">
        <v>2039</v>
      </c>
      <c r="BH3">
        <v>2040</v>
      </c>
      <c r="BI3">
        <v>2041</v>
      </c>
      <c r="BJ3" t="s">
        <v>170</v>
      </c>
    </row>
    <row r="4" spans="1:62" s="2" customFormat="1" x14ac:dyDescent="0.25">
      <c r="A4" s="2" t="s">
        <v>12</v>
      </c>
      <c r="C4" s="2" t="s">
        <v>12</v>
      </c>
      <c r="D4" s="2">
        <v>5.7302850662000004</v>
      </c>
      <c r="E4" s="2">
        <v>12.310682276</v>
      </c>
      <c r="F4" s="2">
        <v>18.219753778999998</v>
      </c>
      <c r="G4" s="2">
        <v>17.552791495999998</v>
      </c>
      <c r="H4" s="2">
        <v>1.6012732029999999</v>
      </c>
      <c r="I4" s="2">
        <v>2.9927801229999997</v>
      </c>
      <c r="J4" s="2">
        <v>2.1219235839999997</v>
      </c>
      <c r="K4" s="2">
        <v>1.8943604420000002</v>
      </c>
      <c r="L4" s="2">
        <v>1.5629999999999999</v>
      </c>
      <c r="M4" s="2">
        <v>0.43</v>
      </c>
      <c r="N4" s="2">
        <v>0.3</v>
      </c>
      <c r="O4" s="2">
        <v>0.8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65.51684996920001</v>
      </c>
      <c r="W4" s="2" t="s">
        <v>12</v>
      </c>
      <c r="X4" s="2">
        <v>5.7302850662000004</v>
      </c>
      <c r="Y4" s="2">
        <v>12.390225472999999</v>
      </c>
      <c r="Z4" s="2">
        <v>18.411872803999998</v>
      </c>
      <c r="AA4" s="2">
        <v>18.582810320999997</v>
      </c>
      <c r="AB4" s="2">
        <v>30.456713967999999</v>
      </c>
      <c r="AC4" s="2">
        <v>33.839686972000003</v>
      </c>
      <c r="AD4" s="2">
        <v>37.599498105000009</v>
      </c>
      <c r="AE4" s="2">
        <v>42.668399588</v>
      </c>
      <c r="AF4" s="2">
        <v>45.503399587999994</v>
      </c>
      <c r="AG4" s="2">
        <v>44.688430449999998</v>
      </c>
      <c r="AH4" s="2">
        <v>44.179430449999998</v>
      </c>
      <c r="AI4" s="2">
        <v>44.396430449999997</v>
      </c>
      <c r="AJ4" s="2">
        <v>44.220088438999994</v>
      </c>
      <c r="AK4" s="2">
        <v>46.964088439000008</v>
      </c>
      <c r="AL4" s="2">
        <v>47.627088438999991</v>
      </c>
      <c r="AM4" s="2">
        <v>47.627088438999991</v>
      </c>
      <c r="AN4" s="2">
        <v>47.627088438999991</v>
      </c>
      <c r="AO4" s="2">
        <v>47.627088438999991</v>
      </c>
      <c r="AP4" s="2">
        <v>660.13971386919991</v>
      </c>
      <c r="AQ4" s="2" t="s">
        <v>12</v>
      </c>
      <c r="AR4" s="2">
        <v>0.22</v>
      </c>
      <c r="AS4" s="2">
        <v>0</v>
      </c>
      <c r="AT4" s="2">
        <v>0</v>
      </c>
      <c r="AU4" s="2">
        <v>0.21</v>
      </c>
      <c r="AV4" s="2">
        <v>2.27</v>
      </c>
      <c r="AW4" s="2">
        <v>0.21</v>
      </c>
      <c r="AX4" s="2">
        <v>2.3149999999999999</v>
      </c>
      <c r="AY4" s="2">
        <v>0</v>
      </c>
      <c r="AZ4" s="2">
        <v>0.86</v>
      </c>
      <c r="BA4" s="2">
        <v>1.55</v>
      </c>
      <c r="BB4" s="2">
        <v>1.1741699999999999</v>
      </c>
      <c r="BC4" s="2">
        <v>1.5941700000000001</v>
      </c>
      <c r="BD4" s="2">
        <v>1.1741699999999999</v>
      </c>
      <c r="BE4" s="2">
        <v>0.72767999910000003</v>
      </c>
      <c r="BF4" s="2">
        <v>0.72767999910000003</v>
      </c>
      <c r="BG4" s="2">
        <v>0.72767999910000003</v>
      </c>
      <c r="BH4" s="2">
        <v>0.95942000009999995</v>
      </c>
      <c r="BI4" s="2">
        <v>1.3564249995</v>
      </c>
      <c r="BJ4" s="2">
        <v>16.0763949969</v>
      </c>
    </row>
    <row r="5" spans="1:62" x14ac:dyDescent="0.25">
      <c r="A5" t="s">
        <v>13</v>
      </c>
      <c r="B5">
        <v>67.226538984000001</v>
      </c>
      <c r="C5" t="s">
        <v>13</v>
      </c>
      <c r="D5">
        <v>0</v>
      </c>
      <c r="E5">
        <v>1.32</v>
      </c>
      <c r="F5">
        <v>0</v>
      </c>
      <c r="G5">
        <v>2.64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0.8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4.76</v>
      </c>
      <c r="W5" t="s">
        <v>13</v>
      </c>
      <c r="X5">
        <v>0</v>
      </c>
      <c r="Y5">
        <v>1.32</v>
      </c>
      <c r="Z5">
        <v>0</v>
      </c>
      <c r="AA5">
        <v>2.64</v>
      </c>
      <c r="AB5">
        <v>0</v>
      </c>
      <c r="AC5">
        <v>2.5429999999999997</v>
      </c>
      <c r="AD5">
        <v>2.3600000000000003</v>
      </c>
      <c r="AE5">
        <v>2.3410000000000002</v>
      </c>
      <c r="AF5">
        <v>2.5150000000000001</v>
      </c>
      <c r="AG5">
        <v>2.5150000000000001</v>
      </c>
      <c r="AH5">
        <v>1.8739999999999999</v>
      </c>
      <c r="AI5">
        <v>2.1989999999999998</v>
      </c>
      <c r="AJ5">
        <v>2.1480000000000001</v>
      </c>
      <c r="AK5">
        <v>2.41</v>
      </c>
      <c r="AL5">
        <v>2.5429999999999997</v>
      </c>
      <c r="AM5">
        <v>2.5429999999999997</v>
      </c>
      <c r="AN5">
        <v>2.5429999999999997</v>
      </c>
      <c r="AO5">
        <v>2.5429999999999997</v>
      </c>
      <c r="AP5">
        <v>35.036999999999999</v>
      </c>
      <c r="AQ5" t="s">
        <v>13</v>
      </c>
      <c r="AR5">
        <v>0.22</v>
      </c>
      <c r="AS5">
        <v>0</v>
      </c>
      <c r="AT5">
        <v>0</v>
      </c>
      <c r="AU5">
        <v>0</v>
      </c>
      <c r="AV5">
        <v>2.06</v>
      </c>
      <c r="AW5">
        <v>0</v>
      </c>
      <c r="AX5">
        <v>2.105</v>
      </c>
      <c r="AY5">
        <v>0</v>
      </c>
      <c r="AZ5">
        <v>0.86</v>
      </c>
      <c r="BA5">
        <v>1.55</v>
      </c>
      <c r="BB5">
        <v>0.71</v>
      </c>
      <c r="BC5">
        <v>1.1300000000000001</v>
      </c>
      <c r="BD5">
        <v>0.71</v>
      </c>
      <c r="BE5">
        <v>0</v>
      </c>
      <c r="BF5">
        <v>0</v>
      </c>
      <c r="BG5">
        <v>0</v>
      </c>
      <c r="BH5">
        <v>0</v>
      </c>
      <c r="BI5">
        <v>0</v>
      </c>
      <c r="BJ5">
        <v>9.3449999999999989</v>
      </c>
    </row>
    <row r="6" spans="1:62" x14ac:dyDescent="0.25">
      <c r="A6" t="s">
        <v>14</v>
      </c>
      <c r="B6">
        <v>7.3305467170000007</v>
      </c>
      <c r="C6" t="s">
        <v>14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 t="s">
        <v>14</v>
      </c>
      <c r="X6">
        <v>0</v>
      </c>
      <c r="Y6">
        <v>0</v>
      </c>
      <c r="Z6">
        <v>0</v>
      </c>
      <c r="AA6">
        <v>0</v>
      </c>
      <c r="AB6">
        <v>0.23400000000000001</v>
      </c>
      <c r="AC6">
        <v>0.23400000000000001</v>
      </c>
      <c r="AD6">
        <v>0.23400000000000001</v>
      </c>
      <c r="AE6">
        <v>0.23400000000000001</v>
      </c>
      <c r="AF6">
        <v>0.23400000000000001</v>
      </c>
      <c r="AG6">
        <v>0.23400000000000001</v>
      </c>
      <c r="AH6">
        <v>0.23400000000000001</v>
      </c>
      <c r="AI6">
        <v>0.23400000000000001</v>
      </c>
      <c r="AJ6">
        <v>0.23400000000000001</v>
      </c>
      <c r="AK6">
        <v>0.23400000000000001</v>
      </c>
      <c r="AL6">
        <v>0.23400000000000001</v>
      </c>
      <c r="AM6">
        <v>0.23400000000000001</v>
      </c>
      <c r="AN6">
        <v>0.23400000000000001</v>
      </c>
      <c r="AO6">
        <v>0.23400000000000001</v>
      </c>
      <c r="AP6">
        <v>3.2760000000000002</v>
      </c>
      <c r="AQ6" t="s">
        <v>14</v>
      </c>
      <c r="AR6">
        <v>0</v>
      </c>
      <c r="AS6">
        <v>0</v>
      </c>
      <c r="AT6">
        <v>0</v>
      </c>
      <c r="AU6">
        <v>0.21</v>
      </c>
      <c r="AV6">
        <v>0.21</v>
      </c>
      <c r="AW6">
        <v>0.21</v>
      </c>
      <c r="AX6">
        <v>0.21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0.84</v>
      </c>
    </row>
    <row r="7" spans="1:62" x14ac:dyDescent="0.25">
      <c r="A7" t="s">
        <v>16</v>
      </c>
      <c r="B7">
        <v>0</v>
      </c>
      <c r="C7" t="s">
        <v>16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 t="s">
        <v>16</v>
      </c>
      <c r="X7">
        <v>0</v>
      </c>
      <c r="Y7">
        <v>0</v>
      </c>
      <c r="Z7">
        <v>0</v>
      </c>
      <c r="AA7">
        <v>0.7</v>
      </c>
      <c r="AB7">
        <v>0.7</v>
      </c>
      <c r="AC7">
        <v>0.7</v>
      </c>
      <c r="AD7">
        <v>0.7</v>
      </c>
      <c r="AE7">
        <v>0.7</v>
      </c>
      <c r="AF7">
        <v>0.7</v>
      </c>
      <c r="AG7">
        <v>0.7</v>
      </c>
      <c r="AH7">
        <v>0.7</v>
      </c>
      <c r="AI7">
        <v>0.7</v>
      </c>
      <c r="AJ7">
        <v>0.7</v>
      </c>
      <c r="AK7">
        <v>0.7</v>
      </c>
      <c r="AL7">
        <v>0.7</v>
      </c>
      <c r="AM7">
        <v>0.7</v>
      </c>
      <c r="AN7">
        <v>0.7</v>
      </c>
      <c r="AO7">
        <v>0.7</v>
      </c>
      <c r="AP7">
        <v>10.499999999999998</v>
      </c>
    </row>
    <row r="8" spans="1:62" x14ac:dyDescent="0.25">
      <c r="A8" t="s">
        <v>17</v>
      </c>
      <c r="B8">
        <v>1.6035183979999998</v>
      </c>
      <c r="C8" t="s">
        <v>17</v>
      </c>
      <c r="D8">
        <v>0</v>
      </c>
      <c r="E8">
        <v>0.7</v>
      </c>
      <c r="F8">
        <v>0.7</v>
      </c>
      <c r="G8">
        <v>0</v>
      </c>
      <c r="H8">
        <v>0</v>
      </c>
      <c r="I8">
        <v>0</v>
      </c>
      <c r="J8">
        <v>1.4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2.8</v>
      </c>
      <c r="W8" t="s">
        <v>17</v>
      </c>
      <c r="X8">
        <v>0</v>
      </c>
      <c r="Y8">
        <v>0.7</v>
      </c>
      <c r="Z8">
        <v>0.7</v>
      </c>
      <c r="AA8">
        <v>0</v>
      </c>
      <c r="AB8">
        <v>0</v>
      </c>
      <c r="AC8">
        <v>0</v>
      </c>
      <c r="AD8">
        <v>1.4</v>
      </c>
      <c r="AE8">
        <v>0</v>
      </c>
      <c r="AF8">
        <v>0</v>
      </c>
      <c r="AG8">
        <v>0</v>
      </c>
      <c r="AH8">
        <v>0.19600000000000004</v>
      </c>
      <c r="AI8">
        <v>0.19600000000000004</v>
      </c>
      <c r="AJ8">
        <v>0.19600000000000004</v>
      </c>
      <c r="AK8">
        <v>0.19600000000000004</v>
      </c>
      <c r="AL8">
        <v>0.19600000000000004</v>
      </c>
      <c r="AM8">
        <v>0.19600000000000004</v>
      </c>
      <c r="AN8">
        <v>0.19600000000000004</v>
      </c>
      <c r="AO8">
        <v>0.19600000000000004</v>
      </c>
      <c r="AP8">
        <v>4.3680000000000003</v>
      </c>
    </row>
    <row r="9" spans="1:62" x14ac:dyDescent="0.25">
      <c r="A9" t="s">
        <v>22</v>
      </c>
      <c r="B9">
        <v>0</v>
      </c>
      <c r="C9" t="s">
        <v>22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 t="s">
        <v>22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4.8000000000000001E-2</v>
      </c>
      <c r="AH9">
        <v>4.8000000000000001E-2</v>
      </c>
      <c r="AI9">
        <v>4.8000000000000001E-2</v>
      </c>
      <c r="AJ9">
        <v>4.8000000000000001E-2</v>
      </c>
      <c r="AK9">
        <v>4.8000000000000001E-2</v>
      </c>
      <c r="AL9">
        <v>4.8000000000000001E-2</v>
      </c>
      <c r="AM9">
        <v>4.8000000000000001E-2</v>
      </c>
      <c r="AN9">
        <v>4.8000000000000001E-2</v>
      </c>
      <c r="AO9">
        <v>4.8000000000000001E-2</v>
      </c>
      <c r="AP9">
        <v>0.43199999999999994</v>
      </c>
    </row>
    <row r="10" spans="1:62" x14ac:dyDescent="0.25">
      <c r="A10" t="s">
        <v>15</v>
      </c>
      <c r="B10">
        <v>20.527317305</v>
      </c>
      <c r="C10" t="s">
        <v>15</v>
      </c>
      <c r="D10">
        <v>0</v>
      </c>
      <c r="E10">
        <v>0.56000000000000005</v>
      </c>
      <c r="F10">
        <v>1.55</v>
      </c>
      <c r="G10">
        <v>0</v>
      </c>
      <c r="H10">
        <v>1.004</v>
      </c>
      <c r="I10">
        <v>0.72</v>
      </c>
      <c r="J10">
        <v>0.45</v>
      </c>
      <c r="K10">
        <v>1.6240000000000001</v>
      </c>
      <c r="L10">
        <v>1.39</v>
      </c>
      <c r="M10">
        <v>0.43</v>
      </c>
      <c r="N10">
        <v>0.3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8.0280000000000005</v>
      </c>
      <c r="W10" t="s">
        <v>15</v>
      </c>
      <c r="X10">
        <v>0</v>
      </c>
      <c r="Y10">
        <v>0.56000000000000005</v>
      </c>
      <c r="Z10">
        <v>1.55</v>
      </c>
      <c r="AA10">
        <v>0</v>
      </c>
      <c r="AB10">
        <v>1.004</v>
      </c>
      <c r="AC10">
        <v>0.72</v>
      </c>
      <c r="AD10">
        <v>0.45</v>
      </c>
      <c r="AE10">
        <v>1.6240000000000001</v>
      </c>
      <c r="AF10">
        <v>1.4549999999999996</v>
      </c>
      <c r="AG10">
        <v>0.70199999999999996</v>
      </c>
      <c r="AH10">
        <v>0.63800000000000001</v>
      </c>
      <c r="AI10">
        <v>0.53</v>
      </c>
      <c r="AJ10">
        <v>0.53</v>
      </c>
      <c r="AK10">
        <v>0</v>
      </c>
      <c r="AL10">
        <v>0.53</v>
      </c>
      <c r="AM10">
        <v>0.53</v>
      </c>
      <c r="AN10">
        <v>0.53</v>
      </c>
      <c r="AO10">
        <v>0.53</v>
      </c>
      <c r="AP10">
        <v>11.882999999999997</v>
      </c>
    </row>
    <row r="11" spans="1:62" x14ac:dyDescent="0.25">
      <c r="A11" t="s">
        <v>18</v>
      </c>
      <c r="B11">
        <v>1.6987499999999998</v>
      </c>
      <c r="C11" t="s">
        <v>18</v>
      </c>
      <c r="D11">
        <v>2.8000000000000004E-2</v>
      </c>
      <c r="E11">
        <v>2.8000000000000004E-2</v>
      </c>
      <c r="F11">
        <v>2.8000000000000004E-2</v>
      </c>
      <c r="G11">
        <v>2.8000000000000004E-2</v>
      </c>
      <c r="H11">
        <v>1.8000000000000002E-2</v>
      </c>
      <c r="I11">
        <v>1.8000000000000002E-2</v>
      </c>
      <c r="J11">
        <v>1.8000000000000002E-2</v>
      </c>
      <c r="K11">
        <v>1.8000000000000002E-2</v>
      </c>
      <c r="L11">
        <v>1.8000000000000002E-2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0.20200000000000007</v>
      </c>
      <c r="W11" t="s">
        <v>18</v>
      </c>
      <c r="X11">
        <v>2.8000000000000004E-2</v>
      </c>
      <c r="Y11">
        <v>2.8000000000000004E-2</v>
      </c>
      <c r="Z11">
        <v>2.8000000000000004E-2</v>
      </c>
      <c r="AA11">
        <v>2.8000000000000004E-2</v>
      </c>
      <c r="AB11">
        <v>1.8000000000000002E-2</v>
      </c>
      <c r="AC11">
        <v>1.8000000000000002E-2</v>
      </c>
      <c r="AD11">
        <v>0.38000000000000006</v>
      </c>
      <c r="AE11">
        <v>0.38000000000000006</v>
      </c>
      <c r="AF11">
        <v>0.38000000000000006</v>
      </c>
      <c r="AG11">
        <v>0.38000000000000006</v>
      </c>
      <c r="AH11">
        <v>0.38000000000000006</v>
      </c>
      <c r="AI11">
        <v>0.38000000000000006</v>
      </c>
      <c r="AJ11">
        <v>0.38000000000000006</v>
      </c>
      <c r="AK11">
        <v>0.38000000000000006</v>
      </c>
      <c r="AL11">
        <v>0.38000000000000006</v>
      </c>
      <c r="AM11">
        <v>0.38000000000000006</v>
      </c>
      <c r="AN11">
        <v>0.38000000000000006</v>
      </c>
      <c r="AO11">
        <v>0.38000000000000006</v>
      </c>
      <c r="AP11">
        <v>4.7080000000000002</v>
      </c>
    </row>
    <row r="12" spans="1:62" x14ac:dyDescent="0.25">
      <c r="A12" t="s">
        <v>7</v>
      </c>
      <c r="B12">
        <v>3.3571500000000003</v>
      </c>
      <c r="C12" t="s">
        <v>7</v>
      </c>
      <c r="D12">
        <v>0.14300000000000002</v>
      </c>
      <c r="E12">
        <v>0.14300000000000002</v>
      </c>
      <c r="F12">
        <v>0.14300000000000002</v>
      </c>
      <c r="G12">
        <v>0.14300000000000002</v>
      </c>
      <c r="H12">
        <v>0.155</v>
      </c>
      <c r="I12">
        <v>0.155</v>
      </c>
      <c r="J12">
        <v>0.155</v>
      </c>
      <c r="K12">
        <v>0.155</v>
      </c>
      <c r="L12">
        <v>0.155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1.3470000000000002</v>
      </c>
      <c r="W12" t="s">
        <v>7</v>
      </c>
      <c r="X12">
        <v>0.14300000000000002</v>
      </c>
      <c r="Y12">
        <v>0.14300000000000002</v>
      </c>
      <c r="Z12">
        <v>0.14300000000000002</v>
      </c>
      <c r="AA12">
        <v>0.14300000000000002</v>
      </c>
      <c r="AB12">
        <v>0.155</v>
      </c>
      <c r="AC12">
        <v>0.155</v>
      </c>
      <c r="AD12">
        <v>0.155</v>
      </c>
      <c r="AE12">
        <v>0.19900000000000001</v>
      </c>
      <c r="AF12">
        <v>0.28799999999999998</v>
      </c>
      <c r="AG12">
        <v>0.318</v>
      </c>
      <c r="AH12">
        <v>0.318</v>
      </c>
      <c r="AI12">
        <v>0.318</v>
      </c>
      <c r="AJ12">
        <v>0.318</v>
      </c>
      <c r="AK12">
        <v>0.318</v>
      </c>
      <c r="AL12">
        <v>0.318</v>
      </c>
      <c r="AM12">
        <v>0.318</v>
      </c>
      <c r="AN12">
        <v>0.318</v>
      </c>
      <c r="AO12">
        <v>0.318</v>
      </c>
      <c r="AP12">
        <v>4.3860000000000001</v>
      </c>
      <c r="AQ12" t="s">
        <v>7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2" x14ac:dyDescent="0.25">
      <c r="A13" t="s">
        <v>19</v>
      </c>
      <c r="B13">
        <v>19.996724187999998</v>
      </c>
      <c r="C13" t="s">
        <v>19</v>
      </c>
      <c r="D13">
        <v>4.7910000000000004</v>
      </c>
      <c r="E13">
        <v>4.8499999999999996</v>
      </c>
      <c r="F13">
        <v>12.938000000000001</v>
      </c>
      <c r="G13">
        <v>11.7</v>
      </c>
      <c r="H13">
        <v>0.32900000000000001</v>
      </c>
      <c r="I13">
        <v>1.881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36.488999999999997</v>
      </c>
      <c r="W13" t="s">
        <v>19</v>
      </c>
      <c r="X13">
        <v>4.7910000000000004</v>
      </c>
      <c r="Y13">
        <v>4.8499999999999996</v>
      </c>
      <c r="Z13">
        <v>12.938000000000001</v>
      </c>
      <c r="AA13">
        <v>11.7</v>
      </c>
      <c r="AB13">
        <v>17.977</v>
      </c>
      <c r="AC13">
        <v>17.977</v>
      </c>
      <c r="AD13">
        <v>17.977</v>
      </c>
      <c r="AE13">
        <v>17.977</v>
      </c>
      <c r="AF13">
        <v>19.774999999999999</v>
      </c>
      <c r="AG13">
        <v>19.774999999999999</v>
      </c>
      <c r="AH13">
        <v>19.774999999999999</v>
      </c>
      <c r="AI13">
        <v>19.774999999999999</v>
      </c>
      <c r="AJ13">
        <v>19.774999999999999</v>
      </c>
      <c r="AK13">
        <v>21.753</v>
      </c>
      <c r="AL13">
        <v>21.753</v>
      </c>
      <c r="AM13">
        <v>21.753</v>
      </c>
      <c r="AN13">
        <v>21.753</v>
      </c>
      <c r="AO13">
        <v>21.753</v>
      </c>
      <c r="AP13">
        <v>313.827</v>
      </c>
      <c r="AQ13" t="s">
        <v>19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0.24338878610000003</v>
      </c>
      <c r="BF13">
        <v>0.24338878610000003</v>
      </c>
      <c r="BG13">
        <v>0.24338878610000003</v>
      </c>
      <c r="BH13">
        <v>0.37124460310000001</v>
      </c>
      <c r="BI13">
        <v>0.557894852</v>
      </c>
      <c r="BJ13">
        <v>1.6593058134000001</v>
      </c>
    </row>
    <row r="14" spans="1:62" x14ac:dyDescent="0.25">
      <c r="A14" t="s">
        <v>20</v>
      </c>
      <c r="B14">
        <v>2.6663458109999993</v>
      </c>
      <c r="C14" t="s">
        <v>20</v>
      </c>
      <c r="D14">
        <v>0.76600000000000001</v>
      </c>
      <c r="E14">
        <v>4.6790000000000003</v>
      </c>
      <c r="F14">
        <v>2.242</v>
      </c>
      <c r="G14">
        <v>2.2330000000000001</v>
      </c>
      <c r="H14">
        <v>2.1000000000000001E-2</v>
      </c>
      <c r="I14">
        <v>0.11899999999999999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10.06</v>
      </c>
      <c r="W14" t="s">
        <v>20</v>
      </c>
      <c r="X14">
        <v>0.76600000000000001</v>
      </c>
      <c r="Y14">
        <v>4.6790000000000003</v>
      </c>
      <c r="Z14">
        <v>2.242</v>
      </c>
      <c r="AA14">
        <v>2.2330000000000001</v>
      </c>
      <c r="AB14">
        <v>4.4939999999999989</v>
      </c>
      <c r="AC14">
        <v>4.4939999999999989</v>
      </c>
      <c r="AD14">
        <v>4.4939999999999989</v>
      </c>
      <c r="AE14">
        <v>4.4939999999999989</v>
      </c>
      <c r="AF14">
        <v>4.944</v>
      </c>
      <c r="AG14">
        <v>4.944</v>
      </c>
      <c r="AH14">
        <v>4.944</v>
      </c>
      <c r="AI14">
        <v>4.944</v>
      </c>
      <c r="AJ14">
        <v>4.944</v>
      </c>
      <c r="AK14">
        <v>5.4370000000000003</v>
      </c>
      <c r="AL14">
        <v>5.4370000000000003</v>
      </c>
      <c r="AM14">
        <v>5.4370000000000003</v>
      </c>
      <c r="AN14">
        <v>5.4370000000000003</v>
      </c>
      <c r="AO14">
        <v>5.4370000000000003</v>
      </c>
      <c r="AP14">
        <v>79.801000000000002</v>
      </c>
      <c r="AQ14" t="s">
        <v>20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2.0121213000000002E-2</v>
      </c>
      <c r="BF14">
        <v>2.0121213000000002E-2</v>
      </c>
      <c r="BG14">
        <v>2.0121213000000002E-2</v>
      </c>
      <c r="BH14">
        <v>6.4675396999999996E-2</v>
      </c>
      <c r="BI14">
        <v>0.11303014750000001</v>
      </c>
      <c r="BJ14">
        <v>0.2380691835</v>
      </c>
    </row>
    <row r="15" spans="1:62" x14ac:dyDescent="0.25">
      <c r="A15" t="s">
        <v>21</v>
      </c>
      <c r="B15">
        <v>5.3014200000000002</v>
      </c>
      <c r="C15" t="s">
        <v>21</v>
      </c>
      <c r="D15">
        <v>2E-3</v>
      </c>
      <c r="E15">
        <v>2.9000000000000001E-2</v>
      </c>
      <c r="F15">
        <v>0.61599999999999999</v>
      </c>
      <c r="G15">
        <v>0.70499999999999996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1.3519999999999999</v>
      </c>
      <c r="W15" t="s">
        <v>21</v>
      </c>
      <c r="X15">
        <v>2E-3</v>
      </c>
      <c r="Y15">
        <v>2.9000000000000001E-2</v>
      </c>
      <c r="Z15">
        <v>0.61599999999999999</v>
      </c>
      <c r="AA15">
        <v>0.70499999999999996</v>
      </c>
      <c r="AB15">
        <v>4.9210000000000003</v>
      </c>
      <c r="AC15">
        <v>4.9210000000000003</v>
      </c>
      <c r="AD15">
        <v>4.9210000000000003</v>
      </c>
      <c r="AE15">
        <v>4.9210000000000003</v>
      </c>
      <c r="AF15">
        <v>5.4139999999999997</v>
      </c>
      <c r="AG15">
        <v>5.4139999999999997</v>
      </c>
      <c r="AH15">
        <v>5.4139999999999997</v>
      </c>
      <c r="AI15">
        <v>5.4139999999999997</v>
      </c>
      <c r="AJ15">
        <v>5.4139999999999997</v>
      </c>
      <c r="AK15">
        <v>5.9550000000000001</v>
      </c>
      <c r="AL15">
        <v>5.9550000000000001</v>
      </c>
      <c r="AM15">
        <v>5.9550000000000001</v>
      </c>
      <c r="AN15">
        <v>5.9550000000000001</v>
      </c>
      <c r="AO15">
        <v>5.9550000000000001</v>
      </c>
      <c r="AP15">
        <v>77.881</v>
      </c>
      <c r="AQ15" t="s">
        <v>21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0.46417000000000003</v>
      </c>
      <c r="BC15">
        <v>0.46417000000000003</v>
      </c>
      <c r="BD15">
        <v>0.46417000000000003</v>
      </c>
      <c r="BE15">
        <v>0.46417000000000003</v>
      </c>
      <c r="BF15">
        <v>0.46417000000000003</v>
      </c>
      <c r="BG15">
        <v>0.46417000000000003</v>
      </c>
      <c r="BH15">
        <v>0.52349999999999997</v>
      </c>
      <c r="BI15">
        <v>0.6855</v>
      </c>
      <c r="BJ15">
        <v>3.9940199999999999</v>
      </c>
    </row>
    <row r="16" spans="1:62" x14ac:dyDescent="0.25">
      <c r="A16" t="s">
        <v>23</v>
      </c>
      <c r="B16">
        <v>0</v>
      </c>
      <c r="C16" t="s">
        <v>23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 t="s">
        <v>23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62" x14ac:dyDescent="0.25">
      <c r="A17" t="s">
        <v>24</v>
      </c>
      <c r="B17">
        <v>6.8634639999999997E-2</v>
      </c>
      <c r="C17" t="s">
        <v>24</v>
      </c>
      <c r="D17">
        <v>2.8506620000000001E-4</v>
      </c>
      <c r="E17">
        <v>1.6822759999999999E-3</v>
      </c>
      <c r="F17">
        <v>2.753779E-3</v>
      </c>
      <c r="G17">
        <v>0.10379149600000001</v>
      </c>
      <c r="H17">
        <v>7.4273202999999996E-2</v>
      </c>
      <c r="I17">
        <v>9.9780122999999998E-2</v>
      </c>
      <c r="J17">
        <v>9.8923584000000009E-2</v>
      </c>
      <c r="K17">
        <v>9.7360441999999991E-2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0.4788499692</v>
      </c>
      <c r="W17" t="s">
        <v>24</v>
      </c>
      <c r="X17">
        <v>2.8506620000000001E-4</v>
      </c>
      <c r="Y17">
        <v>8.1225472999999992E-2</v>
      </c>
      <c r="Z17">
        <v>0.19487280400000001</v>
      </c>
      <c r="AA17">
        <v>0.433810321</v>
      </c>
      <c r="AB17">
        <v>0.95371396799999997</v>
      </c>
      <c r="AC17">
        <v>2.077686972</v>
      </c>
      <c r="AD17">
        <v>4.5284981050000006</v>
      </c>
      <c r="AE17">
        <v>9.7983995879999988</v>
      </c>
      <c r="AF17">
        <v>9.7983995879999988</v>
      </c>
      <c r="AG17">
        <v>9.6584304500000009</v>
      </c>
      <c r="AH17">
        <v>9.6584304500000009</v>
      </c>
      <c r="AI17">
        <v>9.6584304500000009</v>
      </c>
      <c r="AJ17">
        <v>9.5330884390000001</v>
      </c>
      <c r="AK17">
        <v>9.5330884390000001</v>
      </c>
      <c r="AL17">
        <v>9.5330884390000001</v>
      </c>
      <c r="AM17">
        <v>9.5330884390000001</v>
      </c>
      <c r="AN17">
        <v>9.5330884390000001</v>
      </c>
      <c r="AO17">
        <v>9.5330884390000001</v>
      </c>
      <c r="AP17">
        <v>114.04071386919998</v>
      </c>
    </row>
    <row r="18" spans="1:62" s="2" customFormat="1" x14ac:dyDescent="0.25">
      <c r="A18" s="2" t="s">
        <v>9</v>
      </c>
      <c r="C18" s="2" t="s">
        <v>9</v>
      </c>
      <c r="D18" s="2">
        <v>2.6021153999999998E-2</v>
      </c>
      <c r="E18" s="2">
        <v>0.62318205800000004</v>
      </c>
      <c r="F18" s="2">
        <v>1.5422625649999999</v>
      </c>
      <c r="G18" s="2">
        <v>5.1700516999999994E-2</v>
      </c>
      <c r="H18" s="2">
        <v>0.13494169</v>
      </c>
      <c r="I18" s="2">
        <v>1.7185507000000003E-2</v>
      </c>
      <c r="J18" s="2">
        <v>1.6974034999999998E-2</v>
      </c>
      <c r="K18" s="2">
        <v>1.6588109E-2</v>
      </c>
      <c r="L18" s="2">
        <v>8.0000000000000002E-3</v>
      </c>
      <c r="M18" s="2">
        <v>0</v>
      </c>
      <c r="N18" s="2">
        <v>0</v>
      </c>
      <c r="O18" s="2">
        <v>0</v>
      </c>
      <c r="P18" s="2">
        <v>0</v>
      </c>
      <c r="Q18" s="2">
        <v>2.88</v>
      </c>
      <c r="R18" s="2">
        <v>0</v>
      </c>
      <c r="S18" s="2">
        <v>0</v>
      </c>
      <c r="T18" s="2">
        <v>0</v>
      </c>
      <c r="U18" s="2">
        <v>0</v>
      </c>
      <c r="V18" s="2">
        <v>5.3168556350000005</v>
      </c>
      <c r="W18" s="2" t="s">
        <v>9</v>
      </c>
      <c r="X18" s="2">
        <v>2.6021153999999998E-2</v>
      </c>
      <c r="Y18" s="2">
        <v>0.63179034499999998</v>
      </c>
      <c r="Z18" s="2">
        <v>1.5605805689999999</v>
      </c>
      <c r="AA18" s="2">
        <v>0.27354459600000003</v>
      </c>
      <c r="AB18" s="2">
        <v>4.3191356090000008</v>
      </c>
      <c r="AC18" s="2">
        <v>4.3392666439999994</v>
      </c>
      <c r="AD18" s="2">
        <v>4.6918110550000005</v>
      </c>
      <c r="AE18" s="2">
        <v>5.1453111920000003</v>
      </c>
      <c r="AF18" s="2">
        <v>5.6373111919999994</v>
      </c>
      <c r="AG18" s="2">
        <v>6.0247539809999999</v>
      </c>
      <c r="AH18" s="2">
        <v>6.0527539809999995</v>
      </c>
      <c r="AI18" s="2">
        <v>6.1107539809999993</v>
      </c>
      <c r="AJ18" s="2">
        <v>6.0888080840000001</v>
      </c>
      <c r="AK18" s="2">
        <v>8.7658080839999997</v>
      </c>
      <c r="AL18" s="2">
        <v>6.516808084</v>
      </c>
      <c r="AM18" s="2">
        <v>6.516808084</v>
      </c>
      <c r="AN18" s="2">
        <v>6.516808084</v>
      </c>
      <c r="AO18" s="2">
        <v>6.516808084</v>
      </c>
      <c r="AP18" s="2">
        <v>85.734882803000005</v>
      </c>
      <c r="AQ18" s="2" t="s">
        <v>9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9.9999999999999991E-6</v>
      </c>
      <c r="BF18" s="2">
        <v>9.9999999999999991E-6</v>
      </c>
      <c r="BG18" s="2">
        <v>9.9999999999999991E-6</v>
      </c>
      <c r="BH18" s="2">
        <v>5.0000000000000001E-3</v>
      </c>
      <c r="BI18" s="2">
        <v>3.4000000000000002E-4</v>
      </c>
      <c r="BJ18" s="2">
        <v>5.3699999999999998E-3</v>
      </c>
    </row>
    <row r="19" spans="1:62" x14ac:dyDescent="0.25">
      <c r="A19" t="s">
        <v>13</v>
      </c>
      <c r="B19">
        <v>1.010929706</v>
      </c>
      <c r="C19" t="s">
        <v>13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 t="s">
        <v>13</v>
      </c>
      <c r="X19">
        <v>0</v>
      </c>
      <c r="Y19">
        <v>0</v>
      </c>
      <c r="Z19">
        <v>0</v>
      </c>
      <c r="AA19">
        <v>0</v>
      </c>
      <c r="AB19">
        <v>0</v>
      </c>
      <c r="AC19">
        <v>3.7999999999999999E-2</v>
      </c>
      <c r="AD19">
        <v>3.6000000000000004E-2</v>
      </c>
      <c r="AE19">
        <v>3.6000000000000004E-2</v>
      </c>
      <c r="AF19">
        <v>3.6999999999999998E-2</v>
      </c>
      <c r="AG19">
        <v>3.6999999999999998E-2</v>
      </c>
      <c r="AH19">
        <v>2.8000000000000001E-2</v>
      </c>
      <c r="AI19">
        <v>2.4E-2</v>
      </c>
      <c r="AJ19">
        <v>3.3000000000000002E-2</v>
      </c>
      <c r="AK19">
        <v>3.6000000000000004E-2</v>
      </c>
      <c r="AL19">
        <v>3.7999999999999999E-2</v>
      </c>
      <c r="AM19">
        <v>3.7999999999999999E-2</v>
      </c>
      <c r="AN19">
        <v>3.7999999999999999E-2</v>
      </c>
      <c r="AO19">
        <v>3.7999999999999999E-2</v>
      </c>
      <c r="AP19">
        <v>0.45699999999999996</v>
      </c>
      <c r="AQ19" t="s">
        <v>13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1:62" x14ac:dyDescent="0.25">
      <c r="A20" t="s">
        <v>14</v>
      </c>
      <c r="B20">
        <v>2.002456891</v>
      </c>
      <c r="C20" t="s">
        <v>14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 t="s">
        <v>14</v>
      </c>
      <c r="X20">
        <v>0</v>
      </c>
      <c r="Y20">
        <v>0</v>
      </c>
      <c r="Z20">
        <v>0</v>
      </c>
      <c r="AA20">
        <v>0</v>
      </c>
      <c r="AB20">
        <v>6.4000000000000001E-2</v>
      </c>
      <c r="AC20">
        <v>6.4000000000000001E-2</v>
      </c>
      <c r="AD20">
        <v>6.4000000000000001E-2</v>
      </c>
      <c r="AE20">
        <v>6.4000000000000001E-2</v>
      </c>
      <c r="AF20">
        <v>6.4000000000000001E-2</v>
      </c>
      <c r="AG20">
        <v>6.4000000000000001E-2</v>
      </c>
      <c r="AH20">
        <v>6.4000000000000001E-2</v>
      </c>
      <c r="AI20">
        <v>6.4000000000000001E-2</v>
      </c>
      <c r="AJ20">
        <v>6.4000000000000001E-2</v>
      </c>
      <c r="AK20">
        <v>6.4000000000000001E-2</v>
      </c>
      <c r="AL20">
        <v>6.4000000000000001E-2</v>
      </c>
      <c r="AM20">
        <v>6.4000000000000001E-2</v>
      </c>
      <c r="AN20">
        <v>6.4000000000000001E-2</v>
      </c>
      <c r="AO20">
        <v>6.4000000000000001E-2</v>
      </c>
      <c r="AP20">
        <v>0.89600000000000035</v>
      </c>
      <c r="AQ20" t="s">
        <v>14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1:62" x14ac:dyDescent="0.25">
      <c r="A21" t="s">
        <v>16</v>
      </c>
      <c r="B21">
        <v>0</v>
      </c>
      <c r="C21" t="s">
        <v>16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 t="s">
        <v>16</v>
      </c>
      <c r="X21">
        <v>0</v>
      </c>
      <c r="Y21">
        <v>0</v>
      </c>
      <c r="Z21">
        <v>0</v>
      </c>
      <c r="AA21">
        <v>0.191</v>
      </c>
      <c r="AB21">
        <v>0.191</v>
      </c>
      <c r="AC21">
        <v>0.191</v>
      </c>
      <c r="AD21">
        <v>0.191</v>
      </c>
      <c r="AE21">
        <v>0.191</v>
      </c>
      <c r="AF21">
        <v>0.191</v>
      </c>
      <c r="AG21">
        <v>0.191</v>
      </c>
      <c r="AH21">
        <v>0.191</v>
      </c>
      <c r="AI21">
        <v>0.191</v>
      </c>
      <c r="AJ21">
        <v>0.191</v>
      </c>
      <c r="AK21">
        <v>0.191</v>
      </c>
      <c r="AL21">
        <v>0.191</v>
      </c>
      <c r="AM21">
        <v>0.191</v>
      </c>
      <c r="AN21">
        <v>0.191</v>
      </c>
      <c r="AO21">
        <v>0.191</v>
      </c>
      <c r="AP21">
        <v>2.8649999999999998</v>
      </c>
    </row>
    <row r="22" spans="1:62" x14ac:dyDescent="0.25">
      <c r="A22" t="s">
        <v>17</v>
      </c>
      <c r="B22">
        <v>0</v>
      </c>
      <c r="C22" t="s">
        <v>17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 t="s">
        <v>17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62" x14ac:dyDescent="0.25">
      <c r="A23" t="s">
        <v>22</v>
      </c>
      <c r="B23">
        <v>0</v>
      </c>
      <c r="C23" t="s">
        <v>22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 t="s">
        <v>22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62" x14ac:dyDescent="0.25">
      <c r="A24" t="s">
        <v>15</v>
      </c>
      <c r="B24">
        <v>1.842825293</v>
      </c>
      <c r="C24" t="s">
        <v>15</v>
      </c>
      <c r="D24">
        <v>0</v>
      </c>
      <c r="E24">
        <v>0.5</v>
      </c>
      <c r="F24">
        <v>1.5</v>
      </c>
      <c r="G24">
        <v>0</v>
      </c>
      <c r="H24">
        <v>0.12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2.88</v>
      </c>
      <c r="R24">
        <v>0</v>
      </c>
      <c r="S24">
        <v>0</v>
      </c>
      <c r="T24">
        <v>0</v>
      </c>
      <c r="U24">
        <v>0</v>
      </c>
      <c r="V24">
        <v>5</v>
      </c>
      <c r="W24" t="s">
        <v>15</v>
      </c>
      <c r="X24">
        <v>0</v>
      </c>
      <c r="Y24">
        <v>0.5</v>
      </c>
      <c r="Z24">
        <v>1.5</v>
      </c>
      <c r="AA24">
        <v>0</v>
      </c>
      <c r="AB24">
        <v>0.12</v>
      </c>
      <c r="AC24">
        <v>0</v>
      </c>
      <c r="AD24">
        <v>0</v>
      </c>
      <c r="AE24">
        <v>0</v>
      </c>
      <c r="AF24">
        <v>0.107</v>
      </c>
      <c r="AG24">
        <v>0.53</v>
      </c>
      <c r="AH24">
        <v>0.56700000000000006</v>
      </c>
      <c r="AI24">
        <v>0.629</v>
      </c>
      <c r="AJ24">
        <v>0.629</v>
      </c>
      <c r="AK24">
        <v>2.88</v>
      </c>
      <c r="AL24">
        <v>0.629</v>
      </c>
      <c r="AM24">
        <v>0.629</v>
      </c>
      <c r="AN24">
        <v>0.629</v>
      </c>
      <c r="AO24">
        <v>0.629</v>
      </c>
      <c r="AP24">
        <v>9.9779999999999998</v>
      </c>
    </row>
    <row r="25" spans="1:62" x14ac:dyDescent="0.25">
      <c r="A25" t="s">
        <v>18</v>
      </c>
      <c r="B25">
        <v>0.29935</v>
      </c>
      <c r="C25" t="s">
        <v>18</v>
      </c>
      <c r="D25">
        <v>9.9999999999999985E-3</v>
      </c>
      <c r="E25">
        <v>9.9999999999999985E-3</v>
      </c>
      <c r="F25">
        <v>9.9999999999999985E-3</v>
      </c>
      <c r="G25">
        <v>9.9999999999999985E-3</v>
      </c>
      <c r="H25">
        <v>7.0000000000000001E-3</v>
      </c>
      <c r="I25">
        <v>7.0000000000000001E-3</v>
      </c>
      <c r="J25">
        <v>7.0000000000000001E-3</v>
      </c>
      <c r="K25">
        <v>7.0000000000000001E-3</v>
      </c>
      <c r="L25">
        <v>7.0000000000000001E-3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7.4999999999999997E-2</v>
      </c>
      <c r="W25" t="s">
        <v>18</v>
      </c>
      <c r="X25">
        <v>9.9999999999999985E-3</v>
      </c>
      <c r="Y25">
        <v>9.9999999999999985E-3</v>
      </c>
      <c r="Z25">
        <v>9.9999999999999985E-3</v>
      </c>
      <c r="AA25">
        <v>9.9999999999999985E-3</v>
      </c>
      <c r="AB25">
        <v>7.0000000000000001E-3</v>
      </c>
      <c r="AC25">
        <v>7.0000000000000001E-3</v>
      </c>
      <c r="AD25">
        <v>0.14200000000000002</v>
      </c>
      <c r="AE25">
        <v>0.14200000000000002</v>
      </c>
      <c r="AF25">
        <v>0.14200000000000002</v>
      </c>
      <c r="AG25">
        <v>0.14200000000000002</v>
      </c>
      <c r="AH25">
        <v>0.14200000000000002</v>
      </c>
      <c r="AI25">
        <v>0.14200000000000002</v>
      </c>
      <c r="AJ25">
        <v>0.14200000000000002</v>
      </c>
      <c r="AK25">
        <v>0.14200000000000002</v>
      </c>
      <c r="AL25">
        <v>0.14200000000000002</v>
      </c>
      <c r="AM25">
        <v>0.14200000000000002</v>
      </c>
      <c r="AN25">
        <v>0.14200000000000002</v>
      </c>
      <c r="AO25">
        <v>0.14200000000000002</v>
      </c>
      <c r="AP25">
        <v>1.7579999999999996</v>
      </c>
    </row>
    <row r="26" spans="1:62" x14ac:dyDescent="0.25">
      <c r="A26" t="s">
        <v>7</v>
      </c>
      <c r="B26">
        <v>1.5800000000000002E-2</v>
      </c>
      <c r="C26" t="s">
        <v>7</v>
      </c>
      <c r="D26">
        <v>1E-3</v>
      </c>
      <c r="E26">
        <v>1E-3</v>
      </c>
      <c r="F26">
        <v>1E-3</v>
      </c>
      <c r="G26">
        <v>1E-3</v>
      </c>
      <c r="H26">
        <v>1E-3</v>
      </c>
      <c r="I26">
        <v>1E-3</v>
      </c>
      <c r="J26">
        <v>1E-3</v>
      </c>
      <c r="K26">
        <v>1E-3</v>
      </c>
      <c r="L26">
        <v>1E-3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9.0000000000000011E-3</v>
      </c>
      <c r="W26" t="s">
        <v>7</v>
      </c>
      <c r="X26">
        <v>1E-3</v>
      </c>
      <c r="Y26">
        <v>1E-3</v>
      </c>
      <c r="Z26">
        <v>1E-3</v>
      </c>
      <c r="AA26">
        <v>1E-3</v>
      </c>
      <c r="AB26">
        <v>1E-3</v>
      </c>
      <c r="AC26">
        <v>1E-3</v>
      </c>
      <c r="AD26">
        <v>1E-3</v>
      </c>
      <c r="AE26">
        <v>1E-3</v>
      </c>
      <c r="AF26">
        <v>1E-3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9.0000000000000011E-3</v>
      </c>
      <c r="AQ26" t="s">
        <v>7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1:62" x14ac:dyDescent="0.25">
      <c r="A27" t="s">
        <v>19</v>
      </c>
      <c r="B27">
        <v>0.17148962199999998</v>
      </c>
      <c r="C27" t="s">
        <v>19</v>
      </c>
      <c r="D27">
        <v>7.0000000000000001E-3</v>
      </c>
      <c r="E27">
        <v>7.0000000000000001E-3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1.4E-2</v>
      </c>
      <c r="W27" t="s">
        <v>19</v>
      </c>
      <c r="X27">
        <v>7.0000000000000001E-3</v>
      </c>
      <c r="Y27">
        <v>7.0000000000000001E-3</v>
      </c>
      <c r="Z27">
        <v>0</v>
      </c>
      <c r="AA27">
        <v>0</v>
      </c>
      <c r="AB27">
        <v>3.0670000000000002</v>
      </c>
      <c r="AC27">
        <v>3.0670000000000002</v>
      </c>
      <c r="AD27">
        <v>3.0670000000000002</v>
      </c>
      <c r="AE27">
        <v>3.0670000000000002</v>
      </c>
      <c r="AF27">
        <v>3.3730000000000002</v>
      </c>
      <c r="AG27">
        <v>3.3730000000000002</v>
      </c>
      <c r="AH27">
        <v>3.3730000000000002</v>
      </c>
      <c r="AI27">
        <v>3.3730000000000002</v>
      </c>
      <c r="AJ27">
        <v>3.3730000000000002</v>
      </c>
      <c r="AK27">
        <v>3.71</v>
      </c>
      <c r="AL27">
        <v>3.71</v>
      </c>
      <c r="AM27">
        <v>3.71</v>
      </c>
      <c r="AN27">
        <v>3.71</v>
      </c>
      <c r="AO27">
        <v>3.71</v>
      </c>
      <c r="AP27">
        <v>47.69700000000001</v>
      </c>
      <c r="AQ27" t="s">
        <v>19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5.9099099999999998E-6</v>
      </c>
      <c r="BF27">
        <v>5.9099099999999998E-6</v>
      </c>
      <c r="BG27">
        <v>5.9099099999999998E-6</v>
      </c>
      <c r="BH27">
        <v>2.9549530000000002E-3</v>
      </c>
      <c r="BI27">
        <v>2.0093699999999999E-4</v>
      </c>
      <c r="BJ27">
        <v>3.17361973E-3</v>
      </c>
    </row>
    <row r="28" spans="1:62" x14ac:dyDescent="0.25">
      <c r="A28" t="s">
        <v>20</v>
      </c>
      <c r="B28">
        <v>6.7610377999999999E-2</v>
      </c>
      <c r="C28" t="s">
        <v>20</v>
      </c>
      <c r="D28">
        <v>8.0000000000000002E-3</v>
      </c>
      <c r="E28">
        <v>0.10500000000000001</v>
      </c>
      <c r="F28">
        <v>3.1E-2</v>
      </c>
      <c r="G28">
        <v>3.1E-2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0.17500000000000002</v>
      </c>
      <c r="W28" t="s">
        <v>20</v>
      </c>
      <c r="X28">
        <v>8.0000000000000002E-3</v>
      </c>
      <c r="Y28">
        <v>0.10500000000000001</v>
      </c>
      <c r="Z28">
        <v>3.1E-2</v>
      </c>
      <c r="AA28">
        <v>3.1E-2</v>
      </c>
      <c r="AB28">
        <v>0.7669999999999999</v>
      </c>
      <c r="AC28">
        <v>0.7669999999999999</v>
      </c>
      <c r="AD28">
        <v>0.7669999999999999</v>
      </c>
      <c r="AE28">
        <v>0.7669999999999999</v>
      </c>
      <c r="AF28">
        <v>0.84299999999999997</v>
      </c>
      <c r="AG28">
        <v>0.84299999999999997</v>
      </c>
      <c r="AH28">
        <v>0.84299999999999997</v>
      </c>
      <c r="AI28">
        <v>0.84299999999999997</v>
      </c>
      <c r="AJ28">
        <v>0.84299999999999997</v>
      </c>
      <c r="AK28">
        <v>0.92799999999999994</v>
      </c>
      <c r="AL28">
        <v>0.92799999999999994</v>
      </c>
      <c r="AM28">
        <v>0.92799999999999994</v>
      </c>
      <c r="AN28">
        <v>0.92799999999999994</v>
      </c>
      <c r="AO28">
        <v>0.92799999999999994</v>
      </c>
      <c r="AP28">
        <v>12.098000000000003</v>
      </c>
      <c r="AQ28" t="s">
        <v>20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4.0900900000000002E-6</v>
      </c>
      <c r="BF28">
        <v>4.0900900000000002E-6</v>
      </c>
      <c r="BG28">
        <v>4.0900900000000002E-6</v>
      </c>
      <c r="BH28">
        <v>2.0450469999999999E-3</v>
      </c>
      <c r="BI28">
        <v>1.3906300000000001E-4</v>
      </c>
      <c r="BJ28">
        <v>2.1963802700000002E-3</v>
      </c>
    </row>
    <row r="29" spans="1:62" x14ac:dyDescent="0.25">
      <c r="A29" t="s">
        <v>21</v>
      </c>
      <c r="B29">
        <v>0</v>
      </c>
      <c r="C29" t="s">
        <v>21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 t="s">
        <v>21</v>
      </c>
      <c r="X29">
        <v>0</v>
      </c>
      <c r="Y29">
        <v>0</v>
      </c>
      <c r="Z29">
        <v>0</v>
      </c>
      <c r="AA29">
        <v>0</v>
      </c>
      <c r="AB29">
        <v>1.3000000000000001E-2</v>
      </c>
      <c r="AC29">
        <v>1.3000000000000001E-2</v>
      </c>
      <c r="AD29">
        <v>1.3000000000000001E-2</v>
      </c>
      <c r="AE29">
        <v>1.3000000000000001E-2</v>
      </c>
      <c r="AF29">
        <v>1.4999999999999999E-2</v>
      </c>
      <c r="AG29">
        <v>1.4999999999999999E-2</v>
      </c>
      <c r="AH29">
        <v>1.4999999999999999E-2</v>
      </c>
      <c r="AI29">
        <v>1.4999999999999999E-2</v>
      </c>
      <c r="AJ29">
        <v>1.4999999999999999E-2</v>
      </c>
      <c r="AK29">
        <v>1.6E-2</v>
      </c>
      <c r="AL29">
        <v>1.6E-2</v>
      </c>
      <c r="AM29">
        <v>1.6E-2</v>
      </c>
      <c r="AN29">
        <v>1.6E-2</v>
      </c>
      <c r="AO29">
        <v>1.6E-2</v>
      </c>
      <c r="AP29">
        <v>0.20700000000000007</v>
      </c>
      <c r="AQ29" t="s">
        <v>21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1:62" x14ac:dyDescent="0.25">
      <c r="A30" t="s">
        <v>23</v>
      </c>
      <c r="B30">
        <v>0</v>
      </c>
      <c r="C30" t="s">
        <v>23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 t="s">
        <v>23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62" x14ac:dyDescent="0.25">
      <c r="A31" t="s">
        <v>24</v>
      </c>
      <c r="B31">
        <v>5.0062559999999997E-3</v>
      </c>
      <c r="C31" t="s">
        <v>24</v>
      </c>
      <c r="D31">
        <v>2.1154000000000001E-5</v>
      </c>
      <c r="E31">
        <v>1.82058E-4</v>
      </c>
      <c r="F31">
        <v>2.6256499999999998E-4</v>
      </c>
      <c r="G31">
        <v>9.7005170000000005E-3</v>
      </c>
      <c r="H31">
        <v>6.9416900000000004E-3</v>
      </c>
      <c r="I31">
        <v>9.1855070000000007E-3</v>
      </c>
      <c r="J31">
        <v>8.974035E-3</v>
      </c>
      <c r="K31">
        <v>8.588109E-3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4.3855635000000004E-2</v>
      </c>
      <c r="W31" t="s">
        <v>24</v>
      </c>
      <c r="X31">
        <v>2.1154000000000001E-5</v>
      </c>
      <c r="Y31">
        <v>8.7903449999999998E-3</v>
      </c>
      <c r="Z31">
        <v>1.8580569000000002E-2</v>
      </c>
      <c r="AA31">
        <v>4.0544596000000002E-2</v>
      </c>
      <c r="AB31">
        <v>8.9135609000000005E-2</v>
      </c>
      <c r="AC31">
        <v>0.19126664400000001</v>
      </c>
      <c r="AD31">
        <v>0.41081105499999998</v>
      </c>
      <c r="AE31">
        <v>0.86431119199999995</v>
      </c>
      <c r="AF31">
        <v>0.86431119199999995</v>
      </c>
      <c r="AG31">
        <v>0.82975398099999997</v>
      </c>
      <c r="AH31">
        <v>0.82975398099999997</v>
      </c>
      <c r="AI31">
        <v>0.82975398099999997</v>
      </c>
      <c r="AJ31">
        <v>0.79880808400000003</v>
      </c>
      <c r="AK31">
        <v>0.79880808400000003</v>
      </c>
      <c r="AL31">
        <v>0.79880808400000003</v>
      </c>
      <c r="AM31">
        <v>0.79880808400000003</v>
      </c>
      <c r="AN31">
        <v>0.79880808400000003</v>
      </c>
      <c r="AO31">
        <v>0.79880808400000003</v>
      </c>
      <c r="AP31">
        <v>9.7698828030000016</v>
      </c>
    </row>
    <row r="32" spans="1:62" s="2" customFormat="1" x14ac:dyDescent="0.25">
      <c r="A32" s="2" t="s">
        <v>10</v>
      </c>
      <c r="C32" s="2" t="s">
        <v>10</v>
      </c>
      <c r="D32" s="2">
        <v>0.20710590360000003</v>
      </c>
      <c r="E32" s="2">
        <v>0.47761164629999997</v>
      </c>
      <c r="F32" s="2">
        <v>3.9759268840000002</v>
      </c>
      <c r="G32" s="2">
        <v>1.275333257</v>
      </c>
      <c r="H32" s="2">
        <v>0.85456888200000003</v>
      </c>
      <c r="I32" s="2">
        <v>6.2789382000000005E-2</v>
      </c>
      <c r="J32" s="2">
        <v>1.487060906</v>
      </c>
      <c r="K32" s="2">
        <v>1.3858947949999998</v>
      </c>
      <c r="L32" s="2">
        <v>3.0000000000000002E-2</v>
      </c>
      <c r="M32" s="2">
        <v>0</v>
      </c>
      <c r="N32" s="2">
        <v>0</v>
      </c>
      <c r="O32" s="2">
        <v>4</v>
      </c>
      <c r="P32" s="2">
        <v>1.6</v>
      </c>
      <c r="Q32" s="2">
        <v>0.8</v>
      </c>
      <c r="R32" s="2">
        <v>0</v>
      </c>
      <c r="S32" s="2">
        <v>0</v>
      </c>
      <c r="T32" s="2">
        <v>0</v>
      </c>
      <c r="U32" s="2">
        <v>0</v>
      </c>
      <c r="V32" s="2">
        <v>16.156291655899999</v>
      </c>
      <c r="W32" s="2" t="s">
        <v>10</v>
      </c>
      <c r="X32" s="2">
        <v>0.20710590360000003</v>
      </c>
      <c r="Y32" s="2">
        <v>0.50653217500000003</v>
      </c>
      <c r="Z32" s="2">
        <v>4.040591547</v>
      </c>
      <c r="AA32" s="2">
        <v>1.4575004040000001</v>
      </c>
      <c r="AB32" s="2">
        <v>5.9794796769999996</v>
      </c>
      <c r="AC32" s="2">
        <v>7.1247619679999996</v>
      </c>
      <c r="AD32" s="2">
        <v>9.3385645059999991</v>
      </c>
      <c r="AE32" s="2">
        <v>10.732468772000001</v>
      </c>
      <c r="AF32" s="2">
        <v>10.613468772000001</v>
      </c>
      <c r="AG32" s="2">
        <v>10.616051298999999</v>
      </c>
      <c r="AH32" s="2">
        <v>10.224051298999999</v>
      </c>
      <c r="AI32" s="2">
        <v>13.541051298999999</v>
      </c>
      <c r="AJ32" s="2">
        <v>11.675545712</v>
      </c>
      <c r="AK32" s="2">
        <v>11.417545712000001</v>
      </c>
      <c r="AL32" s="2">
        <v>11.077545712000001</v>
      </c>
      <c r="AM32" s="2">
        <v>11.077545712000001</v>
      </c>
      <c r="AN32" s="2">
        <v>11.077545712000001</v>
      </c>
      <c r="AO32" s="2">
        <v>11.077545712000001</v>
      </c>
      <c r="AP32" s="2">
        <v>151.78490189359997</v>
      </c>
      <c r="AQ32" s="2" t="s">
        <v>10</v>
      </c>
      <c r="AR32" s="2">
        <v>0</v>
      </c>
      <c r="AS32" s="2">
        <v>0</v>
      </c>
      <c r="AT32" s="2">
        <v>0</v>
      </c>
      <c r="AU32" s="2">
        <v>0</v>
      </c>
      <c r="AV32" s="2">
        <v>0.44</v>
      </c>
      <c r="AW32" s="2">
        <v>0</v>
      </c>
      <c r="AX32" s="2">
        <v>0.42499999999999999</v>
      </c>
      <c r="AY32" s="2">
        <v>0.59299999999999997</v>
      </c>
      <c r="AZ32" s="2">
        <v>0.64300000000000002</v>
      </c>
      <c r="BA32" s="2">
        <v>0.91</v>
      </c>
      <c r="BB32" s="2">
        <v>0.91999999999999993</v>
      </c>
      <c r="BC32" s="2">
        <v>0.63</v>
      </c>
      <c r="BD32" s="2">
        <v>0.63</v>
      </c>
      <c r="BE32" s="2">
        <v>0.43785000099999999</v>
      </c>
      <c r="BF32" s="2">
        <v>1.7850001000000001E-2</v>
      </c>
      <c r="BG32" s="2">
        <v>1.7850001000000001E-2</v>
      </c>
      <c r="BH32" s="2">
        <v>0.21142000079999998</v>
      </c>
      <c r="BI32" s="2">
        <v>0.46101000049999996</v>
      </c>
      <c r="BJ32" s="2">
        <v>6.3369800043</v>
      </c>
    </row>
    <row r="33" spans="1:62" x14ac:dyDescent="0.25">
      <c r="A33" t="s">
        <v>13</v>
      </c>
      <c r="B33">
        <v>41.729904175000001</v>
      </c>
      <c r="C33" t="s">
        <v>13</v>
      </c>
      <c r="D33">
        <v>0</v>
      </c>
      <c r="E33">
        <v>0</v>
      </c>
      <c r="F33">
        <v>3.4400000000000004</v>
      </c>
      <c r="G33">
        <v>0.66</v>
      </c>
      <c r="H33">
        <v>0.8</v>
      </c>
      <c r="I33">
        <v>0</v>
      </c>
      <c r="J33">
        <v>0.8</v>
      </c>
      <c r="K33">
        <v>1.32</v>
      </c>
      <c r="L33">
        <v>0</v>
      </c>
      <c r="M33">
        <v>0</v>
      </c>
      <c r="N33">
        <v>0</v>
      </c>
      <c r="O33">
        <v>4</v>
      </c>
      <c r="P33">
        <v>1.6</v>
      </c>
      <c r="Q33">
        <v>0.8</v>
      </c>
      <c r="R33">
        <v>0</v>
      </c>
      <c r="S33">
        <v>0</v>
      </c>
      <c r="T33">
        <v>0</v>
      </c>
      <c r="U33">
        <v>0</v>
      </c>
      <c r="V33">
        <v>13.42</v>
      </c>
      <c r="W33" t="s">
        <v>13</v>
      </c>
      <c r="X33">
        <v>0</v>
      </c>
      <c r="Y33">
        <v>0</v>
      </c>
      <c r="Z33">
        <v>3.4400000000000004</v>
      </c>
      <c r="AA33">
        <v>0.66</v>
      </c>
      <c r="AB33">
        <v>0.8</v>
      </c>
      <c r="AC33">
        <v>1.5780000000000001</v>
      </c>
      <c r="AD33">
        <v>2.081</v>
      </c>
      <c r="AE33">
        <v>2.1760000000000002</v>
      </c>
      <c r="AF33">
        <v>1.5610000000000002</v>
      </c>
      <c r="AG33">
        <v>1.5610000000000002</v>
      </c>
      <c r="AH33">
        <v>1.1629999999999998</v>
      </c>
      <c r="AI33">
        <v>4.4690000000000003</v>
      </c>
      <c r="AJ33">
        <v>2.6970000000000005</v>
      </c>
      <c r="AK33">
        <v>2.0310000000000001</v>
      </c>
      <c r="AL33">
        <v>1.5780000000000001</v>
      </c>
      <c r="AM33">
        <v>1.5780000000000001</v>
      </c>
      <c r="AN33">
        <v>1.5780000000000001</v>
      </c>
      <c r="AO33">
        <v>1.5780000000000001</v>
      </c>
      <c r="AP33">
        <v>30.528999999999996</v>
      </c>
      <c r="AQ33" t="s">
        <v>13</v>
      </c>
      <c r="AR33">
        <v>0</v>
      </c>
      <c r="AS33">
        <v>0</v>
      </c>
      <c r="AT33">
        <v>0</v>
      </c>
      <c r="AU33">
        <v>0</v>
      </c>
      <c r="AV33">
        <v>0.44</v>
      </c>
      <c r="AW33">
        <v>0</v>
      </c>
      <c r="AX33">
        <v>0.42499999999999999</v>
      </c>
      <c r="AY33">
        <v>0.59299999999999997</v>
      </c>
      <c r="AZ33">
        <v>0.64300000000000002</v>
      </c>
      <c r="BA33">
        <v>0.91</v>
      </c>
      <c r="BB33">
        <v>0.91999999999999993</v>
      </c>
      <c r="BC33">
        <v>0.63</v>
      </c>
      <c r="BD33">
        <v>0.63</v>
      </c>
      <c r="BE33">
        <v>0.42</v>
      </c>
      <c r="BF33">
        <v>0</v>
      </c>
      <c r="BG33">
        <v>0</v>
      </c>
      <c r="BH33">
        <v>0.21</v>
      </c>
      <c r="BI33">
        <v>0.42</v>
      </c>
      <c r="BJ33">
        <v>6.2409999999999997</v>
      </c>
    </row>
    <row r="34" spans="1:62" x14ac:dyDescent="0.25">
      <c r="A34" t="s">
        <v>14</v>
      </c>
      <c r="B34">
        <v>0.77080433300000006</v>
      </c>
      <c r="C34" t="s">
        <v>14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 t="s">
        <v>14</v>
      </c>
      <c r="X34">
        <v>0</v>
      </c>
      <c r="Y34">
        <v>0</v>
      </c>
      <c r="Z34">
        <v>0</v>
      </c>
      <c r="AA34">
        <v>0</v>
      </c>
      <c r="AB34">
        <v>2.5000000000000001E-2</v>
      </c>
      <c r="AC34">
        <v>2.5000000000000001E-2</v>
      </c>
      <c r="AD34">
        <v>2.5000000000000001E-2</v>
      </c>
      <c r="AE34">
        <v>2.5000000000000001E-2</v>
      </c>
      <c r="AF34">
        <v>2.5000000000000001E-2</v>
      </c>
      <c r="AG34">
        <v>2.5000000000000001E-2</v>
      </c>
      <c r="AH34">
        <v>2.5000000000000001E-2</v>
      </c>
      <c r="AI34">
        <v>2.5000000000000001E-2</v>
      </c>
      <c r="AJ34">
        <v>2.5000000000000001E-2</v>
      </c>
      <c r="AK34">
        <v>2.5000000000000001E-2</v>
      </c>
      <c r="AL34">
        <v>2.5000000000000001E-2</v>
      </c>
      <c r="AM34">
        <v>2.5000000000000001E-2</v>
      </c>
      <c r="AN34">
        <v>2.5000000000000001E-2</v>
      </c>
      <c r="AO34">
        <v>2.5000000000000001E-2</v>
      </c>
      <c r="AP34">
        <v>0.35000000000000003</v>
      </c>
      <c r="AQ34" t="s">
        <v>14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1:62" x14ac:dyDescent="0.25">
      <c r="A35" t="s">
        <v>16</v>
      </c>
      <c r="B35">
        <v>0</v>
      </c>
      <c r="C35" t="s">
        <v>16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 t="s">
        <v>16</v>
      </c>
      <c r="X35">
        <v>0</v>
      </c>
      <c r="Y35">
        <v>0</v>
      </c>
      <c r="Z35">
        <v>0</v>
      </c>
      <c r="AA35">
        <v>7.2999999999999995E-2</v>
      </c>
      <c r="AB35">
        <v>7.2999999999999995E-2</v>
      </c>
      <c r="AC35">
        <v>7.2999999999999995E-2</v>
      </c>
      <c r="AD35">
        <v>7.2999999999999995E-2</v>
      </c>
      <c r="AE35">
        <v>7.2999999999999995E-2</v>
      </c>
      <c r="AF35">
        <v>7.2999999999999995E-2</v>
      </c>
      <c r="AG35">
        <v>7.2999999999999995E-2</v>
      </c>
      <c r="AH35">
        <v>7.2999999999999995E-2</v>
      </c>
      <c r="AI35">
        <v>7.2999999999999995E-2</v>
      </c>
      <c r="AJ35">
        <v>7.2999999999999995E-2</v>
      </c>
      <c r="AK35">
        <v>7.2999999999999995E-2</v>
      </c>
      <c r="AL35">
        <v>7.2999999999999995E-2</v>
      </c>
      <c r="AM35">
        <v>7.2999999999999995E-2</v>
      </c>
      <c r="AN35">
        <v>7.2999999999999995E-2</v>
      </c>
      <c r="AO35">
        <v>7.2999999999999995E-2</v>
      </c>
      <c r="AP35">
        <v>1.0949999999999998</v>
      </c>
    </row>
    <row r="36" spans="1:62" x14ac:dyDescent="0.25">
      <c r="A36" t="s">
        <v>17</v>
      </c>
      <c r="B36">
        <v>0</v>
      </c>
      <c r="C36" t="s">
        <v>17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 t="s">
        <v>17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62" x14ac:dyDescent="0.25">
      <c r="A37" t="s">
        <v>22</v>
      </c>
      <c r="B37">
        <v>0</v>
      </c>
      <c r="C37" t="s">
        <v>22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 t="s">
        <v>22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62" x14ac:dyDescent="0.25">
      <c r="A38" t="s">
        <v>15</v>
      </c>
      <c r="B38">
        <v>4.1988602859999995</v>
      </c>
      <c r="C38" t="s">
        <v>15</v>
      </c>
      <c r="D38">
        <v>0</v>
      </c>
      <c r="E38">
        <v>0</v>
      </c>
      <c r="F38">
        <v>0</v>
      </c>
      <c r="G38">
        <v>0.12</v>
      </c>
      <c r="H38">
        <v>0</v>
      </c>
      <c r="I38">
        <v>0</v>
      </c>
      <c r="J38">
        <v>0.62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0.74</v>
      </c>
      <c r="W38" t="s">
        <v>15</v>
      </c>
      <c r="X38">
        <v>0</v>
      </c>
      <c r="Y38">
        <v>0</v>
      </c>
      <c r="Z38">
        <v>0</v>
      </c>
      <c r="AA38">
        <v>0.12</v>
      </c>
      <c r="AB38">
        <v>0</v>
      </c>
      <c r="AC38">
        <v>0</v>
      </c>
      <c r="AD38">
        <v>0.62</v>
      </c>
      <c r="AE38">
        <v>0</v>
      </c>
      <c r="AF38">
        <v>0.02</v>
      </c>
      <c r="AG38">
        <v>9.6000000000000002E-2</v>
      </c>
      <c r="AH38">
        <v>0.10200000000000001</v>
      </c>
      <c r="AI38">
        <v>0.11300000000000002</v>
      </c>
      <c r="AJ38">
        <v>0.11300000000000002</v>
      </c>
      <c r="AK38">
        <v>0</v>
      </c>
      <c r="AL38">
        <v>0.11300000000000002</v>
      </c>
      <c r="AM38">
        <v>0.11300000000000002</v>
      </c>
      <c r="AN38">
        <v>0.11300000000000002</v>
      </c>
      <c r="AO38">
        <v>0.11300000000000002</v>
      </c>
      <c r="AP38">
        <v>1.6359999999999999</v>
      </c>
    </row>
    <row r="39" spans="1:62" x14ac:dyDescent="0.25">
      <c r="A39" t="s">
        <v>18</v>
      </c>
      <c r="B39">
        <v>0.34399000000000002</v>
      </c>
      <c r="C39" t="s">
        <v>18</v>
      </c>
      <c r="D39">
        <v>6.0000000000000001E-3</v>
      </c>
      <c r="E39">
        <v>6.0000000000000001E-3</v>
      </c>
      <c r="F39">
        <v>6.0000000000000001E-3</v>
      </c>
      <c r="G39">
        <v>6.0000000000000001E-3</v>
      </c>
      <c r="H39">
        <v>5.0000000000000001E-3</v>
      </c>
      <c r="I39">
        <v>5.0000000000000001E-3</v>
      </c>
      <c r="J39">
        <v>5.0000000000000001E-3</v>
      </c>
      <c r="K39">
        <v>5.0000000000000001E-3</v>
      </c>
      <c r="L39">
        <v>5.0000000000000001E-3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4.8999999999999995E-2</v>
      </c>
      <c r="W39" t="s">
        <v>18</v>
      </c>
      <c r="X39">
        <v>6.0000000000000001E-3</v>
      </c>
      <c r="Y39">
        <v>6.0000000000000001E-3</v>
      </c>
      <c r="Z39">
        <v>6.0000000000000001E-3</v>
      </c>
      <c r="AA39">
        <v>6.0000000000000001E-3</v>
      </c>
      <c r="AB39">
        <v>5.0000000000000001E-3</v>
      </c>
      <c r="AC39">
        <v>5.0000000000000001E-3</v>
      </c>
      <c r="AD39">
        <v>8.2000000000000003E-2</v>
      </c>
      <c r="AE39">
        <v>8.2000000000000003E-2</v>
      </c>
      <c r="AF39">
        <v>8.2000000000000003E-2</v>
      </c>
      <c r="AG39">
        <v>8.2000000000000003E-2</v>
      </c>
      <c r="AH39">
        <v>8.2000000000000003E-2</v>
      </c>
      <c r="AI39">
        <v>8.2000000000000003E-2</v>
      </c>
      <c r="AJ39">
        <v>8.2000000000000003E-2</v>
      </c>
      <c r="AK39">
        <v>8.2000000000000003E-2</v>
      </c>
      <c r="AL39">
        <v>8.2000000000000003E-2</v>
      </c>
      <c r="AM39">
        <v>8.2000000000000003E-2</v>
      </c>
      <c r="AN39">
        <v>8.2000000000000003E-2</v>
      </c>
      <c r="AO39">
        <v>8.2000000000000003E-2</v>
      </c>
      <c r="AP39">
        <v>1.0179999999999998</v>
      </c>
    </row>
    <row r="40" spans="1:62" x14ac:dyDescent="0.25">
      <c r="A40" t="s">
        <v>7</v>
      </c>
      <c r="B40">
        <v>0.56064000000000003</v>
      </c>
      <c r="C40" t="s">
        <v>7</v>
      </c>
      <c r="D40">
        <v>2.3E-2</v>
      </c>
      <c r="E40">
        <v>2.3E-2</v>
      </c>
      <c r="F40">
        <v>2.3E-2</v>
      </c>
      <c r="G40">
        <v>2.3E-2</v>
      </c>
      <c r="H40">
        <v>2.5000000000000001E-2</v>
      </c>
      <c r="I40">
        <v>2.5000000000000001E-2</v>
      </c>
      <c r="J40">
        <v>2.5000000000000001E-2</v>
      </c>
      <c r="K40">
        <v>2.5000000000000001E-2</v>
      </c>
      <c r="L40">
        <v>2.5000000000000001E-2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0.21699999999999997</v>
      </c>
      <c r="W40" t="s">
        <v>7</v>
      </c>
      <c r="X40">
        <v>2.3E-2</v>
      </c>
      <c r="Y40">
        <v>2.3E-2</v>
      </c>
      <c r="Z40">
        <v>2.3E-2</v>
      </c>
      <c r="AA40">
        <v>2.3E-2</v>
      </c>
      <c r="AB40">
        <v>2.5000000000000001E-2</v>
      </c>
      <c r="AC40">
        <v>2.5000000000000001E-2</v>
      </c>
      <c r="AD40">
        <v>2.5000000000000001E-2</v>
      </c>
      <c r="AE40">
        <v>2.8000000000000001E-2</v>
      </c>
      <c r="AF40">
        <v>3.1E-2</v>
      </c>
      <c r="AG40">
        <v>6.2E-2</v>
      </c>
      <c r="AH40">
        <v>6.2E-2</v>
      </c>
      <c r="AI40">
        <v>6.2E-2</v>
      </c>
      <c r="AJ40">
        <v>6.2E-2</v>
      </c>
      <c r="AK40">
        <v>6.2E-2</v>
      </c>
      <c r="AL40">
        <v>6.2E-2</v>
      </c>
      <c r="AM40">
        <v>6.2E-2</v>
      </c>
      <c r="AN40">
        <v>6.2E-2</v>
      </c>
      <c r="AO40">
        <v>6.2E-2</v>
      </c>
      <c r="AP40">
        <v>0.78400000000000025</v>
      </c>
      <c r="AQ40" t="s">
        <v>7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1:62" x14ac:dyDescent="0.25">
      <c r="A41" t="s">
        <v>19</v>
      </c>
      <c r="B41">
        <v>0.84772590299999995</v>
      </c>
      <c r="C41" t="s">
        <v>19</v>
      </c>
      <c r="D41" s="1">
        <v>0.04</v>
      </c>
      <c r="E41">
        <v>0.04</v>
      </c>
      <c r="F41">
        <v>0.23100000000000001</v>
      </c>
      <c r="G41">
        <v>0.28499999999999998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0.59599999999999997</v>
      </c>
      <c r="W41" t="s">
        <v>19</v>
      </c>
      <c r="X41" s="1">
        <v>0.04</v>
      </c>
      <c r="Y41">
        <v>0.04</v>
      </c>
      <c r="Z41">
        <v>0.23100000000000001</v>
      </c>
      <c r="AA41">
        <v>0.28499999999999998</v>
      </c>
      <c r="AB41">
        <v>3.548</v>
      </c>
      <c r="AC41">
        <v>3.548</v>
      </c>
      <c r="AD41">
        <v>3.548</v>
      </c>
      <c r="AE41">
        <v>3.548</v>
      </c>
      <c r="AF41">
        <v>3.9029999999999996</v>
      </c>
      <c r="AG41">
        <v>3.9029999999999996</v>
      </c>
      <c r="AH41">
        <v>3.9029999999999996</v>
      </c>
      <c r="AI41">
        <v>3.9029999999999996</v>
      </c>
      <c r="AJ41">
        <v>3.9029999999999996</v>
      </c>
      <c r="AK41">
        <v>4.2940000000000005</v>
      </c>
      <c r="AL41">
        <v>4.2940000000000005</v>
      </c>
      <c r="AM41">
        <v>4.2940000000000005</v>
      </c>
      <c r="AN41">
        <v>4.2940000000000005</v>
      </c>
      <c r="AO41">
        <v>4.2940000000000005</v>
      </c>
      <c r="AP41">
        <v>55.772999999999982</v>
      </c>
      <c r="AQ41" t="s">
        <v>19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1.3022359000000001E-2</v>
      </c>
      <c r="BF41">
        <v>1.3022359000000001E-2</v>
      </c>
      <c r="BG41">
        <v>1.3022359000000001E-2</v>
      </c>
      <c r="BH41">
        <v>1.304953E-3</v>
      </c>
      <c r="BI41">
        <v>3.8006156499999999E-2</v>
      </c>
      <c r="BJ41">
        <v>7.8378186500000002E-2</v>
      </c>
    </row>
    <row r="42" spans="1:62" x14ac:dyDescent="0.25">
      <c r="A42" t="s">
        <v>20</v>
      </c>
      <c r="B42">
        <v>0.20008409700000002</v>
      </c>
      <c r="C42" t="s">
        <v>20</v>
      </c>
      <c r="D42">
        <v>0.13800000000000001</v>
      </c>
      <c r="E42">
        <v>0.40799999999999997</v>
      </c>
      <c r="F42">
        <v>0.27500000000000002</v>
      </c>
      <c r="G42">
        <v>0.14700000000000002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0.96800000000000008</v>
      </c>
      <c r="W42" t="s">
        <v>20</v>
      </c>
      <c r="X42">
        <v>0.13800000000000001</v>
      </c>
      <c r="Y42">
        <v>0.40799999999999997</v>
      </c>
      <c r="Z42">
        <v>0.27500000000000002</v>
      </c>
      <c r="AA42">
        <v>0.14700000000000002</v>
      </c>
      <c r="AB42">
        <v>0.8879999999999999</v>
      </c>
      <c r="AC42">
        <v>0.8879999999999999</v>
      </c>
      <c r="AD42">
        <v>0.8879999999999999</v>
      </c>
      <c r="AE42">
        <v>0.8879999999999999</v>
      </c>
      <c r="AF42">
        <v>0.97599999999999998</v>
      </c>
      <c r="AG42">
        <v>0.97599999999999998</v>
      </c>
      <c r="AH42">
        <v>0.97599999999999998</v>
      </c>
      <c r="AI42">
        <v>0.97599999999999998</v>
      </c>
      <c r="AJ42">
        <v>0.97599999999999998</v>
      </c>
      <c r="AK42">
        <v>1.073</v>
      </c>
      <c r="AL42">
        <v>1.073</v>
      </c>
      <c r="AM42">
        <v>1.073</v>
      </c>
      <c r="AN42">
        <v>1.073</v>
      </c>
      <c r="AO42">
        <v>1.073</v>
      </c>
      <c r="AP42">
        <v>14.765000000000001</v>
      </c>
      <c r="AQ42" t="s">
        <v>20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4.827642E-3</v>
      </c>
      <c r="BF42">
        <v>4.827642E-3</v>
      </c>
      <c r="BG42">
        <v>4.827642E-3</v>
      </c>
      <c r="BH42">
        <v>1.150478E-4</v>
      </c>
      <c r="BI42">
        <v>3.0038439999999999E-3</v>
      </c>
      <c r="BJ42">
        <v>1.7601817799999999E-2</v>
      </c>
    </row>
    <row r="43" spans="1:62" x14ac:dyDescent="0.25">
      <c r="A43" t="s">
        <v>21</v>
      </c>
      <c r="B43">
        <v>4.5999999999999999E-2</v>
      </c>
      <c r="C43" t="s">
        <v>21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 t="s">
        <v>21</v>
      </c>
      <c r="X43">
        <v>0</v>
      </c>
      <c r="Y43">
        <v>0</v>
      </c>
      <c r="Z43">
        <v>0</v>
      </c>
      <c r="AA43">
        <v>0</v>
      </c>
      <c r="AB43">
        <v>0.30000000000000004</v>
      </c>
      <c r="AC43">
        <v>0.30000000000000004</v>
      </c>
      <c r="AD43">
        <v>0.30000000000000004</v>
      </c>
      <c r="AE43">
        <v>0.30000000000000004</v>
      </c>
      <c r="AF43">
        <v>0.33</v>
      </c>
      <c r="AG43">
        <v>0.33</v>
      </c>
      <c r="AH43">
        <v>0.33</v>
      </c>
      <c r="AI43">
        <v>0.33</v>
      </c>
      <c r="AJ43">
        <v>0.33</v>
      </c>
      <c r="AK43">
        <v>0.36300000000000004</v>
      </c>
      <c r="AL43">
        <v>0.36300000000000004</v>
      </c>
      <c r="AM43">
        <v>0.36300000000000004</v>
      </c>
      <c r="AN43">
        <v>0.36300000000000004</v>
      </c>
      <c r="AO43">
        <v>0.36300000000000004</v>
      </c>
      <c r="AP43">
        <v>4.6650000000000009</v>
      </c>
      <c r="AQ43" t="s">
        <v>21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1:62" x14ac:dyDescent="0.25">
      <c r="A44" t="s">
        <v>23</v>
      </c>
      <c r="B44">
        <v>0</v>
      </c>
      <c r="C44" t="s">
        <v>23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 t="s">
        <v>23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62" x14ac:dyDescent="0.25">
      <c r="A45" t="s">
        <v>24</v>
      </c>
      <c r="B45">
        <v>2.5503757999999998E-2</v>
      </c>
      <c r="C45" t="s">
        <v>24</v>
      </c>
      <c r="D45">
        <v>1.0590360000000001E-4</v>
      </c>
      <c r="E45">
        <v>6.1164630000000008E-4</v>
      </c>
      <c r="F45">
        <v>9.26884E-4</v>
      </c>
      <c r="G45">
        <v>3.4333256999999999E-2</v>
      </c>
      <c r="H45">
        <v>2.4568881999999997E-2</v>
      </c>
      <c r="I45">
        <v>3.2789381999999999E-2</v>
      </c>
      <c r="J45">
        <v>3.7060906000000005E-2</v>
      </c>
      <c r="K45">
        <v>3.5894795E-2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0.1662916559</v>
      </c>
      <c r="W45" t="s">
        <v>24</v>
      </c>
      <c r="X45">
        <v>1.0590360000000001E-4</v>
      </c>
      <c r="Y45">
        <v>2.9532174999999997E-2</v>
      </c>
      <c r="Z45">
        <v>6.5591547E-2</v>
      </c>
      <c r="AA45">
        <v>0.143500404</v>
      </c>
      <c r="AB45">
        <v>0.31547967699999996</v>
      </c>
      <c r="AC45">
        <v>0.68276196800000011</v>
      </c>
      <c r="AD45">
        <v>1.6965645060000001</v>
      </c>
      <c r="AE45">
        <v>3.6124687719999997</v>
      </c>
      <c r="AF45">
        <v>3.6124687719999997</v>
      </c>
      <c r="AG45">
        <v>3.5080512989999999</v>
      </c>
      <c r="AH45">
        <v>3.5080512989999999</v>
      </c>
      <c r="AI45">
        <v>3.5080512989999999</v>
      </c>
      <c r="AJ45">
        <v>3.4145457120000002</v>
      </c>
      <c r="AK45">
        <v>3.4145457120000002</v>
      </c>
      <c r="AL45">
        <v>3.4145457120000002</v>
      </c>
      <c r="AM45">
        <v>3.4145457120000002</v>
      </c>
      <c r="AN45">
        <v>3.4145457120000002</v>
      </c>
      <c r="AO45">
        <v>3.4145457120000002</v>
      </c>
      <c r="AP45">
        <v>41.169901893599992</v>
      </c>
    </row>
    <row r="46" spans="1:62" s="2" customFormat="1" x14ac:dyDescent="0.25">
      <c r="A46" s="2" t="s">
        <v>11</v>
      </c>
      <c r="C46" s="2" t="s">
        <v>11</v>
      </c>
      <c r="D46" s="2">
        <v>10.75044800125</v>
      </c>
      <c r="E46" s="2">
        <v>21.355624389100001</v>
      </c>
      <c r="F46" s="2">
        <v>31.943781699100004</v>
      </c>
      <c r="G46" s="2">
        <v>25.912054218000002</v>
      </c>
      <c r="H46" s="2">
        <v>1.9002228099999998</v>
      </c>
      <c r="I46" s="2">
        <v>0.99035872400000002</v>
      </c>
      <c r="J46" s="2">
        <v>1.0881831470000001</v>
      </c>
      <c r="K46" s="2">
        <v>1.093174262</v>
      </c>
      <c r="L46" s="2">
        <v>0.95300000000000007</v>
      </c>
      <c r="M46" s="2">
        <v>1.3</v>
      </c>
      <c r="N46" s="2">
        <v>4</v>
      </c>
      <c r="O46" s="2">
        <v>0</v>
      </c>
      <c r="P46" s="2">
        <v>1.6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102.88684725045</v>
      </c>
      <c r="W46" s="2" t="s">
        <v>11</v>
      </c>
      <c r="X46" s="2">
        <v>10.75044800125</v>
      </c>
      <c r="Y46" s="2">
        <v>21.479713658000001</v>
      </c>
      <c r="Z46" s="2">
        <v>32.207614226000004</v>
      </c>
      <c r="AA46" s="2">
        <v>27.654375181000002</v>
      </c>
      <c r="AB46" s="2">
        <v>22.858923013999998</v>
      </c>
      <c r="AC46" s="2">
        <v>27.354173190000001</v>
      </c>
      <c r="AD46" s="2">
        <v>30.735378955999998</v>
      </c>
      <c r="AE46" s="2">
        <v>38.635202180999997</v>
      </c>
      <c r="AF46" s="2">
        <v>41.252202181000001</v>
      </c>
      <c r="AG46" s="2">
        <v>42.416123880999997</v>
      </c>
      <c r="AH46" s="2">
        <v>44.369123881</v>
      </c>
      <c r="AI46" s="2">
        <v>41.055123881</v>
      </c>
      <c r="AJ46" s="2">
        <v>42.598341151</v>
      </c>
      <c r="AK46" s="2">
        <v>44.579341151000001</v>
      </c>
      <c r="AL46" s="2">
        <v>44.844341151000002</v>
      </c>
      <c r="AM46" s="2">
        <v>44.844341151000002</v>
      </c>
      <c r="AN46" s="2">
        <v>44.844341151000002</v>
      </c>
      <c r="AO46" s="2">
        <v>44.844341151000002</v>
      </c>
      <c r="AP46" s="2">
        <v>647.32344913725001</v>
      </c>
      <c r="AQ46" s="2" t="s">
        <v>11</v>
      </c>
      <c r="AR46" s="2">
        <v>0</v>
      </c>
      <c r="AS46" s="2">
        <v>0</v>
      </c>
      <c r="AT46" s="2">
        <v>0</v>
      </c>
      <c r="AU46" s="2">
        <v>0</v>
      </c>
      <c r="AV46" s="2">
        <v>0.91999999999999993</v>
      </c>
      <c r="AW46" s="2">
        <v>0</v>
      </c>
      <c r="AX46" s="2">
        <v>3.6399999999999997</v>
      </c>
      <c r="AY46" s="2">
        <v>1.2509999999999999</v>
      </c>
      <c r="AZ46" s="2">
        <v>1.8049999999999999</v>
      </c>
      <c r="BA46" s="2">
        <v>0.42</v>
      </c>
      <c r="BB46" s="2">
        <v>1.524061667</v>
      </c>
      <c r="BC46" s="2">
        <v>2.5650616670000002</v>
      </c>
      <c r="BD46" s="2">
        <v>2.1540616670000001</v>
      </c>
      <c r="BE46" s="2">
        <v>1.8207016660000002</v>
      </c>
      <c r="BF46" s="2">
        <v>1.8957016659999999</v>
      </c>
      <c r="BG46" s="2">
        <v>1.8207016660000002</v>
      </c>
      <c r="BH46" s="2">
        <v>1.4045300004999999</v>
      </c>
      <c r="BI46" s="2">
        <v>2.3135490000000001</v>
      </c>
      <c r="BJ46" s="2">
        <v>23.5343689995</v>
      </c>
    </row>
    <row r="47" spans="1:62" x14ac:dyDescent="0.25">
      <c r="A47" t="s">
        <v>13</v>
      </c>
      <c r="B47">
        <v>90.475826298999991</v>
      </c>
      <c r="C47" t="s">
        <v>13</v>
      </c>
      <c r="D47">
        <v>0</v>
      </c>
      <c r="E47">
        <v>0.66</v>
      </c>
      <c r="F47">
        <v>0</v>
      </c>
      <c r="G47">
        <v>0</v>
      </c>
      <c r="H47">
        <v>0</v>
      </c>
      <c r="I47">
        <v>0</v>
      </c>
      <c r="J47">
        <v>0.8</v>
      </c>
      <c r="K47">
        <v>0.8</v>
      </c>
      <c r="L47">
        <v>0.8</v>
      </c>
      <c r="M47">
        <v>0.8</v>
      </c>
      <c r="N47">
        <v>4</v>
      </c>
      <c r="O47">
        <v>0</v>
      </c>
      <c r="P47">
        <v>1.6</v>
      </c>
      <c r="Q47">
        <v>0</v>
      </c>
      <c r="R47">
        <v>0</v>
      </c>
      <c r="S47">
        <v>0</v>
      </c>
      <c r="T47">
        <v>0</v>
      </c>
      <c r="U47">
        <v>0</v>
      </c>
      <c r="V47">
        <v>9.4599999999999991</v>
      </c>
      <c r="W47" t="s">
        <v>13</v>
      </c>
      <c r="X47">
        <v>0</v>
      </c>
      <c r="Y47">
        <v>0.66</v>
      </c>
      <c r="Z47">
        <v>0</v>
      </c>
      <c r="AA47">
        <v>0</v>
      </c>
      <c r="AB47">
        <v>0</v>
      </c>
      <c r="AC47">
        <v>3.4220000000000002</v>
      </c>
      <c r="AD47">
        <v>3.3440000000000007</v>
      </c>
      <c r="AE47">
        <v>3.3250000000000006</v>
      </c>
      <c r="AF47">
        <v>3.5049999999999994</v>
      </c>
      <c r="AG47">
        <v>3.5049999999999994</v>
      </c>
      <c r="AH47">
        <v>5.5140000000000002</v>
      </c>
      <c r="AI47">
        <v>2.1919999999999997</v>
      </c>
      <c r="AJ47">
        <v>3.3350000000000004</v>
      </c>
      <c r="AK47">
        <v>3.2450000000000001</v>
      </c>
      <c r="AL47">
        <v>3.4220000000000002</v>
      </c>
      <c r="AM47">
        <v>3.4220000000000002</v>
      </c>
      <c r="AN47">
        <v>3.4220000000000002</v>
      </c>
      <c r="AO47">
        <v>3.4220000000000002</v>
      </c>
      <c r="AP47">
        <v>45.734999999999985</v>
      </c>
      <c r="AQ47" t="s">
        <v>13</v>
      </c>
      <c r="AR47">
        <v>0</v>
      </c>
      <c r="AS47">
        <v>0</v>
      </c>
      <c r="AT47">
        <v>0</v>
      </c>
      <c r="AU47">
        <v>0</v>
      </c>
      <c r="AV47">
        <v>0.91999999999999993</v>
      </c>
      <c r="AW47">
        <v>0</v>
      </c>
      <c r="AX47">
        <v>3.6399999999999997</v>
      </c>
      <c r="AY47">
        <v>1.2509999999999999</v>
      </c>
      <c r="AZ47">
        <v>1.8049999999999999</v>
      </c>
      <c r="BA47">
        <v>0.42</v>
      </c>
      <c r="BB47">
        <v>0.21</v>
      </c>
      <c r="BC47">
        <v>1.2509999999999999</v>
      </c>
      <c r="BD47">
        <v>0.84</v>
      </c>
      <c r="BE47">
        <v>0</v>
      </c>
      <c r="BF47">
        <v>7.4999999999999997E-2</v>
      </c>
      <c r="BG47">
        <v>0</v>
      </c>
      <c r="BH47">
        <v>0</v>
      </c>
      <c r="BI47">
        <v>0</v>
      </c>
      <c r="BJ47">
        <v>10.411999999999999</v>
      </c>
    </row>
    <row r="48" spans="1:62" x14ac:dyDescent="0.25">
      <c r="A48" t="s">
        <v>14</v>
      </c>
      <c r="B48">
        <v>13.563174911999999</v>
      </c>
      <c r="C48" t="s">
        <v>14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 t="s">
        <v>14</v>
      </c>
      <c r="X48">
        <v>0</v>
      </c>
      <c r="Y48">
        <v>0</v>
      </c>
      <c r="Z48">
        <v>0</v>
      </c>
      <c r="AA48">
        <v>0</v>
      </c>
      <c r="AB48">
        <v>0.43200000000000005</v>
      </c>
      <c r="AC48">
        <v>0.43200000000000005</v>
      </c>
      <c r="AD48">
        <v>0.43200000000000005</v>
      </c>
      <c r="AE48">
        <v>0.43200000000000005</v>
      </c>
      <c r="AF48">
        <v>0.43200000000000005</v>
      </c>
      <c r="AG48">
        <v>0.43200000000000005</v>
      </c>
      <c r="AH48">
        <v>0.43200000000000005</v>
      </c>
      <c r="AI48">
        <v>0.43200000000000005</v>
      </c>
      <c r="AJ48">
        <v>0.43200000000000005</v>
      </c>
      <c r="AK48">
        <v>0.43200000000000005</v>
      </c>
      <c r="AL48">
        <v>0.43200000000000005</v>
      </c>
      <c r="AM48">
        <v>0.43200000000000005</v>
      </c>
      <c r="AN48">
        <v>0.43200000000000005</v>
      </c>
      <c r="AO48">
        <v>0.43200000000000005</v>
      </c>
      <c r="AP48">
        <v>6.0480000000000018</v>
      </c>
      <c r="AQ48" t="s">
        <v>14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1:62" x14ac:dyDescent="0.25">
      <c r="A49" t="s">
        <v>16</v>
      </c>
      <c r="B49">
        <v>0</v>
      </c>
      <c r="C49" t="s">
        <v>16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 t="s">
        <v>16</v>
      </c>
      <c r="X49">
        <v>0</v>
      </c>
      <c r="Y49">
        <v>0</v>
      </c>
      <c r="Z49">
        <v>0</v>
      </c>
      <c r="AA49">
        <v>1.2969999999999999</v>
      </c>
      <c r="AB49">
        <v>1.2969999999999999</v>
      </c>
      <c r="AC49">
        <v>1.2969999999999999</v>
      </c>
      <c r="AD49">
        <v>1.2969999999999999</v>
      </c>
      <c r="AE49">
        <v>1.2969999999999999</v>
      </c>
      <c r="AF49">
        <v>1.2969999999999999</v>
      </c>
      <c r="AG49">
        <v>1.2969999999999999</v>
      </c>
      <c r="AH49">
        <v>1.2969999999999999</v>
      </c>
      <c r="AI49">
        <v>1.2969999999999999</v>
      </c>
      <c r="AJ49">
        <v>1.2969999999999999</v>
      </c>
      <c r="AK49">
        <v>1.2969999999999999</v>
      </c>
      <c r="AL49">
        <v>1.2969999999999999</v>
      </c>
      <c r="AM49">
        <v>1.2969999999999999</v>
      </c>
      <c r="AN49">
        <v>1.2969999999999999</v>
      </c>
      <c r="AO49">
        <v>1.2969999999999999</v>
      </c>
      <c r="AP49">
        <v>19.455000000000002</v>
      </c>
    </row>
    <row r="50" spans="1:62" x14ac:dyDescent="0.25">
      <c r="A50" t="s">
        <v>17</v>
      </c>
      <c r="B50">
        <v>3.2488239540000001</v>
      </c>
      <c r="C50" t="s">
        <v>17</v>
      </c>
      <c r="D50">
        <v>1.4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1.4</v>
      </c>
      <c r="W50" t="s">
        <v>17</v>
      </c>
      <c r="X50">
        <v>1.4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0.39700000000000002</v>
      </c>
      <c r="AI50">
        <v>0.39700000000000002</v>
      </c>
      <c r="AJ50">
        <v>0.39700000000000002</v>
      </c>
      <c r="AK50">
        <v>0.39700000000000002</v>
      </c>
      <c r="AL50">
        <v>0.39700000000000002</v>
      </c>
      <c r="AM50">
        <v>0.39700000000000002</v>
      </c>
      <c r="AN50">
        <v>0.39700000000000002</v>
      </c>
      <c r="AO50">
        <v>0.39700000000000002</v>
      </c>
      <c r="AP50">
        <v>4.5760000000000014</v>
      </c>
    </row>
    <row r="51" spans="1:62" x14ac:dyDescent="0.25">
      <c r="A51" t="s">
        <v>22</v>
      </c>
      <c r="B51">
        <v>0</v>
      </c>
      <c r="C51" t="s">
        <v>22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0.5</v>
      </c>
      <c r="W51" t="s"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0.51300000000000001</v>
      </c>
      <c r="AH51">
        <v>5.3999999999999999E-2</v>
      </c>
      <c r="AI51">
        <v>5.3999999999999999E-2</v>
      </c>
      <c r="AJ51">
        <v>5.3999999999999999E-2</v>
      </c>
      <c r="AK51">
        <v>5.3999999999999999E-2</v>
      </c>
      <c r="AL51">
        <v>5.3999999999999999E-2</v>
      </c>
      <c r="AM51">
        <v>5.3999999999999999E-2</v>
      </c>
      <c r="AN51">
        <v>5.3999999999999999E-2</v>
      </c>
      <c r="AO51">
        <v>5.3999999999999999E-2</v>
      </c>
      <c r="AP51">
        <v>0.9450000000000004</v>
      </c>
    </row>
    <row r="52" spans="1:62" x14ac:dyDescent="0.25">
      <c r="A52" t="s">
        <v>15</v>
      </c>
      <c r="B52">
        <v>7.7532156499999996</v>
      </c>
      <c r="C52" t="s">
        <v>15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 t="s">
        <v>15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1.5000000000000001E-2</v>
      </c>
      <c r="AG52">
        <v>7.3999999999999996E-2</v>
      </c>
      <c r="AH52">
        <v>0.08</v>
      </c>
      <c r="AI52">
        <v>8.7999999999999995E-2</v>
      </c>
      <c r="AJ52">
        <v>8.7999999999999995E-2</v>
      </c>
      <c r="AK52">
        <v>0</v>
      </c>
      <c r="AL52">
        <v>8.7999999999999995E-2</v>
      </c>
      <c r="AM52">
        <v>8.7999999999999995E-2</v>
      </c>
      <c r="AN52">
        <v>8.7999999999999995E-2</v>
      </c>
      <c r="AO52">
        <v>8.7999999999999995E-2</v>
      </c>
      <c r="AP52">
        <v>0.69699999999999984</v>
      </c>
    </row>
    <row r="53" spans="1:62" x14ac:dyDescent="0.25">
      <c r="A53" t="s">
        <v>18</v>
      </c>
      <c r="B53">
        <v>0.67247999999999997</v>
      </c>
      <c r="C53" t="s">
        <v>18</v>
      </c>
      <c r="D53">
        <v>1.0999999999999999E-2</v>
      </c>
      <c r="E53">
        <v>1.0999999999999999E-2</v>
      </c>
      <c r="F53">
        <v>1.0999999999999999E-2</v>
      </c>
      <c r="G53">
        <v>1.0999999999999999E-2</v>
      </c>
      <c r="H53">
        <v>7.0000000000000001E-3</v>
      </c>
      <c r="I53">
        <v>7.0000000000000001E-3</v>
      </c>
      <c r="J53">
        <v>7.0000000000000001E-3</v>
      </c>
      <c r="K53">
        <v>7.0000000000000001E-3</v>
      </c>
      <c r="L53">
        <v>7.0000000000000001E-3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7.9000000000000015E-2</v>
      </c>
      <c r="W53" t="s">
        <v>18</v>
      </c>
      <c r="X53">
        <v>1.0999999999999999E-2</v>
      </c>
      <c r="Y53">
        <v>1.0999999999999999E-2</v>
      </c>
      <c r="Z53">
        <v>1.0999999999999999E-2</v>
      </c>
      <c r="AA53">
        <v>1.0999999999999999E-2</v>
      </c>
      <c r="AB53">
        <v>7.0000000000000001E-3</v>
      </c>
      <c r="AC53">
        <v>7.0000000000000001E-3</v>
      </c>
      <c r="AD53">
        <v>0.13800000000000001</v>
      </c>
      <c r="AE53">
        <v>0.13800000000000001</v>
      </c>
      <c r="AF53">
        <v>0.13800000000000001</v>
      </c>
      <c r="AG53">
        <v>0.13800000000000001</v>
      </c>
      <c r="AH53">
        <v>0.13800000000000001</v>
      </c>
      <c r="AI53">
        <v>0.13800000000000001</v>
      </c>
      <c r="AJ53">
        <v>0.13800000000000001</v>
      </c>
      <c r="AK53">
        <v>0.13800000000000001</v>
      </c>
      <c r="AL53">
        <v>0.13800000000000001</v>
      </c>
      <c r="AM53">
        <v>0.13800000000000001</v>
      </c>
      <c r="AN53">
        <v>0.13800000000000001</v>
      </c>
      <c r="AO53">
        <v>0.13800000000000001</v>
      </c>
      <c r="AP53">
        <v>1.7139999999999995</v>
      </c>
    </row>
    <row r="54" spans="1:62" x14ac:dyDescent="0.25">
      <c r="A54" t="s">
        <v>7</v>
      </c>
      <c r="B54">
        <v>3.1617000000000002</v>
      </c>
      <c r="C54" t="s">
        <v>7</v>
      </c>
      <c r="D54">
        <v>0.13600000000000001</v>
      </c>
      <c r="E54">
        <v>0.13600000000000001</v>
      </c>
      <c r="F54">
        <v>0.13600000000000001</v>
      </c>
      <c r="G54">
        <v>0.13600000000000001</v>
      </c>
      <c r="H54">
        <v>0.14599999999999999</v>
      </c>
      <c r="I54">
        <v>0.14599999999999999</v>
      </c>
      <c r="J54">
        <v>0.14599999999999999</v>
      </c>
      <c r="K54">
        <v>0.14599999999999999</v>
      </c>
      <c r="L54">
        <v>0.14599999999999999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1.274</v>
      </c>
      <c r="W54" t="s">
        <v>7</v>
      </c>
      <c r="X54">
        <v>0.13600000000000001</v>
      </c>
      <c r="Y54">
        <v>0.13600000000000001</v>
      </c>
      <c r="Z54">
        <v>0.13600000000000001</v>
      </c>
      <c r="AA54">
        <v>0.13600000000000001</v>
      </c>
      <c r="AB54">
        <v>0.14599999999999999</v>
      </c>
      <c r="AC54">
        <v>0.14599999999999999</v>
      </c>
      <c r="AD54">
        <v>0.14599999999999999</v>
      </c>
      <c r="AE54">
        <v>0.14599999999999999</v>
      </c>
      <c r="AF54">
        <v>0.14599999999999999</v>
      </c>
      <c r="AG54">
        <v>0.29099999999999998</v>
      </c>
      <c r="AH54">
        <v>0.29099999999999998</v>
      </c>
      <c r="AI54">
        <v>0.29099999999999998</v>
      </c>
      <c r="AJ54">
        <v>0.29099999999999998</v>
      </c>
      <c r="AK54">
        <v>0.29099999999999998</v>
      </c>
      <c r="AL54">
        <v>0.29099999999999998</v>
      </c>
      <c r="AM54">
        <v>0.29099999999999998</v>
      </c>
      <c r="AN54">
        <v>0.29099999999999998</v>
      </c>
      <c r="AO54">
        <v>0.29099999999999998</v>
      </c>
      <c r="AP54">
        <v>3.8929999999999993</v>
      </c>
      <c r="AQ54" t="s">
        <v>7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1:62" x14ac:dyDescent="0.25">
      <c r="A55" t="s">
        <v>19</v>
      </c>
      <c r="B55">
        <v>13.221936034999999</v>
      </c>
      <c r="C55" t="s">
        <v>19</v>
      </c>
      <c r="D55">
        <v>5.56</v>
      </c>
      <c r="E55">
        <v>6.29</v>
      </c>
      <c r="F55">
        <v>13.882000000000001</v>
      </c>
      <c r="G55">
        <v>13.743000000000002</v>
      </c>
      <c r="H55">
        <v>0.36199999999999999</v>
      </c>
      <c r="I55">
        <v>0.14499999999999999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39.982000000000006</v>
      </c>
      <c r="W55" t="s">
        <v>19</v>
      </c>
      <c r="X55">
        <v>5.56</v>
      </c>
      <c r="Y55">
        <v>6.29</v>
      </c>
      <c r="Z55">
        <v>13.882000000000001</v>
      </c>
      <c r="AA55">
        <v>13.743000000000002</v>
      </c>
      <c r="AB55">
        <v>9.6709999999999994</v>
      </c>
      <c r="AC55">
        <v>9.6709999999999994</v>
      </c>
      <c r="AD55">
        <v>9.6709999999999994</v>
      </c>
      <c r="AE55">
        <v>9.6709999999999994</v>
      </c>
      <c r="AF55">
        <v>10.638999999999999</v>
      </c>
      <c r="AG55">
        <v>10.638999999999999</v>
      </c>
      <c r="AH55">
        <v>10.638999999999999</v>
      </c>
      <c r="AI55">
        <v>10.638999999999999</v>
      </c>
      <c r="AJ55">
        <v>10.638999999999999</v>
      </c>
      <c r="AK55">
        <v>11.702999999999999</v>
      </c>
      <c r="AL55">
        <v>11.702999999999999</v>
      </c>
      <c r="AM55">
        <v>11.702999999999999</v>
      </c>
      <c r="AN55">
        <v>11.702999999999999</v>
      </c>
      <c r="AO55">
        <v>11.702999999999999</v>
      </c>
      <c r="AP55">
        <v>189.869</v>
      </c>
      <c r="AQ55" t="s">
        <v>19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0.38450579099999999</v>
      </c>
      <c r="BF55">
        <v>0.38450579099999999</v>
      </c>
      <c r="BG55">
        <v>0.38450579099999999</v>
      </c>
      <c r="BH55">
        <v>0.32723511599999999</v>
      </c>
      <c r="BI55">
        <v>0.38096527100000005</v>
      </c>
      <c r="BJ55">
        <v>1.8617177599999999</v>
      </c>
    </row>
    <row r="56" spans="1:62" x14ac:dyDescent="0.25">
      <c r="A56" t="s">
        <v>20</v>
      </c>
      <c r="B56">
        <v>4.5034039650000004</v>
      </c>
      <c r="C56" t="s">
        <v>20</v>
      </c>
      <c r="D56">
        <v>1.704</v>
      </c>
      <c r="E56">
        <v>12.197000000000001</v>
      </c>
      <c r="F56">
        <v>6.1099999999999994</v>
      </c>
      <c r="G56">
        <v>6.2389999999999999</v>
      </c>
      <c r="H56">
        <v>8.3000000000000004E-2</v>
      </c>
      <c r="I56">
        <v>5.5E-2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26.388000000000002</v>
      </c>
      <c r="W56" t="s">
        <v>20</v>
      </c>
      <c r="X56">
        <v>1.704</v>
      </c>
      <c r="Y56">
        <v>12.197000000000001</v>
      </c>
      <c r="Z56">
        <v>6.1099999999999994</v>
      </c>
      <c r="AA56">
        <v>6.2389999999999999</v>
      </c>
      <c r="AB56">
        <v>2.4179999999999997</v>
      </c>
      <c r="AC56">
        <v>2.4179999999999997</v>
      </c>
      <c r="AD56">
        <v>2.4179999999999997</v>
      </c>
      <c r="AE56">
        <v>2.4179999999999997</v>
      </c>
      <c r="AF56">
        <v>2.6609999999999996</v>
      </c>
      <c r="AG56">
        <v>2.6609999999999996</v>
      </c>
      <c r="AH56">
        <v>2.6609999999999996</v>
      </c>
      <c r="AI56">
        <v>2.6609999999999996</v>
      </c>
      <c r="AJ56">
        <v>2.6609999999999996</v>
      </c>
      <c r="AK56">
        <v>2.9239999999999999</v>
      </c>
      <c r="AL56">
        <v>2.9239999999999999</v>
      </c>
      <c r="AM56">
        <v>2.9239999999999999</v>
      </c>
      <c r="AN56">
        <v>2.9239999999999999</v>
      </c>
      <c r="AO56">
        <v>2.9239999999999999</v>
      </c>
      <c r="AP56">
        <v>63.847000000000008</v>
      </c>
      <c r="AQ56" t="s">
        <v>20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0.12213420799999999</v>
      </c>
      <c r="BF56">
        <v>0.12213420799999999</v>
      </c>
      <c r="BG56">
        <v>0.12213420799999999</v>
      </c>
      <c r="BH56">
        <v>7.9824884499999998E-2</v>
      </c>
      <c r="BI56">
        <v>7.0933729000000001E-2</v>
      </c>
      <c r="BJ56">
        <v>0.51716123750000009</v>
      </c>
    </row>
    <row r="57" spans="1:62" x14ac:dyDescent="0.25">
      <c r="A57" t="s">
        <v>21</v>
      </c>
      <c r="B57">
        <v>18.66104</v>
      </c>
      <c r="C57" t="s">
        <v>21</v>
      </c>
      <c r="D57">
        <v>1.9390000000000001</v>
      </c>
      <c r="E57">
        <v>2.0590000000000002</v>
      </c>
      <c r="F57">
        <v>11.801</v>
      </c>
      <c r="G57">
        <v>5.6429999999999998</v>
      </c>
      <c r="H57">
        <v>0.70199999999999996</v>
      </c>
      <c r="I57">
        <v>0.5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22.643999999999998</v>
      </c>
      <c r="W57" t="s">
        <v>21</v>
      </c>
      <c r="X57">
        <v>1.9390000000000001</v>
      </c>
      <c r="Y57">
        <v>2.0590000000000002</v>
      </c>
      <c r="Z57">
        <v>11.801</v>
      </c>
      <c r="AA57">
        <v>5.6429999999999998</v>
      </c>
      <c r="AB57">
        <v>7.1010000000000009</v>
      </c>
      <c r="AC57">
        <v>7.1010000000000009</v>
      </c>
      <c r="AD57">
        <v>7.1010000000000009</v>
      </c>
      <c r="AE57">
        <v>7.1010000000000009</v>
      </c>
      <c r="AF57">
        <v>7.8120000000000003</v>
      </c>
      <c r="AG57">
        <v>7.8120000000000003</v>
      </c>
      <c r="AH57">
        <v>7.8120000000000003</v>
      </c>
      <c r="AI57">
        <v>7.8120000000000003</v>
      </c>
      <c r="AJ57">
        <v>7.8120000000000003</v>
      </c>
      <c r="AK57">
        <v>8.5939999999999994</v>
      </c>
      <c r="AL57">
        <v>8.5939999999999994</v>
      </c>
      <c r="AM57">
        <v>8.5939999999999994</v>
      </c>
      <c r="AN57">
        <v>8.5939999999999994</v>
      </c>
      <c r="AO57">
        <v>8.5939999999999994</v>
      </c>
      <c r="AP57">
        <v>131.87599999999998</v>
      </c>
      <c r="AQ57" t="s">
        <v>21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1.314061667</v>
      </c>
      <c r="BC57">
        <v>1.314061667</v>
      </c>
      <c r="BD57">
        <v>1.314061667</v>
      </c>
      <c r="BE57">
        <v>1.314061667</v>
      </c>
      <c r="BF57">
        <v>1.314061667</v>
      </c>
      <c r="BG57">
        <v>1.314061667</v>
      </c>
      <c r="BH57">
        <v>0.99746999999999986</v>
      </c>
      <c r="BI57">
        <v>1.8616500000000002</v>
      </c>
      <c r="BJ57">
        <v>10.743490002000001</v>
      </c>
    </row>
    <row r="58" spans="1:62" x14ac:dyDescent="0.25">
      <c r="A58" t="s">
        <v>23</v>
      </c>
      <c r="B58">
        <v>0</v>
      </c>
      <c r="C58" t="s">
        <v>23</v>
      </c>
      <c r="D58">
        <v>0</v>
      </c>
      <c r="E58">
        <v>0</v>
      </c>
      <c r="F58">
        <v>0</v>
      </c>
      <c r="G58">
        <v>0</v>
      </c>
      <c r="H58">
        <v>0.5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0.5</v>
      </c>
      <c r="W58" t="s">
        <v>23</v>
      </c>
      <c r="X58">
        <v>0</v>
      </c>
      <c r="Y58">
        <v>0</v>
      </c>
      <c r="Z58">
        <v>0</v>
      </c>
      <c r="AA58">
        <v>0</v>
      </c>
      <c r="AB58">
        <v>0.5</v>
      </c>
      <c r="AC58">
        <v>0</v>
      </c>
      <c r="AD58">
        <v>0</v>
      </c>
      <c r="AE58">
        <v>0</v>
      </c>
      <c r="AF58">
        <v>0.5</v>
      </c>
      <c r="AG58">
        <v>0.5</v>
      </c>
      <c r="AH58">
        <v>0.5</v>
      </c>
      <c r="AI58">
        <v>0.5</v>
      </c>
      <c r="AJ58">
        <v>0.5</v>
      </c>
      <c r="AK58">
        <v>0.55000000000000004</v>
      </c>
      <c r="AL58">
        <v>0.55000000000000004</v>
      </c>
      <c r="AM58">
        <v>0.55000000000000004</v>
      </c>
      <c r="AN58">
        <v>0.55000000000000004</v>
      </c>
      <c r="AO58">
        <v>0.55000000000000004</v>
      </c>
      <c r="AP58">
        <v>5.7499999999999991</v>
      </c>
    </row>
    <row r="59" spans="1:62" x14ac:dyDescent="0.25">
      <c r="A59" t="s">
        <v>24</v>
      </c>
      <c r="B59">
        <v>0.107890668</v>
      </c>
      <c r="C59" t="s">
        <v>24</v>
      </c>
      <c r="D59">
        <v>4.4800124999999999E-4</v>
      </c>
      <c r="E59">
        <v>2.6243891E-3</v>
      </c>
      <c r="F59">
        <v>3.7816990999999999E-3</v>
      </c>
      <c r="G59">
        <v>0.14005421799999998</v>
      </c>
      <c r="H59">
        <v>0.10022281000000001</v>
      </c>
      <c r="I59">
        <v>0.13735872399999999</v>
      </c>
      <c r="J59">
        <v>0.135183147</v>
      </c>
      <c r="K59">
        <v>0.14017426199999999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0.65984725044999992</v>
      </c>
      <c r="W59" t="s">
        <v>24</v>
      </c>
      <c r="X59">
        <v>4.4800124999999999E-4</v>
      </c>
      <c r="Y59">
        <v>0.12671365800000001</v>
      </c>
      <c r="Z59">
        <v>0.26761422600000001</v>
      </c>
      <c r="AA59">
        <v>0.58537518100000008</v>
      </c>
      <c r="AB59">
        <v>1.2869230140000001</v>
      </c>
      <c r="AC59">
        <v>2.8601731899999998</v>
      </c>
      <c r="AD59">
        <v>6.1883789560000002</v>
      </c>
      <c r="AE59">
        <v>14.107202181000002</v>
      </c>
      <c r="AF59">
        <v>14.107202181000002</v>
      </c>
      <c r="AG59">
        <v>14.554123881000001</v>
      </c>
      <c r="AH59">
        <v>14.554123881000001</v>
      </c>
      <c r="AI59">
        <v>14.554123881000001</v>
      </c>
      <c r="AJ59">
        <v>14.954341151000001</v>
      </c>
      <c r="AK59">
        <v>14.954341151000001</v>
      </c>
      <c r="AL59">
        <v>14.954341151000001</v>
      </c>
      <c r="AM59">
        <v>14.954341151000001</v>
      </c>
      <c r="AN59">
        <v>14.954341151000001</v>
      </c>
      <c r="AO59">
        <v>14.954341151000001</v>
      </c>
      <c r="AP59">
        <v>172.91844913724998</v>
      </c>
    </row>
    <row r="60" spans="1:62" s="2" customFormat="1" x14ac:dyDescent="0.25">
      <c r="A60" s="2" t="s">
        <v>8</v>
      </c>
      <c r="C60" s="2" t="s">
        <v>8</v>
      </c>
      <c r="D60" s="2">
        <v>4.0991398760000006</v>
      </c>
      <c r="E60" s="2">
        <v>10.667899630999999</v>
      </c>
      <c r="F60" s="2">
        <v>17.765275070999998</v>
      </c>
      <c r="G60" s="2">
        <v>18.100120514</v>
      </c>
      <c r="H60" s="2">
        <v>3.7907194439999996</v>
      </c>
      <c r="I60" s="2">
        <v>0.35588626400000001</v>
      </c>
      <c r="J60" s="2">
        <v>0.77985832700000002</v>
      </c>
      <c r="K60" s="2">
        <v>0.8679823900000001</v>
      </c>
      <c r="L60" s="2">
        <v>0.185</v>
      </c>
      <c r="M60" s="2">
        <v>2.04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58.651881516999993</v>
      </c>
      <c r="W60" s="2" t="s">
        <v>8</v>
      </c>
      <c r="X60" s="2">
        <v>4.0991398760000006</v>
      </c>
      <c r="Y60" s="2">
        <v>10.71043695</v>
      </c>
      <c r="Z60" s="2">
        <v>17.854231192</v>
      </c>
      <c r="AA60" s="2">
        <v>18.988946438000003</v>
      </c>
      <c r="AB60" s="2">
        <v>18.479978563</v>
      </c>
      <c r="AC60" s="2">
        <v>19.381473809999999</v>
      </c>
      <c r="AD60" s="2">
        <v>21.101512841000002</v>
      </c>
      <c r="AE60" s="2">
        <v>23.491767483</v>
      </c>
      <c r="AF60" s="2">
        <v>25.100767482999998</v>
      </c>
      <c r="AG60" s="2">
        <v>27.171789603999997</v>
      </c>
      <c r="AH60" s="2">
        <v>24.959789604000001</v>
      </c>
      <c r="AI60" s="2">
        <v>24.742789604000002</v>
      </c>
      <c r="AJ60" s="2">
        <v>25.086365830000002</v>
      </c>
      <c r="AK60" s="2">
        <v>26.87536583</v>
      </c>
      <c r="AL60" s="2">
        <v>27.144365830000002</v>
      </c>
      <c r="AM60" s="2">
        <v>27.144365830000002</v>
      </c>
      <c r="AN60" s="2">
        <v>27.144365830000002</v>
      </c>
      <c r="AO60" s="2">
        <v>27.144365830000002</v>
      </c>
      <c r="AP60" s="2">
        <v>396.62181842799993</v>
      </c>
      <c r="AQ60" s="2" t="s">
        <v>8</v>
      </c>
      <c r="AR60" s="2">
        <v>0</v>
      </c>
      <c r="AS60" s="2">
        <v>0</v>
      </c>
      <c r="AT60" s="2">
        <v>0</v>
      </c>
      <c r="AU60" s="2">
        <v>0</v>
      </c>
      <c r="AV60" s="2">
        <v>2.31</v>
      </c>
      <c r="AW60" s="2">
        <v>0</v>
      </c>
      <c r="AX60" s="2">
        <v>0.89250000000000007</v>
      </c>
      <c r="AY60" s="2">
        <v>1.04</v>
      </c>
      <c r="AZ60" s="2">
        <v>1.04</v>
      </c>
      <c r="BA60" s="2">
        <v>0.63</v>
      </c>
      <c r="BB60" s="2">
        <v>1.938148333</v>
      </c>
      <c r="BC60" s="2">
        <v>3.5681483329999999</v>
      </c>
      <c r="BD60" s="2">
        <v>2.438148333</v>
      </c>
      <c r="BE60" s="2">
        <v>2.3152349990000003</v>
      </c>
      <c r="BF60" s="2">
        <v>2.3152349990000003</v>
      </c>
      <c r="BG60" s="2">
        <v>2.0252349990000003</v>
      </c>
      <c r="BH60" s="2">
        <v>1.2635099999999999</v>
      </c>
      <c r="BI60" s="2">
        <v>2.6730849999999999</v>
      </c>
      <c r="BJ60" s="2">
        <v>24.449244996000004</v>
      </c>
    </row>
    <row r="61" spans="1:62" x14ac:dyDescent="0.25">
      <c r="A61" t="s">
        <v>13</v>
      </c>
      <c r="B61">
        <v>63.929270834999997</v>
      </c>
      <c r="C61" t="s">
        <v>13</v>
      </c>
      <c r="D61">
        <v>0</v>
      </c>
      <c r="E61">
        <v>0</v>
      </c>
      <c r="F61">
        <v>0.8</v>
      </c>
      <c r="G61">
        <v>5.32</v>
      </c>
      <c r="H61">
        <v>1.32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7.44</v>
      </c>
      <c r="W61" t="s">
        <v>13</v>
      </c>
      <c r="X61">
        <v>0</v>
      </c>
      <c r="Y61">
        <v>0</v>
      </c>
      <c r="Z61">
        <v>0.8</v>
      </c>
      <c r="AA61">
        <v>5.32</v>
      </c>
      <c r="AB61">
        <v>1.32</v>
      </c>
      <c r="AC61">
        <v>2.4189999999999996</v>
      </c>
      <c r="AD61">
        <v>2.2440000000000002</v>
      </c>
      <c r="AE61">
        <v>2.2280000000000002</v>
      </c>
      <c r="AF61">
        <v>2.3899999999999997</v>
      </c>
      <c r="AG61">
        <v>2.3899999999999997</v>
      </c>
      <c r="AH61">
        <v>1.7809999999999999</v>
      </c>
      <c r="AI61">
        <v>1.5489999999999999</v>
      </c>
      <c r="AJ61">
        <v>2.0430000000000001</v>
      </c>
      <c r="AK61">
        <v>2.2919999999999998</v>
      </c>
      <c r="AL61">
        <v>2.4189999999999996</v>
      </c>
      <c r="AM61">
        <v>2.4189999999999996</v>
      </c>
      <c r="AN61">
        <v>2.4189999999999996</v>
      </c>
      <c r="AO61">
        <v>2.4189999999999996</v>
      </c>
      <c r="AP61">
        <v>36.451999999999991</v>
      </c>
      <c r="AQ61" t="s">
        <v>13</v>
      </c>
      <c r="AR61">
        <v>0</v>
      </c>
      <c r="AS61">
        <v>0</v>
      </c>
      <c r="AT61">
        <v>0</v>
      </c>
      <c r="AU61">
        <v>0</v>
      </c>
      <c r="AV61">
        <v>2.31</v>
      </c>
      <c r="AW61">
        <v>0</v>
      </c>
      <c r="AX61">
        <v>0.89250000000000007</v>
      </c>
      <c r="AY61">
        <v>1.04</v>
      </c>
      <c r="AZ61">
        <v>1.04</v>
      </c>
      <c r="BA61">
        <v>0.63</v>
      </c>
      <c r="BB61">
        <v>0.21</v>
      </c>
      <c r="BC61">
        <v>1.8399999999999999</v>
      </c>
      <c r="BD61">
        <v>0.71</v>
      </c>
      <c r="BE61">
        <v>0.5</v>
      </c>
      <c r="BF61">
        <v>0.5</v>
      </c>
      <c r="BG61">
        <v>0.21</v>
      </c>
      <c r="BH61">
        <v>0.21</v>
      </c>
      <c r="BI61">
        <v>0</v>
      </c>
      <c r="BJ61">
        <v>10.092500000000001</v>
      </c>
    </row>
    <row r="62" spans="1:62" x14ac:dyDescent="0.25">
      <c r="A62" t="s">
        <v>14</v>
      </c>
      <c r="B62">
        <v>7.7302171470000003</v>
      </c>
      <c r="C62" t="s">
        <v>14</v>
      </c>
      <c r="D62">
        <v>0.37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0.37</v>
      </c>
      <c r="W62" t="s">
        <v>14</v>
      </c>
      <c r="X62">
        <v>0.37</v>
      </c>
      <c r="Y62">
        <v>0</v>
      </c>
      <c r="Z62">
        <v>0</v>
      </c>
      <c r="AA62">
        <v>0</v>
      </c>
      <c r="AB62">
        <v>0.24600000000000002</v>
      </c>
      <c r="AC62">
        <v>0.24600000000000002</v>
      </c>
      <c r="AD62">
        <v>0.24600000000000002</v>
      </c>
      <c r="AE62">
        <v>0.24600000000000002</v>
      </c>
      <c r="AF62">
        <v>0.24600000000000002</v>
      </c>
      <c r="AG62">
        <v>0.24600000000000002</v>
      </c>
      <c r="AH62">
        <v>0.24600000000000002</v>
      </c>
      <c r="AI62">
        <v>0.24600000000000002</v>
      </c>
      <c r="AJ62">
        <v>0.24600000000000002</v>
      </c>
      <c r="AK62">
        <v>0.24600000000000002</v>
      </c>
      <c r="AL62">
        <v>0.24600000000000002</v>
      </c>
      <c r="AM62">
        <v>0.24600000000000002</v>
      </c>
      <c r="AN62">
        <v>0.24600000000000002</v>
      </c>
      <c r="AO62">
        <v>0.24600000000000002</v>
      </c>
      <c r="AP62">
        <v>3.8140000000000001</v>
      </c>
      <c r="AQ62" t="s">
        <v>14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  <row r="63" spans="1:62" x14ac:dyDescent="0.25">
      <c r="A63" t="s">
        <v>16</v>
      </c>
      <c r="B63">
        <v>0</v>
      </c>
      <c r="C63" t="s">
        <v>16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 t="s">
        <v>16</v>
      </c>
      <c r="X63">
        <v>0</v>
      </c>
      <c r="Y63">
        <v>0</v>
      </c>
      <c r="Z63">
        <v>0</v>
      </c>
      <c r="AA63">
        <v>0.73899999999999999</v>
      </c>
      <c r="AB63">
        <v>0.73899999999999999</v>
      </c>
      <c r="AC63">
        <v>0.73899999999999999</v>
      </c>
      <c r="AD63">
        <v>0.73899999999999999</v>
      </c>
      <c r="AE63">
        <v>0.73899999999999999</v>
      </c>
      <c r="AF63">
        <v>0.73899999999999999</v>
      </c>
      <c r="AG63">
        <v>0.73899999999999999</v>
      </c>
      <c r="AH63">
        <v>0.73899999999999999</v>
      </c>
      <c r="AI63">
        <v>0.73899999999999999</v>
      </c>
      <c r="AJ63">
        <v>0.73899999999999999</v>
      </c>
      <c r="AK63">
        <v>0.73899999999999999</v>
      </c>
      <c r="AL63">
        <v>0.73899999999999999</v>
      </c>
      <c r="AM63">
        <v>0.73899999999999999</v>
      </c>
      <c r="AN63">
        <v>0.73899999999999999</v>
      </c>
      <c r="AO63">
        <v>0.73899999999999999</v>
      </c>
      <c r="AP63">
        <v>11.085000000000003</v>
      </c>
    </row>
    <row r="64" spans="1:62" x14ac:dyDescent="0.25">
      <c r="A64" t="s">
        <v>17</v>
      </c>
      <c r="B64">
        <v>3.3276676479999998</v>
      </c>
      <c r="C64" t="s">
        <v>17</v>
      </c>
      <c r="D64">
        <v>0</v>
      </c>
      <c r="E64">
        <v>0</v>
      </c>
      <c r="F64">
        <v>0</v>
      </c>
      <c r="G64">
        <v>2</v>
      </c>
      <c r="H64">
        <v>0</v>
      </c>
      <c r="I64">
        <v>0</v>
      </c>
      <c r="J64">
        <v>0</v>
      </c>
      <c r="K64">
        <v>0</v>
      </c>
      <c r="L64">
        <v>0</v>
      </c>
      <c r="M64">
        <v>2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4</v>
      </c>
      <c r="W64" t="s">
        <v>17</v>
      </c>
      <c r="X64">
        <v>0</v>
      </c>
      <c r="Y64">
        <v>0</v>
      </c>
      <c r="Z64">
        <v>0</v>
      </c>
      <c r="AA64">
        <v>2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</v>
      </c>
      <c r="AH64">
        <v>0.40600000000000003</v>
      </c>
      <c r="AI64">
        <v>0.40600000000000003</v>
      </c>
      <c r="AJ64">
        <v>0.40600000000000003</v>
      </c>
      <c r="AK64">
        <v>0.40600000000000003</v>
      </c>
      <c r="AL64">
        <v>0.40600000000000003</v>
      </c>
      <c r="AM64">
        <v>0.40600000000000003</v>
      </c>
      <c r="AN64">
        <v>0.40600000000000003</v>
      </c>
      <c r="AO64">
        <v>0.40600000000000003</v>
      </c>
      <c r="AP64">
        <v>7.2479999999999976</v>
      </c>
    </row>
    <row r="65" spans="1:62" x14ac:dyDescent="0.25">
      <c r="A65" t="s">
        <v>22</v>
      </c>
      <c r="B65">
        <v>0</v>
      </c>
      <c r="C65" t="s">
        <v>22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 t="s">
        <v>22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9.799999999999999E-2</v>
      </c>
      <c r="AH65">
        <v>9.799999999999999E-2</v>
      </c>
      <c r="AI65">
        <v>9.799999999999999E-2</v>
      </c>
      <c r="AJ65">
        <v>9.799999999999999E-2</v>
      </c>
      <c r="AK65">
        <v>9.799999999999999E-2</v>
      </c>
      <c r="AL65">
        <v>9.799999999999999E-2</v>
      </c>
      <c r="AM65">
        <v>9.799999999999999E-2</v>
      </c>
      <c r="AN65">
        <v>9.799999999999999E-2</v>
      </c>
      <c r="AO65">
        <v>9.799999999999999E-2</v>
      </c>
      <c r="AP65">
        <v>0.8819999999999999</v>
      </c>
    </row>
    <row r="66" spans="1:62" x14ac:dyDescent="0.25">
      <c r="A66" t="s">
        <v>15</v>
      </c>
      <c r="B66">
        <v>12.168961466000001</v>
      </c>
      <c r="C66" t="s">
        <v>15</v>
      </c>
      <c r="D66">
        <v>0</v>
      </c>
      <c r="E66">
        <v>0.1</v>
      </c>
      <c r="F66">
        <v>0</v>
      </c>
      <c r="G66">
        <v>0.98</v>
      </c>
      <c r="H66">
        <v>0.72</v>
      </c>
      <c r="I66">
        <v>0</v>
      </c>
      <c r="J66">
        <v>0.55000000000000004</v>
      </c>
      <c r="K66">
        <v>0.64</v>
      </c>
      <c r="L66">
        <v>0</v>
      </c>
      <c r="M66">
        <v>0.04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3.0300000000000002</v>
      </c>
      <c r="W66" t="s">
        <v>15</v>
      </c>
      <c r="X66">
        <v>0</v>
      </c>
      <c r="Y66">
        <v>0.1</v>
      </c>
      <c r="Z66">
        <v>0</v>
      </c>
      <c r="AA66">
        <v>0.98</v>
      </c>
      <c r="AB66">
        <v>0.72</v>
      </c>
      <c r="AC66">
        <v>0</v>
      </c>
      <c r="AD66">
        <v>0.55000000000000004</v>
      </c>
      <c r="AE66">
        <v>0.64</v>
      </c>
      <c r="AF66">
        <v>2.3E-2</v>
      </c>
      <c r="AG66">
        <v>0.13600000000000001</v>
      </c>
      <c r="AH66">
        <v>0.127</v>
      </c>
      <c r="AI66">
        <v>0.14200000000000002</v>
      </c>
      <c r="AJ66">
        <v>0.14200000000000002</v>
      </c>
      <c r="AK66">
        <v>0</v>
      </c>
      <c r="AL66">
        <v>0.14200000000000002</v>
      </c>
      <c r="AM66">
        <v>0.14200000000000002</v>
      </c>
      <c r="AN66">
        <v>0.14200000000000002</v>
      </c>
      <c r="AO66">
        <v>0.14200000000000002</v>
      </c>
      <c r="AP66">
        <v>4.1280000000000001</v>
      </c>
    </row>
    <row r="67" spans="1:62" x14ac:dyDescent="0.25">
      <c r="A67" t="s">
        <v>18</v>
      </c>
      <c r="B67">
        <v>1.9244800000000002</v>
      </c>
      <c r="C67" t="s">
        <v>18</v>
      </c>
      <c r="D67">
        <v>1.7000000000000001E-2</v>
      </c>
      <c r="E67">
        <v>1.7000000000000001E-2</v>
      </c>
      <c r="F67">
        <v>1.7000000000000001E-2</v>
      </c>
      <c r="G67">
        <v>1.7000000000000001E-2</v>
      </c>
      <c r="H67">
        <v>1.2999999999999998E-2</v>
      </c>
      <c r="I67">
        <v>1.2999999999999998E-2</v>
      </c>
      <c r="J67">
        <v>1.2999999999999998E-2</v>
      </c>
      <c r="K67">
        <v>1.2999999999999998E-2</v>
      </c>
      <c r="L67">
        <v>1.2999999999999998E-2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0.13300000000000001</v>
      </c>
      <c r="W67" t="s">
        <v>18</v>
      </c>
      <c r="X67">
        <v>1.7000000000000001E-2</v>
      </c>
      <c r="Y67">
        <v>1.7000000000000001E-2</v>
      </c>
      <c r="Z67">
        <v>1.7000000000000001E-2</v>
      </c>
      <c r="AA67">
        <v>1.7000000000000001E-2</v>
      </c>
      <c r="AB67">
        <v>1.2999999999999998E-2</v>
      </c>
      <c r="AC67">
        <v>1.2999999999999998E-2</v>
      </c>
      <c r="AD67">
        <v>0.26</v>
      </c>
      <c r="AE67">
        <v>0.26</v>
      </c>
      <c r="AF67">
        <v>0.26</v>
      </c>
      <c r="AG67">
        <v>0.26</v>
      </c>
      <c r="AH67">
        <v>0.26</v>
      </c>
      <c r="AI67">
        <v>0.26</v>
      </c>
      <c r="AJ67">
        <v>0.26</v>
      </c>
      <c r="AK67">
        <v>0.26</v>
      </c>
      <c r="AL67">
        <v>0.26</v>
      </c>
      <c r="AM67">
        <v>0.26</v>
      </c>
      <c r="AN67">
        <v>0.26</v>
      </c>
      <c r="AO67">
        <v>0.26</v>
      </c>
      <c r="AP67">
        <v>3.2139999999999995</v>
      </c>
    </row>
    <row r="68" spans="1:62" x14ac:dyDescent="0.25">
      <c r="A68" t="s">
        <v>7</v>
      </c>
      <c r="B68">
        <v>3.73475</v>
      </c>
      <c r="C68" t="s">
        <v>7</v>
      </c>
      <c r="D68">
        <v>0.16000000000000003</v>
      </c>
      <c r="E68">
        <v>0.16000000000000003</v>
      </c>
      <c r="F68">
        <v>0.16000000000000003</v>
      </c>
      <c r="G68">
        <v>0.16000000000000003</v>
      </c>
      <c r="H68">
        <v>0.17199999999999999</v>
      </c>
      <c r="I68">
        <v>0.17199999999999999</v>
      </c>
      <c r="J68">
        <v>0.17199999999999999</v>
      </c>
      <c r="K68">
        <v>0.17199999999999999</v>
      </c>
      <c r="L68">
        <v>0.17199999999999999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1.4999999999999998</v>
      </c>
      <c r="W68" t="s">
        <v>7</v>
      </c>
      <c r="X68">
        <v>0.16000000000000003</v>
      </c>
      <c r="Y68">
        <v>0.16000000000000003</v>
      </c>
      <c r="Z68">
        <v>0.16000000000000003</v>
      </c>
      <c r="AA68">
        <v>0.16000000000000003</v>
      </c>
      <c r="AB68">
        <v>0.17199999999999999</v>
      </c>
      <c r="AC68">
        <v>0.17199999999999999</v>
      </c>
      <c r="AD68">
        <v>0.17199999999999999</v>
      </c>
      <c r="AE68">
        <v>0.216</v>
      </c>
      <c r="AF68">
        <v>0.29799999999999999</v>
      </c>
      <c r="AG68">
        <v>0.32599999999999996</v>
      </c>
      <c r="AH68">
        <v>0.32599999999999996</v>
      </c>
      <c r="AI68">
        <v>0.32599999999999996</v>
      </c>
      <c r="AJ68">
        <v>0.32599999999999996</v>
      </c>
      <c r="AK68">
        <v>0.32599999999999996</v>
      </c>
      <c r="AL68">
        <v>0.32599999999999996</v>
      </c>
      <c r="AM68">
        <v>0.32599999999999996</v>
      </c>
      <c r="AN68">
        <v>0.32599999999999996</v>
      </c>
      <c r="AO68">
        <v>0.32599999999999996</v>
      </c>
      <c r="AP68">
        <v>4.6040000000000001</v>
      </c>
      <c r="AQ68" t="s">
        <v>7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</row>
    <row r="69" spans="1:62" x14ac:dyDescent="0.25">
      <c r="A69" t="s">
        <v>19</v>
      </c>
      <c r="B69">
        <v>24.128916825999998</v>
      </c>
      <c r="C69" t="s">
        <v>19</v>
      </c>
      <c r="D69">
        <v>1.6220000000000001</v>
      </c>
      <c r="E69">
        <v>2.2040000000000002</v>
      </c>
      <c r="F69">
        <v>5.5780000000000003</v>
      </c>
      <c r="G69">
        <v>3.3929999999999998</v>
      </c>
      <c r="H69">
        <v>0.17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12.967000000000001</v>
      </c>
      <c r="W69" t="s">
        <v>19</v>
      </c>
      <c r="X69">
        <v>1.6220000000000001</v>
      </c>
      <c r="Y69">
        <v>2.2040000000000002</v>
      </c>
      <c r="Z69">
        <v>5.5780000000000003</v>
      </c>
      <c r="AA69">
        <v>3.3929999999999998</v>
      </c>
      <c r="AB69">
        <v>5.7390000000000008</v>
      </c>
      <c r="AC69">
        <v>5.7390000000000008</v>
      </c>
      <c r="AD69">
        <v>5.7390000000000008</v>
      </c>
      <c r="AE69">
        <v>5.7390000000000008</v>
      </c>
      <c r="AF69">
        <v>6.3120000000000003</v>
      </c>
      <c r="AG69">
        <v>6.3120000000000003</v>
      </c>
      <c r="AH69">
        <v>6.3120000000000003</v>
      </c>
      <c r="AI69">
        <v>6.3120000000000003</v>
      </c>
      <c r="AJ69">
        <v>6.3120000000000003</v>
      </c>
      <c r="AK69">
        <v>6.9430000000000005</v>
      </c>
      <c r="AL69">
        <v>6.9430000000000005</v>
      </c>
      <c r="AM69">
        <v>6.9430000000000005</v>
      </c>
      <c r="AN69">
        <v>6.9430000000000005</v>
      </c>
      <c r="AO69">
        <v>6.9430000000000005</v>
      </c>
      <c r="AP69">
        <v>102.02799999999998</v>
      </c>
      <c r="AQ69" t="s">
        <v>19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8.2604206619999995E-2</v>
      </c>
      <c r="BF69">
        <v>8.2604206619999995E-2</v>
      </c>
      <c r="BG69">
        <v>8.2604206619999995E-2</v>
      </c>
      <c r="BH69">
        <v>0.24846536699999999</v>
      </c>
      <c r="BI69">
        <v>1.6845571229999998</v>
      </c>
      <c r="BJ69">
        <v>2.1808351098599998</v>
      </c>
    </row>
    <row r="70" spans="1:62" x14ac:dyDescent="0.25">
      <c r="A70" t="s">
        <v>20</v>
      </c>
      <c r="B70">
        <v>2.030823174</v>
      </c>
      <c r="C70" t="s">
        <v>20</v>
      </c>
      <c r="D70">
        <v>0.61799999999999999</v>
      </c>
      <c r="E70">
        <v>4.7690000000000001</v>
      </c>
      <c r="F70">
        <v>1.4919999999999998</v>
      </c>
      <c r="G70">
        <v>1.3979999999999999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8.277000000000001</v>
      </c>
      <c r="W70" t="s">
        <v>20</v>
      </c>
      <c r="X70">
        <v>0.61799999999999999</v>
      </c>
      <c r="Y70">
        <v>4.7690000000000001</v>
      </c>
      <c r="Z70">
        <v>1.4919999999999998</v>
      </c>
      <c r="AA70">
        <v>1.3979999999999999</v>
      </c>
      <c r="AB70">
        <v>1.4350000000000001</v>
      </c>
      <c r="AC70">
        <v>1.4350000000000001</v>
      </c>
      <c r="AD70">
        <v>1.4350000000000001</v>
      </c>
      <c r="AE70">
        <v>1.4350000000000001</v>
      </c>
      <c r="AF70">
        <v>1.5780000000000001</v>
      </c>
      <c r="AG70">
        <v>1.5780000000000001</v>
      </c>
      <c r="AH70">
        <v>1.5780000000000001</v>
      </c>
      <c r="AI70">
        <v>1.5780000000000001</v>
      </c>
      <c r="AJ70">
        <v>1.5780000000000001</v>
      </c>
      <c r="AK70">
        <v>1.736</v>
      </c>
      <c r="AL70">
        <v>1.736</v>
      </c>
      <c r="AM70">
        <v>1.736</v>
      </c>
      <c r="AN70">
        <v>1.736</v>
      </c>
      <c r="AO70">
        <v>1.736</v>
      </c>
      <c r="AP70">
        <v>30.587000000000003</v>
      </c>
      <c r="AQ70" t="s">
        <v>20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4.4824593799999996E-3</v>
      </c>
      <c r="BF70">
        <v>4.4824593799999996E-3</v>
      </c>
      <c r="BG70">
        <v>4.4824593799999996E-3</v>
      </c>
      <c r="BH70">
        <v>1.4244633E-2</v>
      </c>
      <c r="BI70">
        <v>0.11262787699999999</v>
      </c>
      <c r="BJ70">
        <v>0.14031988813999999</v>
      </c>
    </row>
    <row r="71" spans="1:62" x14ac:dyDescent="0.25">
      <c r="A71" t="s">
        <v>21</v>
      </c>
      <c r="B71">
        <v>22.161370000000002</v>
      </c>
      <c r="C71" t="s">
        <v>21</v>
      </c>
      <c r="D71">
        <v>1.3119999999999998</v>
      </c>
      <c r="E71">
        <v>3.4169999999999998</v>
      </c>
      <c r="F71">
        <v>9.7169999999999987</v>
      </c>
      <c r="G71">
        <v>4.7850000000000001</v>
      </c>
      <c r="H71">
        <v>1.3620000000000001</v>
      </c>
      <c r="I71">
        <v>0.125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20.717999999999996</v>
      </c>
      <c r="W71" t="s">
        <v>21</v>
      </c>
      <c r="X71">
        <v>1.3119999999999998</v>
      </c>
      <c r="Y71">
        <v>3.4169999999999998</v>
      </c>
      <c r="Z71">
        <v>9.7169999999999987</v>
      </c>
      <c r="AA71">
        <v>4.7850000000000001</v>
      </c>
      <c r="AB71">
        <v>7.6629999999999994</v>
      </c>
      <c r="AC71">
        <v>7.6629999999999994</v>
      </c>
      <c r="AD71">
        <v>7.6629999999999994</v>
      </c>
      <c r="AE71">
        <v>7.6629999999999994</v>
      </c>
      <c r="AF71">
        <v>8.4290000000000003</v>
      </c>
      <c r="AG71">
        <v>8.4290000000000003</v>
      </c>
      <c r="AH71">
        <v>8.4290000000000003</v>
      </c>
      <c r="AI71">
        <v>8.4290000000000003</v>
      </c>
      <c r="AJ71">
        <v>8.4290000000000003</v>
      </c>
      <c r="AK71">
        <v>9.2719999999999985</v>
      </c>
      <c r="AL71">
        <v>9.2719999999999985</v>
      </c>
      <c r="AM71">
        <v>9.2719999999999985</v>
      </c>
      <c r="AN71">
        <v>9.2719999999999985</v>
      </c>
      <c r="AO71">
        <v>9.2719999999999985</v>
      </c>
      <c r="AP71">
        <v>138.38799999999995</v>
      </c>
      <c r="AQ71" t="s">
        <v>21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1.728148333</v>
      </c>
      <c r="BC71">
        <v>1.728148333</v>
      </c>
      <c r="BD71">
        <v>1.728148333</v>
      </c>
      <c r="BE71">
        <v>1.728148333</v>
      </c>
      <c r="BF71">
        <v>1.728148333</v>
      </c>
      <c r="BG71">
        <v>1.728148333</v>
      </c>
      <c r="BH71">
        <v>0.79079999999999995</v>
      </c>
      <c r="BI71">
        <v>0.87590000000000001</v>
      </c>
      <c r="BJ71">
        <v>12.035589998000001</v>
      </c>
    </row>
    <row r="72" spans="1:62" x14ac:dyDescent="0.25">
      <c r="A72" t="s">
        <v>23</v>
      </c>
      <c r="B72">
        <v>0</v>
      </c>
      <c r="C72" t="s">
        <v>23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 t="s">
        <v>23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0.5</v>
      </c>
      <c r="AG72">
        <v>0.5</v>
      </c>
      <c r="AH72">
        <v>0.5</v>
      </c>
      <c r="AI72">
        <v>0.5</v>
      </c>
      <c r="AJ72">
        <v>0.5</v>
      </c>
      <c r="AK72">
        <v>0.55000000000000004</v>
      </c>
      <c r="AL72">
        <v>0.55000000000000004</v>
      </c>
      <c r="AM72">
        <v>0.55000000000000004</v>
      </c>
      <c r="AN72">
        <v>0.55000000000000004</v>
      </c>
      <c r="AO72">
        <v>0.55000000000000004</v>
      </c>
      <c r="AP72">
        <v>5.2499999999999991</v>
      </c>
    </row>
    <row r="73" spans="1:62" x14ac:dyDescent="0.25">
      <c r="A73" t="s">
        <v>24</v>
      </c>
      <c r="B73">
        <v>3.3690704999999994E-2</v>
      </c>
      <c r="C73" t="s">
        <v>24</v>
      </c>
      <c r="D73">
        <v>1.3987600000000001E-4</v>
      </c>
      <c r="E73">
        <v>8.9963099999999991E-4</v>
      </c>
      <c r="F73">
        <v>1.275071E-3</v>
      </c>
      <c r="G73">
        <v>4.7120514000000002E-2</v>
      </c>
      <c r="H73">
        <v>3.3719444000000001E-2</v>
      </c>
      <c r="I73">
        <v>4.5886263999999996E-2</v>
      </c>
      <c r="J73">
        <v>4.4858326999999996E-2</v>
      </c>
      <c r="K73">
        <v>4.2982389999999995E-2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0.21688151700000002</v>
      </c>
      <c r="W73" t="s">
        <v>24</v>
      </c>
      <c r="X73">
        <v>1.3987600000000001E-4</v>
      </c>
      <c r="Y73">
        <v>4.3436950000000002E-2</v>
      </c>
      <c r="Z73">
        <v>9.0231191999999988E-2</v>
      </c>
      <c r="AA73">
        <v>0.196946438</v>
      </c>
      <c r="AB73">
        <v>0.43297856300000004</v>
      </c>
      <c r="AC73">
        <v>0.95547380999999998</v>
      </c>
      <c r="AD73">
        <v>2.0535128409999999</v>
      </c>
      <c r="AE73">
        <v>4.3257674829999999</v>
      </c>
      <c r="AF73">
        <v>4.3257674829999999</v>
      </c>
      <c r="AG73">
        <v>4.1577896039999995</v>
      </c>
      <c r="AH73">
        <v>4.1577896039999995</v>
      </c>
      <c r="AI73">
        <v>4.1577896039999995</v>
      </c>
      <c r="AJ73">
        <v>4.0073658300000004</v>
      </c>
      <c r="AK73">
        <v>4.0073658300000004</v>
      </c>
      <c r="AL73">
        <v>4.0073658300000004</v>
      </c>
      <c r="AM73">
        <v>4.0073658300000004</v>
      </c>
      <c r="AN73">
        <v>4.0073658300000004</v>
      </c>
      <c r="AO73">
        <v>4.0073658300000004</v>
      </c>
      <c r="AP73">
        <v>48.941818427999998</v>
      </c>
    </row>
    <row r="74" spans="1:62" s="2" customFormat="1" x14ac:dyDescent="0.25">
      <c r="A74" s="2" t="s">
        <v>169</v>
      </c>
      <c r="C74" s="2" t="s">
        <v>169</v>
      </c>
      <c r="D74" s="2">
        <v>0.15610527199999996</v>
      </c>
      <c r="E74" s="2">
        <v>16.078843011</v>
      </c>
      <c r="F74" s="2">
        <v>17.444764139</v>
      </c>
      <c r="G74" s="2">
        <v>1</v>
      </c>
      <c r="H74" s="2">
        <v>0</v>
      </c>
      <c r="I74" s="2">
        <v>7</v>
      </c>
      <c r="J74" s="2">
        <v>7</v>
      </c>
      <c r="K74" s="2">
        <v>15</v>
      </c>
      <c r="L74" s="2">
        <v>0</v>
      </c>
      <c r="M74" s="2">
        <v>15</v>
      </c>
      <c r="N74" s="2">
        <v>0</v>
      </c>
      <c r="O74" s="2">
        <v>0</v>
      </c>
      <c r="P74" s="2">
        <v>15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93.679712422000009</v>
      </c>
      <c r="W74" s="2" t="s">
        <v>169</v>
      </c>
      <c r="X74" s="2">
        <v>0.15610527199999996</v>
      </c>
      <c r="Y74" s="2">
        <v>16.078843011</v>
      </c>
      <c r="Z74" s="2">
        <v>21.805955172999997</v>
      </c>
      <c r="AA74" s="2">
        <v>4.0977633880000006</v>
      </c>
      <c r="AB74" s="2">
        <v>21.170299999999997</v>
      </c>
      <c r="AC74" s="2">
        <v>22.228815000000001</v>
      </c>
      <c r="AD74" s="2">
        <v>23.340255750000001</v>
      </c>
      <c r="AE74" s="2">
        <v>24.507268539000002</v>
      </c>
      <c r="AF74" s="2">
        <v>25.732631963999999</v>
      </c>
      <c r="AG74" s="2">
        <v>27.019263568</v>
      </c>
      <c r="AH74" s="2">
        <v>28.370226738999996</v>
      </c>
      <c r="AI74" s="2">
        <v>29.788738079000002</v>
      </c>
      <c r="AJ74" s="2">
        <v>31.278174985</v>
      </c>
      <c r="AK74" s="2">
        <v>32.842083730000006</v>
      </c>
      <c r="AL74" s="2">
        <v>34.484187922000004</v>
      </c>
      <c r="AM74" s="2">
        <v>36.208397311999995</v>
      </c>
      <c r="AN74" s="2">
        <v>38.018817173999999</v>
      </c>
      <c r="AO74" s="2">
        <v>39.919758037000008</v>
      </c>
      <c r="AP74" s="2">
        <v>457.04758564299993</v>
      </c>
    </row>
    <row r="75" spans="1:62" x14ac:dyDescent="0.25">
      <c r="A75" t="s">
        <v>171</v>
      </c>
      <c r="B75">
        <v>15.039</v>
      </c>
      <c r="C75" t="s">
        <v>171</v>
      </c>
      <c r="D75">
        <v>9.7689830000000002E-3</v>
      </c>
      <c r="E75">
        <v>1.006205236</v>
      </c>
      <c r="F75">
        <v>1.0916838360000001</v>
      </c>
      <c r="G75">
        <v>0</v>
      </c>
      <c r="H75">
        <v>0</v>
      </c>
      <c r="I75">
        <v>0</v>
      </c>
      <c r="J75">
        <v>0</v>
      </c>
      <c r="K75">
        <v>1</v>
      </c>
      <c r="L75">
        <v>0</v>
      </c>
      <c r="M75">
        <v>1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5.1076580549999999</v>
      </c>
      <c r="W75" t="s">
        <v>171</v>
      </c>
      <c r="X75">
        <v>9.7689830000000002E-3</v>
      </c>
      <c r="Y75">
        <v>1.006205236</v>
      </c>
      <c r="Z75">
        <v>1.364604795</v>
      </c>
      <c r="AA75">
        <v>0.25643579999999999</v>
      </c>
      <c r="AB75">
        <v>1.5039</v>
      </c>
      <c r="AC75">
        <v>1.5790949999999999</v>
      </c>
      <c r="AD75">
        <v>1.65804975</v>
      </c>
      <c r="AE75">
        <v>1.740952238</v>
      </c>
      <c r="AF75">
        <v>1.827999849</v>
      </c>
      <c r="AG75">
        <v>1.919399842</v>
      </c>
      <c r="AH75">
        <v>2.0153698339999999</v>
      </c>
      <c r="AI75">
        <v>2.1161383260000002</v>
      </c>
      <c r="AJ75">
        <v>2.2219452419999999</v>
      </c>
      <c r="AK75">
        <v>2.3330425039999998</v>
      </c>
      <c r="AL75">
        <v>2.4496946290000001</v>
      </c>
      <c r="AM75">
        <v>2.5721793609999999</v>
      </c>
      <c r="AN75">
        <v>2.7007883289999999</v>
      </c>
      <c r="AO75">
        <v>2.835827745</v>
      </c>
      <c r="AP75">
        <v>32.111397463000003</v>
      </c>
    </row>
    <row r="76" spans="1:62" x14ac:dyDescent="0.25">
      <c r="A76" t="s">
        <v>172</v>
      </c>
      <c r="B76">
        <v>113.776</v>
      </c>
      <c r="C76" t="s">
        <v>172</v>
      </c>
      <c r="D76">
        <v>8.4909668999999993E-2</v>
      </c>
      <c r="E76">
        <v>8.7456958960000009</v>
      </c>
      <c r="F76">
        <v>9.488655498</v>
      </c>
      <c r="G76">
        <v>1</v>
      </c>
      <c r="H76">
        <v>0</v>
      </c>
      <c r="I76">
        <v>4</v>
      </c>
      <c r="J76">
        <v>4</v>
      </c>
      <c r="K76">
        <v>8</v>
      </c>
      <c r="L76">
        <v>0</v>
      </c>
      <c r="M76">
        <v>8</v>
      </c>
      <c r="N76">
        <v>0</v>
      </c>
      <c r="O76">
        <v>0</v>
      </c>
      <c r="P76">
        <v>8</v>
      </c>
      <c r="Q76">
        <v>0</v>
      </c>
      <c r="R76">
        <v>0</v>
      </c>
      <c r="S76">
        <v>0</v>
      </c>
      <c r="T76">
        <v>0</v>
      </c>
      <c r="U76">
        <v>0</v>
      </c>
      <c r="V76">
        <v>51.319261062999999</v>
      </c>
      <c r="W76" t="s">
        <v>172</v>
      </c>
      <c r="X76">
        <v>8.4909668999999993E-2</v>
      </c>
      <c r="Y76">
        <v>8.7456958960000009</v>
      </c>
      <c r="Z76">
        <v>11.86081937</v>
      </c>
      <c r="AA76">
        <v>2.2288788080000002</v>
      </c>
      <c r="AB76">
        <v>11.377599999999999</v>
      </c>
      <c r="AC76">
        <v>11.946479999999999</v>
      </c>
      <c r="AD76">
        <v>12.543804</v>
      </c>
      <c r="AE76">
        <v>13.170994200000001</v>
      </c>
      <c r="AF76">
        <v>13.82954391</v>
      </c>
      <c r="AG76">
        <v>14.52102111</v>
      </c>
      <c r="AH76">
        <v>15.24707216</v>
      </c>
      <c r="AI76">
        <v>16.00942577</v>
      </c>
      <c r="AJ76">
        <v>16.809897060000001</v>
      </c>
      <c r="AK76">
        <v>17.65039191</v>
      </c>
      <c r="AL76">
        <v>18.532911510000002</v>
      </c>
      <c r="AM76">
        <v>19.45955708</v>
      </c>
      <c r="AN76">
        <v>20.432534929999999</v>
      </c>
      <c r="AO76">
        <v>21.454161679999999</v>
      </c>
      <c r="AP76">
        <v>245.90569906299999</v>
      </c>
    </row>
    <row r="77" spans="1:62" x14ac:dyDescent="0.25">
      <c r="A77" t="s">
        <v>173</v>
      </c>
      <c r="B77">
        <v>12.831</v>
      </c>
      <c r="C77" t="s">
        <v>173</v>
      </c>
      <c r="D77">
        <v>9.8184910000000004E-3</v>
      </c>
      <c r="E77">
        <v>1.0113046219999999</v>
      </c>
      <c r="F77">
        <v>1.097216422</v>
      </c>
      <c r="G77">
        <v>0</v>
      </c>
      <c r="H77">
        <v>0</v>
      </c>
      <c r="I77">
        <v>0</v>
      </c>
      <c r="J77">
        <v>0</v>
      </c>
      <c r="K77">
        <v>1</v>
      </c>
      <c r="L77">
        <v>0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5.1183395350000005</v>
      </c>
      <c r="W77" t="s">
        <v>173</v>
      </c>
      <c r="X77">
        <v>9.8184910000000004E-3</v>
      </c>
      <c r="Y77">
        <v>1.0113046219999999</v>
      </c>
      <c r="Z77">
        <v>1.371520528</v>
      </c>
      <c r="AA77">
        <v>0.25773540099999998</v>
      </c>
      <c r="AB77">
        <v>1.2830999999999999</v>
      </c>
      <c r="AC77">
        <v>1.3472550000000001</v>
      </c>
      <c r="AD77">
        <v>1.4146177499999999</v>
      </c>
      <c r="AE77">
        <v>1.4853486380000001</v>
      </c>
      <c r="AF77">
        <v>1.559616069</v>
      </c>
      <c r="AG77">
        <v>1.6375968729999999</v>
      </c>
      <c r="AH77">
        <v>1.719476716</v>
      </c>
      <c r="AI77">
        <v>1.8054505519999999</v>
      </c>
      <c r="AJ77">
        <v>1.89572308</v>
      </c>
      <c r="AK77">
        <v>1.9905092339999999</v>
      </c>
      <c r="AL77">
        <v>2.090034696</v>
      </c>
      <c r="AM77">
        <v>2.1945364299999999</v>
      </c>
      <c r="AN77">
        <v>2.3042632520000002</v>
      </c>
      <c r="AO77">
        <v>2.4194764150000001</v>
      </c>
      <c r="AP77">
        <v>27.797383746999998</v>
      </c>
    </row>
    <row r="78" spans="1:62" x14ac:dyDescent="0.25">
      <c r="A78" t="s">
        <v>174</v>
      </c>
      <c r="B78">
        <v>42.817</v>
      </c>
      <c r="C78" t="s">
        <v>174</v>
      </c>
      <c r="D78">
        <v>3.0557553000000001E-2</v>
      </c>
      <c r="E78">
        <v>3.1474279749999998</v>
      </c>
      <c r="F78">
        <v>3.4148065650000001</v>
      </c>
      <c r="G78">
        <v>0</v>
      </c>
      <c r="H78">
        <v>0</v>
      </c>
      <c r="I78">
        <v>2</v>
      </c>
      <c r="J78">
        <v>2</v>
      </c>
      <c r="K78">
        <v>3</v>
      </c>
      <c r="L78">
        <v>0</v>
      </c>
      <c r="M78">
        <v>3</v>
      </c>
      <c r="N78">
        <v>0</v>
      </c>
      <c r="O78">
        <v>0</v>
      </c>
      <c r="P78">
        <v>3</v>
      </c>
      <c r="Q78">
        <v>0</v>
      </c>
      <c r="R78">
        <v>0</v>
      </c>
      <c r="S78">
        <v>0</v>
      </c>
      <c r="T78">
        <v>0</v>
      </c>
      <c r="U78">
        <v>0</v>
      </c>
      <c r="V78">
        <v>19.592792093</v>
      </c>
      <c r="W78" t="s">
        <v>174</v>
      </c>
      <c r="X78">
        <v>3.0557553000000001E-2</v>
      </c>
      <c r="Y78">
        <v>3.1474279749999998</v>
      </c>
      <c r="Z78">
        <v>4.2685082059999999</v>
      </c>
      <c r="AA78">
        <v>0.80213577000000003</v>
      </c>
      <c r="AB78">
        <v>4.2816999999999998</v>
      </c>
      <c r="AC78">
        <v>4.4957849999999997</v>
      </c>
      <c r="AD78">
        <v>4.7205742500000003</v>
      </c>
      <c r="AE78">
        <v>4.9566029629999999</v>
      </c>
      <c r="AF78">
        <v>5.2044331110000002</v>
      </c>
      <c r="AG78">
        <v>5.4646547659999998</v>
      </c>
      <c r="AH78">
        <v>5.7378875039999997</v>
      </c>
      <c r="AI78">
        <v>6.0247818799999999</v>
      </c>
      <c r="AJ78">
        <v>6.3260209740000004</v>
      </c>
      <c r="AK78">
        <v>6.6423220220000001</v>
      </c>
      <c r="AL78">
        <v>6.9744381229999997</v>
      </c>
      <c r="AM78">
        <v>7.3231600300000004</v>
      </c>
      <c r="AN78">
        <v>7.689318031</v>
      </c>
      <c r="AO78">
        <v>8.0737839329999996</v>
      </c>
      <c r="AP78">
        <v>92.164092091000001</v>
      </c>
    </row>
    <row r="79" spans="1:62" x14ac:dyDescent="0.25">
      <c r="A79" t="s">
        <v>175</v>
      </c>
      <c r="B79">
        <v>11.85</v>
      </c>
      <c r="C79" t="s">
        <v>175</v>
      </c>
      <c r="D79">
        <v>9.5341869999999995E-3</v>
      </c>
      <c r="E79">
        <v>0.98202120999999998</v>
      </c>
      <c r="F79">
        <v>1.0654453420000001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  <c r="M79">
        <v>1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5.0570007390000002</v>
      </c>
      <c r="W79" t="s">
        <v>175</v>
      </c>
      <c r="X79">
        <v>9.5341869999999995E-3</v>
      </c>
      <c r="Y79">
        <v>0.98202120999999998</v>
      </c>
      <c r="Z79">
        <v>1.331806678</v>
      </c>
      <c r="AA79">
        <v>0.25027239600000001</v>
      </c>
      <c r="AB79">
        <v>1.1850000000000001</v>
      </c>
      <c r="AC79">
        <v>1.2442500000000001</v>
      </c>
      <c r="AD79">
        <v>1.3064625000000001</v>
      </c>
      <c r="AE79">
        <v>1.371785625</v>
      </c>
      <c r="AF79">
        <v>1.440374906</v>
      </c>
      <c r="AG79">
        <v>1.5123936520000001</v>
      </c>
      <c r="AH79">
        <v>1.588013334</v>
      </c>
      <c r="AI79">
        <v>1.667414001</v>
      </c>
      <c r="AJ79">
        <v>1.7507847009999999</v>
      </c>
      <c r="AK79">
        <v>1.8383239360000001</v>
      </c>
      <c r="AL79">
        <v>1.9302401330000001</v>
      </c>
      <c r="AM79">
        <v>2.0267521390000001</v>
      </c>
      <c r="AN79">
        <v>2.1280897460000001</v>
      </c>
      <c r="AO79">
        <v>2.234494234</v>
      </c>
      <c r="AP79">
        <v>25.798013378000004</v>
      </c>
    </row>
    <row r="80" spans="1:62" x14ac:dyDescent="0.25">
      <c r="A80" t="s">
        <v>176</v>
      </c>
      <c r="B80">
        <v>15.39</v>
      </c>
      <c r="C80" t="s">
        <v>176</v>
      </c>
      <c r="D80">
        <v>1.1516389E-2</v>
      </c>
      <c r="E80">
        <v>1.186188072</v>
      </c>
      <c r="F80">
        <v>1.2869564760000001</v>
      </c>
      <c r="G80">
        <v>0</v>
      </c>
      <c r="H80">
        <v>0</v>
      </c>
      <c r="I80">
        <v>1</v>
      </c>
      <c r="J80">
        <v>1</v>
      </c>
      <c r="K80">
        <v>1</v>
      </c>
      <c r="L80">
        <v>0</v>
      </c>
      <c r="M80">
        <v>1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7.4846609370000001</v>
      </c>
      <c r="W80" t="s">
        <v>176</v>
      </c>
      <c r="X80">
        <v>1.1516389E-2</v>
      </c>
      <c r="Y80">
        <v>1.186188072</v>
      </c>
      <c r="Z80">
        <v>1.608695596</v>
      </c>
      <c r="AA80">
        <v>0.30230521300000002</v>
      </c>
      <c r="AB80">
        <v>1.5389999999999999</v>
      </c>
      <c r="AC80">
        <v>1.61595</v>
      </c>
      <c r="AD80">
        <v>1.6967475000000001</v>
      </c>
      <c r="AE80">
        <v>1.7815848750000001</v>
      </c>
      <c r="AF80">
        <v>1.870664119</v>
      </c>
      <c r="AG80">
        <v>1.964197325</v>
      </c>
      <c r="AH80">
        <v>2.0624071910000001</v>
      </c>
      <c r="AI80">
        <v>2.1655275500000002</v>
      </c>
      <c r="AJ80">
        <v>2.273803928</v>
      </c>
      <c r="AK80">
        <v>2.3874941239999998</v>
      </c>
      <c r="AL80">
        <v>2.5068688309999998</v>
      </c>
      <c r="AM80">
        <v>2.6322122719999999</v>
      </c>
      <c r="AN80">
        <v>2.7638228859999998</v>
      </c>
      <c r="AO80">
        <v>2.9020140300000001</v>
      </c>
      <c r="AP80">
        <v>33.270999900999996</v>
      </c>
    </row>
    <row r="81" spans="1:62" x14ac:dyDescent="0.25">
      <c r="A81" t="s">
        <v>170</v>
      </c>
      <c r="B81">
        <v>692.15856602499991</v>
      </c>
      <c r="C81" t="s">
        <v>170</v>
      </c>
      <c r="D81">
        <v>20.969105273050005</v>
      </c>
      <c r="E81">
        <v>61.513843011399992</v>
      </c>
      <c r="F81">
        <v>90.891764137100026</v>
      </c>
      <c r="G81">
        <v>63.892000002000003</v>
      </c>
      <c r="H81">
        <v>8.2817260289999997</v>
      </c>
      <c r="I81">
        <v>11.419</v>
      </c>
      <c r="J81">
        <v>12.493999999</v>
      </c>
      <c r="K81">
        <v>20.257999997999999</v>
      </c>
      <c r="L81">
        <v>2.7389999999999999</v>
      </c>
      <c r="M81">
        <v>18.77</v>
      </c>
      <c r="N81">
        <v>4.3</v>
      </c>
      <c r="O81">
        <v>4.8</v>
      </c>
      <c r="P81">
        <v>18.2</v>
      </c>
      <c r="Q81">
        <v>3.6799999999999997</v>
      </c>
      <c r="R81">
        <v>0</v>
      </c>
      <c r="S81">
        <v>0</v>
      </c>
      <c r="T81">
        <v>0</v>
      </c>
      <c r="U81">
        <v>0</v>
      </c>
      <c r="V81">
        <v>342.20843844955004</v>
      </c>
      <c r="W81" t="s">
        <v>170</v>
      </c>
      <c r="X81">
        <v>20.969105273050005</v>
      </c>
      <c r="Y81">
        <v>61.797541611999989</v>
      </c>
      <c r="Z81">
        <v>95.880845511000047</v>
      </c>
      <c r="AA81">
        <v>71.054940328000029</v>
      </c>
      <c r="AB81">
        <v>103.26453083099999</v>
      </c>
      <c r="AC81">
        <v>114.26817758399997</v>
      </c>
      <c r="AD81">
        <v>126.80702121299998</v>
      </c>
      <c r="AE81">
        <v>145.18041775500004</v>
      </c>
      <c r="AF81">
        <v>153.83978118000002</v>
      </c>
      <c r="AG81">
        <v>157.93641278299998</v>
      </c>
      <c r="AH81">
        <v>158.15537595400002</v>
      </c>
      <c r="AI81">
        <v>159.63488729400001</v>
      </c>
      <c r="AJ81">
        <v>160.94732420100001</v>
      </c>
      <c r="AK81">
        <v>171.444232946</v>
      </c>
      <c r="AL81">
        <v>171.69433713799998</v>
      </c>
      <c r="AM81">
        <v>173.41854652799998</v>
      </c>
      <c r="AN81">
        <v>175.22896638999998</v>
      </c>
      <c r="AO81">
        <v>177.12990725299997</v>
      </c>
      <c r="AP81">
        <v>2398.6523517740493</v>
      </c>
      <c r="AQ81" t="s">
        <v>170</v>
      </c>
      <c r="AR81">
        <v>0.22</v>
      </c>
      <c r="AS81">
        <v>0</v>
      </c>
      <c r="AT81">
        <v>0</v>
      </c>
      <c r="AU81">
        <v>0.21</v>
      </c>
      <c r="AV81">
        <v>5.9399999999999995</v>
      </c>
      <c r="AW81">
        <v>0.21</v>
      </c>
      <c r="AX81">
        <v>7.2725</v>
      </c>
      <c r="AY81">
        <v>2.8839999999999999</v>
      </c>
      <c r="AZ81">
        <v>4.3479999999999999</v>
      </c>
      <c r="BA81">
        <v>3.51</v>
      </c>
      <c r="BB81">
        <v>5.5563799999999999</v>
      </c>
      <c r="BC81">
        <v>8.3573800000000009</v>
      </c>
      <c r="BD81">
        <v>6.3963799999999997</v>
      </c>
      <c r="BE81">
        <v>5.3014766651</v>
      </c>
      <c r="BF81">
        <v>4.9564766651000003</v>
      </c>
      <c r="BG81">
        <v>4.5914766651000001</v>
      </c>
      <c r="BH81">
        <v>3.8438800013999996</v>
      </c>
      <c r="BI81">
        <v>6.8044089999999997</v>
      </c>
      <c r="BJ81">
        <v>70.402358996699988</v>
      </c>
    </row>
    <row r="83" spans="1:62" x14ac:dyDescent="0.25">
      <c r="A83" t="s">
        <v>127</v>
      </c>
    </row>
    <row r="84" spans="1:62" x14ac:dyDescent="0.25">
      <c r="A84" t="s">
        <v>106</v>
      </c>
      <c r="B84" t="s">
        <v>1</v>
      </c>
      <c r="C84" t="s">
        <v>2</v>
      </c>
      <c r="D84" t="s">
        <v>121</v>
      </c>
      <c r="E84" t="s">
        <v>122</v>
      </c>
      <c r="F84" t="s">
        <v>123</v>
      </c>
    </row>
    <row r="85" spans="1:62" x14ac:dyDescent="0.25">
      <c r="A85" t="s">
        <v>117</v>
      </c>
      <c r="B85" t="s">
        <v>6</v>
      </c>
      <c r="C85" t="s">
        <v>12</v>
      </c>
      <c r="D85">
        <v>0</v>
      </c>
      <c r="E85">
        <v>20</v>
      </c>
      <c r="F85">
        <v>50000</v>
      </c>
    </row>
    <row r="86" spans="1:62" x14ac:dyDescent="0.25">
      <c r="A86" t="s">
        <v>117</v>
      </c>
      <c r="B86" t="s">
        <v>6</v>
      </c>
      <c r="C86" t="s">
        <v>9</v>
      </c>
      <c r="D86">
        <v>0</v>
      </c>
      <c r="E86">
        <v>20</v>
      </c>
      <c r="F86">
        <v>50000</v>
      </c>
    </row>
    <row r="87" spans="1:62" x14ac:dyDescent="0.25">
      <c r="A87" t="s">
        <v>117</v>
      </c>
      <c r="B87" t="s">
        <v>6</v>
      </c>
      <c r="C87" t="s">
        <v>10</v>
      </c>
      <c r="D87">
        <v>5.4</v>
      </c>
      <c r="E87">
        <v>20</v>
      </c>
      <c r="F87">
        <v>50000</v>
      </c>
    </row>
    <row r="88" spans="1:62" x14ac:dyDescent="0.25">
      <c r="A88" t="s">
        <v>117</v>
      </c>
      <c r="B88" t="s">
        <v>6</v>
      </c>
      <c r="C88" t="s">
        <v>11</v>
      </c>
      <c r="D88">
        <v>11.04</v>
      </c>
      <c r="E88">
        <v>20</v>
      </c>
      <c r="F88">
        <v>50000</v>
      </c>
    </row>
    <row r="89" spans="1:62" x14ac:dyDescent="0.25">
      <c r="A89" t="s">
        <v>117</v>
      </c>
      <c r="B89" t="s">
        <v>6</v>
      </c>
      <c r="C89" t="s">
        <v>8</v>
      </c>
      <c r="D89">
        <v>12.0336</v>
      </c>
      <c r="E89">
        <v>20</v>
      </c>
      <c r="F89">
        <v>50000</v>
      </c>
    </row>
    <row r="91" spans="1:62" x14ac:dyDescent="0.25">
      <c r="C91" t="s">
        <v>126</v>
      </c>
    </row>
    <row r="92" spans="1:62" x14ac:dyDescent="0.25">
      <c r="C92" t="s">
        <v>366</v>
      </c>
    </row>
    <row r="93" spans="1:62" x14ac:dyDescent="0.25">
      <c r="D93">
        <v>2024</v>
      </c>
      <c r="E93">
        <v>2025</v>
      </c>
      <c r="F93">
        <v>2026</v>
      </c>
      <c r="G93">
        <v>2027</v>
      </c>
      <c r="H93">
        <v>2028</v>
      </c>
      <c r="I93">
        <v>2029</v>
      </c>
      <c r="J93">
        <v>2030</v>
      </c>
      <c r="K93">
        <v>2031</v>
      </c>
      <c r="L93">
        <v>2032</v>
      </c>
      <c r="M93">
        <v>2033</v>
      </c>
      <c r="N93">
        <v>2034</v>
      </c>
      <c r="O93">
        <v>2035</v>
      </c>
      <c r="P93">
        <v>2036</v>
      </c>
      <c r="Q93">
        <v>2037</v>
      </c>
      <c r="R93">
        <v>2038</v>
      </c>
      <c r="S93">
        <v>2039</v>
      </c>
      <c r="T93">
        <v>2040</v>
      </c>
      <c r="U93">
        <v>2041</v>
      </c>
      <c r="V93" t="s">
        <v>170</v>
      </c>
    </row>
    <row r="94" spans="1:62" x14ac:dyDescent="0.25">
      <c r="C94" t="s">
        <v>112</v>
      </c>
      <c r="D94">
        <v>3873.4092000000001</v>
      </c>
      <c r="E94">
        <v>3950.8773839999999</v>
      </c>
      <c r="F94">
        <v>4029.8949320000002</v>
      </c>
      <c r="G94">
        <v>4110.4928300000001</v>
      </c>
      <c r="H94">
        <v>4192.702687</v>
      </c>
      <c r="I94">
        <v>4276.5567410000003</v>
      </c>
      <c r="J94">
        <v>4362.0878750000002</v>
      </c>
      <c r="K94">
        <v>4449.3296330000003</v>
      </c>
      <c r="L94">
        <v>4538.3162259999999</v>
      </c>
      <c r="M94">
        <v>4629.0825500000001</v>
      </c>
      <c r="N94">
        <v>4721.6642009999996</v>
      </c>
      <c r="O94">
        <v>4816.0974850000002</v>
      </c>
      <c r="P94">
        <v>4912.4194349999998</v>
      </c>
      <c r="Q94">
        <v>5010.6678240000001</v>
      </c>
      <c r="R94">
        <v>5110.8811800000003</v>
      </c>
      <c r="S94">
        <v>5213.0988040000002</v>
      </c>
      <c r="T94">
        <v>5317.36078</v>
      </c>
      <c r="U94">
        <v>5423.7079949999998</v>
      </c>
      <c r="V94">
        <v>82938.647762000008</v>
      </c>
    </row>
    <row r="95" spans="1:62" x14ac:dyDescent="0.25">
      <c r="C95" t="s">
        <v>115</v>
      </c>
      <c r="D95">
        <v>3873.4092000000001</v>
      </c>
      <c r="E95">
        <v>3950.8773839999999</v>
      </c>
      <c r="F95">
        <v>4029.8949320000002</v>
      </c>
      <c r="G95">
        <v>4110.4928300000001</v>
      </c>
      <c r="H95">
        <v>4192.702687</v>
      </c>
      <c r="I95">
        <v>4276.5567410000003</v>
      </c>
      <c r="J95">
        <v>4362.0878750000002</v>
      </c>
      <c r="K95">
        <v>4449.3296330000003</v>
      </c>
      <c r="L95">
        <v>4538.3162259999999</v>
      </c>
      <c r="M95">
        <v>4629.0825500000001</v>
      </c>
      <c r="N95">
        <v>4721.6642009999996</v>
      </c>
      <c r="O95">
        <v>4816.0974850000002</v>
      </c>
      <c r="P95">
        <v>4912.4194349999998</v>
      </c>
      <c r="Q95">
        <v>5010.6678240000001</v>
      </c>
      <c r="R95">
        <v>5110.8811800000003</v>
      </c>
      <c r="S95">
        <v>5213.0988040000002</v>
      </c>
      <c r="T95">
        <v>5317.36078</v>
      </c>
      <c r="U95">
        <v>5423.7079949999998</v>
      </c>
      <c r="V95">
        <v>82938.647762000008</v>
      </c>
    </row>
    <row r="96" spans="1:62" x14ac:dyDescent="0.25">
      <c r="C96" t="s">
        <v>116</v>
      </c>
      <c r="D96">
        <v>3873.4092000000001</v>
      </c>
      <c r="E96">
        <v>3950.8773839999999</v>
      </c>
      <c r="F96">
        <v>4029.8949320000002</v>
      </c>
      <c r="G96">
        <v>4110.4928300000001</v>
      </c>
      <c r="H96">
        <v>4192.702687</v>
      </c>
      <c r="I96">
        <v>4276.5567410000003</v>
      </c>
      <c r="J96">
        <v>4362.0878750000002</v>
      </c>
      <c r="K96">
        <v>4449.3296330000003</v>
      </c>
      <c r="L96">
        <v>4538.3162259999999</v>
      </c>
      <c r="M96">
        <v>4629.0825500000001</v>
      </c>
      <c r="N96">
        <v>4721.6642009999996</v>
      </c>
      <c r="O96">
        <v>4816.0974850000002</v>
      </c>
      <c r="P96">
        <v>4912.4194349999998</v>
      </c>
      <c r="Q96">
        <v>5010.6678240000001</v>
      </c>
      <c r="R96">
        <v>5110.8811800000003</v>
      </c>
      <c r="S96">
        <v>5213.0988040000002</v>
      </c>
      <c r="T96">
        <v>5317.36078</v>
      </c>
      <c r="U96">
        <v>5423.7079949999998</v>
      </c>
      <c r="V96">
        <v>82938.647762000008</v>
      </c>
    </row>
    <row r="97" spans="2:22" x14ac:dyDescent="0.25">
      <c r="C97" t="s">
        <v>117</v>
      </c>
      <c r="D97">
        <v>50000</v>
      </c>
      <c r="E97">
        <v>50000</v>
      </c>
      <c r="F97">
        <v>50000</v>
      </c>
      <c r="G97">
        <v>50000</v>
      </c>
      <c r="H97">
        <v>50000</v>
      </c>
      <c r="I97">
        <v>50000</v>
      </c>
      <c r="J97">
        <v>50000</v>
      </c>
      <c r="K97">
        <v>50000</v>
      </c>
      <c r="L97">
        <v>50000</v>
      </c>
      <c r="M97">
        <v>50000</v>
      </c>
      <c r="N97">
        <v>50000</v>
      </c>
      <c r="O97">
        <v>50000</v>
      </c>
      <c r="P97">
        <v>50000</v>
      </c>
      <c r="Q97">
        <v>50000</v>
      </c>
      <c r="R97">
        <v>50000</v>
      </c>
      <c r="S97">
        <v>50000</v>
      </c>
      <c r="T97">
        <v>50000</v>
      </c>
      <c r="U97">
        <v>50000</v>
      </c>
      <c r="V97">
        <v>900000</v>
      </c>
    </row>
    <row r="100" spans="2:22" x14ac:dyDescent="0.25">
      <c r="C100" t="s">
        <v>128</v>
      </c>
    </row>
    <row r="101" spans="2:22" x14ac:dyDescent="0.25">
      <c r="B101" t="s">
        <v>367</v>
      </c>
      <c r="C101" t="s">
        <v>168</v>
      </c>
    </row>
    <row r="102" spans="2:22" x14ac:dyDescent="0.25">
      <c r="B102" t="s">
        <v>73</v>
      </c>
      <c r="C102">
        <v>2023</v>
      </c>
      <c r="D102">
        <v>2024</v>
      </c>
      <c r="E102">
        <v>2025</v>
      </c>
      <c r="F102">
        <v>2026</v>
      </c>
      <c r="G102">
        <v>2027</v>
      </c>
      <c r="H102">
        <v>2028</v>
      </c>
      <c r="I102">
        <v>2029</v>
      </c>
      <c r="J102">
        <v>2030</v>
      </c>
      <c r="K102">
        <v>2031</v>
      </c>
      <c r="L102">
        <v>2032</v>
      </c>
      <c r="M102">
        <v>2033</v>
      </c>
      <c r="N102">
        <v>2034</v>
      </c>
      <c r="O102">
        <v>2035</v>
      </c>
      <c r="P102">
        <v>2036</v>
      </c>
      <c r="Q102">
        <v>2037</v>
      </c>
      <c r="R102">
        <v>2038</v>
      </c>
      <c r="S102">
        <v>2039</v>
      </c>
      <c r="T102">
        <v>2040</v>
      </c>
      <c r="U102">
        <v>2041</v>
      </c>
    </row>
    <row r="103" spans="2:22" x14ac:dyDescent="0.25">
      <c r="B103" t="s">
        <v>112</v>
      </c>
      <c r="C103">
        <v>2247.5151080000001</v>
      </c>
      <c r="D103">
        <v>2247.5151080000001</v>
      </c>
      <c r="E103">
        <v>2247.5151080000001</v>
      </c>
      <c r="F103">
        <v>2247.5151080000001</v>
      </c>
      <c r="G103">
        <v>2123.37887</v>
      </c>
      <c r="H103">
        <v>2017.3380729999992</v>
      </c>
      <c r="I103">
        <v>1929.21659</v>
      </c>
      <c r="J103">
        <v>1858.8382669999994</v>
      </c>
      <c r="K103">
        <v>1806.0269990000002</v>
      </c>
      <c r="L103">
        <v>1774.1586590000002</v>
      </c>
      <c r="M103">
        <v>1742.591338</v>
      </c>
      <c r="N103">
        <v>1711.4379179999999</v>
      </c>
      <c r="O103">
        <v>1680.8112399999995</v>
      </c>
      <c r="P103">
        <v>1650.8241889999997</v>
      </c>
      <c r="Q103">
        <v>1621.5896279999999</v>
      </c>
      <c r="R103">
        <v>1593.2204039999999</v>
      </c>
      <c r="S103">
        <v>1565.8293920000003</v>
      </c>
      <c r="T103">
        <v>1539.529456</v>
      </c>
      <c r="U103">
        <v>1514.4334630000001</v>
      </c>
    </row>
    <row r="104" spans="2:22" x14ac:dyDescent="0.25">
      <c r="B104">
        <v>2024</v>
      </c>
      <c r="C104">
        <v>2247.5151080000001</v>
      </c>
      <c r="D104">
        <v>2247.5151080000001</v>
      </c>
    </row>
    <row r="105" spans="2:22" x14ac:dyDescent="0.25">
      <c r="B105">
        <v>2025</v>
      </c>
      <c r="C105">
        <v>2247.5151080000001</v>
      </c>
      <c r="D105">
        <v>2247.5151080000001</v>
      </c>
      <c r="E105">
        <v>2247.5151080000001</v>
      </c>
    </row>
    <row r="106" spans="2:22" x14ac:dyDescent="0.25">
      <c r="B106">
        <v>2026</v>
      </c>
      <c r="C106">
        <v>2247.5151080000001</v>
      </c>
      <c r="D106">
        <v>2247.5151080000001</v>
      </c>
      <c r="E106">
        <v>2247.5151080000001</v>
      </c>
      <c r="F106">
        <v>2247.5151080000001</v>
      </c>
    </row>
    <row r="107" spans="2:22" x14ac:dyDescent="0.25">
      <c r="B107">
        <v>2027</v>
      </c>
      <c r="C107">
        <v>2247.5151080000001</v>
      </c>
      <c r="D107">
        <v>2247.5151080000001</v>
      </c>
      <c r="E107">
        <v>2247.5151080000001</v>
      </c>
      <c r="F107">
        <v>2247.5151080000001</v>
      </c>
      <c r="G107">
        <v>2123.37887</v>
      </c>
    </row>
    <row r="108" spans="2:22" x14ac:dyDescent="0.25">
      <c r="B108">
        <v>2028</v>
      </c>
      <c r="C108">
        <v>2247.5151080000001</v>
      </c>
      <c r="D108">
        <v>2247.5151080000001</v>
      </c>
      <c r="E108">
        <v>2247.5151080000001</v>
      </c>
      <c r="F108">
        <v>2247.5151080000001</v>
      </c>
      <c r="G108">
        <v>2123.37887</v>
      </c>
      <c r="H108">
        <v>2017.3380729999999</v>
      </c>
    </row>
    <row r="109" spans="2:22" x14ac:dyDescent="0.25">
      <c r="B109">
        <v>2029</v>
      </c>
      <c r="C109">
        <v>2247.5151080000001</v>
      </c>
      <c r="D109">
        <v>2247.5151080000001</v>
      </c>
      <c r="E109">
        <v>2247.5151080000001</v>
      </c>
      <c r="F109">
        <v>2247.5151080000001</v>
      </c>
      <c r="G109">
        <v>2123.37887</v>
      </c>
      <c r="H109">
        <v>2017.3380729999999</v>
      </c>
      <c r="I109">
        <v>1929.21659</v>
      </c>
    </row>
    <row r="110" spans="2:22" x14ac:dyDescent="0.25">
      <c r="B110">
        <v>2030</v>
      </c>
      <c r="C110">
        <v>2247.5151080000001</v>
      </c>
      <c r="D110">
        <v>2247.5151080000001</v>
      </c>
      <c r="E110">
        <v>2247.5151080000001</v>
      </c>
      <c r="F110">
        <v>2247.5151080000001</v>
      </c>
      <c r="G110">
        <v>2123.37887</v>
      </c>
      <c r="H110">
        <v>2017.3380729999999</v>
      </c>
      <c r="I110">
        <v>1929.21659</v>
      </c>
      <c r="J110">
        <v>1858.8382670000001</v>
      </c>
    </row>
    <row r="111" spans="2:22" x14ac:dyDescent="0.25">
      <c r="B111">
        <v>2031</v>
      </c>
      <c r="C111">
        <v>2247.5151080000001</v>
      </c>
      <c r="D111">
        <v>2247.5151080000001</v>
      </c>
      <c r="E111">
        <v>2247.5151080000001</v>
      </c>
      <c r="F111">
        <v>2247.5151080000001</v>
      </c>
      <c r="G111">
        <v>2123.37887</v>
      </c>
      <c r="H111">
        <v>2017.3380729999999</v>
      </c>
      <c r="I111">
        <v>1929.21659</v>
      </c>
      <c r="J111">
        <v>1858.8382670000001</v>
      </c>
      <c r="K111">
        <v>1806.0269989999999</v>
      </c>
    </row>
    <row r="112" spans="2:22" x14ac:dyDescent="0.25">
      <c r="B112">
        <v>2032</v>
      </c>
      <c r="C112">
        <v>2247.5151080000001</v>
      </c>
      <c r="D112">
        <v>2247.5151080000001</v>
      </c>
      <c r="E112">
        <v>2247.5151080000001</v>
      </c>
      <c r="F112">
        <v>2247.5151080000001</v>
      </c>
      <c r="G112">
        <v>2123.37887</v>
      </c>
      <c r="H112">
        <v>2017.3380729999999</v>
      </c>
      <c r="I112">
        <v>1929.21659</v>
      </c>
      <c r="J112">
        <v>1858.8382670000001</v>
      </c>
      <c r="K112">
        <v>1806.0269989999999</v>
      </c>
      <c r="L112">
        <v>1774.1586589999999</v>
      </c>
    </row>
    <row r="113" spans="2:21" x14ac:dyDescent="0.25">
      <c r="B113">
        <v>2033</v>
      </c>
      <c r="C113">
        <v>2247.5151080000001</v>
      </c>
      <c r="D113">
        <v>2247.5151080000001</v>
      </c>
      <c r="E113">
        <v>2247.5151080000001</v>
      </c>
      <c r="F113">
        <v>2247.5151080000001</v>
      </c>
      <c r="G113">
        <v>2123.37887</v>
      </c>
      <c r="H113">
        <v>2017.3380729999999</v>
      </c>
      <c r="I113">
        <v>1929.21659</v>
      </c>
      <c r="J113">
        <v>1858.8382670000001</v>
      </c>
      <c r="K113">
        <v>1806.0269989999999</v>
      </c>
      <c r="L113">
        <v>1774.1586589999999</v>
      </c>
      <c r="M113">
        <v>1742.591338</v>
      </c>
    </row>
    <row r="114" spans="2:21" x14ac:dyDescent="0.25">
      <c r="B114">
        <v>2034</v>
      </c>
      <c r="C114">
        <v>2247.5151080000001</v>
      </c>
      <c r="D114">
        <v>2247.5151080000001</v>
      </c>
      <c r="E114">
        <v>2247.5151080000001</v>
      </c>
      <c r="F114">
        <v>2247.5151080000001</v>
      </c>
      <c r="G114">
        <v>2123.37887</v>
      </c>
      <c r="H114">
        <v>2017.3380729999999</v>
      </c>
      <c r="I114">
        <v>1929.21659</v>
      </c>
      <c r="J114">
        <v>1858.8382670000001</v>
      </c>
      <c r="K114">
        <v>1806.0269989999999</v>
      </c>
      <c r="L114">
        <v>1774.1586589999999</v>
      </c>
      <c r="M114">
        <v>1742.591338</v>
      </c>
      <c r="N114">
        <v>1711.4379180000001</v>
      </c>
    </row>
    <row r="115" spans="2:21" x14ac:dyDescent="0.25">
      <c r="B115">
        <v>2035</v>
      </c>
      <c r="C115">
        <v>2247.5151080000001</v>
      </c>
      <c r="D115">
        <v>2247.5151080000001</v>
      </c>
      <c r="E115">
        <v>2247.5151080000001</v>
      </c>
      <c r="F115">
        <v>2247.5151080000001</v>
      </c>
      <c r="G115">
        <v>2123.37887</v>
      </c>
      <c r="H115">
        <v>2017.3380729999999</v>
      </c>
      <c r="I115">
        <v>1929.21659</v>
      </c>
      <c r="J115">
        <v>1858.8382670000001</v>
      </c>
      <c r="K115">
        <v>1806.0269989999999</v>
      </c>
      <c r="L115">
        <v>1774.1586589999999</v>
      </c>
      <c r="M115">
        <v>1742.591338</v>
      </c>
      <c r="N115">
        <v>1711.4379180000001</v>
      </c>
      <c r="O115">
        <v>1680.81124</v>
      </c>
    </row>
    <row r="116" spans="2:21" x14ac:dyDescent="0.25">
      <c r="B116">
        <v>2036</v>
      </c>
      <c r="C116">
        <v>2247.5151080000001</v>
      </c>
      <c r="D116">
        <v>2247.5151080000001</v>
      </c>
      <c r="E116">
        <v>2247.5151080000001</v>
      </c>
      <c r="F116">
        <v>2247.5151080000001</v>
      </c>
      <c r="G116">
        <v>2123.37887</v>
      </c>
      <c r="H116">
        <v>2017.3380729999999</v>
      </c>
      <c r="I116">
        <v>1929.21659</v>
      </c>
      <c r="J116">
        <v>1858.8382670000001</v>
      </c>
      <c r="K116">
        <v>1806.0269989999999</v>
      </c>
      <c r="L116">
        <v>1774.1586589999999</v>
      </c>
      <c r="M116">
        <v>1742.591338</v>
      </c>
      <c r="N116">
        <v>1711.4379180000001</v>
      </c>
      <c r="O116">
        <v>1680.81124</v>
      </c>
      <c r="P116">
        <v>1650.8241889999999</v>
      </c>
    </row>
    <row r="117" spans="2:21" x14ac:dyDescent="0.25">
      <c r="B117">
        <v>2037</v>
      </c>
      <c r="C117">
        <v>2247.5151080000001</v>
      </c>
      <c r="D117">
        <v>2247.5151080000001</v>
      </c>
      <c r="E117">
        <v>2247.5151080000001</v>
      </c>
      <c r="F117">
        <v>2247.5151080000001</v>
      </c>
      <c r="G117">
        <v>2123.37887</v>
      </c>
      <c r="H117">
        <v>2017.3380729999999</v>
      </c>
      <c r="I117">
        <v>1929.21659</v>
      </c>
      <c r="J117">
        <v>1858.8382670000001</v>
      </c>
      <c r="K117">
        <v>1806.0269989999999</v>
      </c>
      <c r="L117">
        <v>1774.1586589999999</v>
      </c>
      <c r="M117">
        <v>1742.591338</v>
      </c>
      <c r="N117">
        <v>1711.4379180000001</v>
      </c>
      <c r="O117">
        <v>1680.81124</v>
      </c>
      <c r="P117">
        <v>1650.8241889999999</v>
      </c>
      <c r="Q117">
        <v>1621.5896279999999</v>
      </c>
    </row>
    <row r="118" spans="2:21" x14ac:dyDescent="0.25">
      <c r="B118">
        <v>2038</v>
      </c>
      <c r="C118">
        <v>2247.5151080000001</v>
      </c>
      <c r="D118">
        <v>2247.5151080000001</v>
      </c>
      <c r="E118">
        <v>2247.5151080000001</v>
      </c>
      <c r="F118">
        <v>2247.5151080000001</v>
      </c>
      <c r="G118">
        <v>2123.37887</v>
      </c>
      <c r="H118">
        <v>2017.3380729999999</v>
      </c>
      <c r="I118">
        <v>1929.21659</v>
      </c>
      <c r="J118">
        <v>1858.8382670000001</v>
      </c>
      <c r="K118">
        <v>1806.0269989999999</v>
      </c>
      <c r="L118">
        <v>1774.1586589999999</v>
      </c>
      <c r="M118">
        <v>1742.591338</v>
      </c>
      <c r="N118">
        <v>1711.4379180000001</v>
      </c>
      <c r="O118">
        <v>1680.81124</v>
      </c>
      <c r="P118">
        <v>1650.8241889999999</v>
      </c>
      <c r="Q118">
        <v>1621.5896279999999</v>
      </c>
      <c r="R118">
        <v>1593.2204039999999</v>
      </c>
    </row>
    <row r="119" spans="2:21" x14ac:dyDescent="0.25">
      <c r="B119">
        <v>2039</v>
      </c>
      <c r="C119">
        <v>2247.5151080000001</v>
      </c>
      <c r="D119">
        <v>2247.5151080000001</v>
      </c>
      <c r="E119">
        <v>2247.5151080000001</v>
      </c>
      <c r="F119">
        <v>2247.5151080000001</v>
      </c>
      <c r="G119">
        <v>2123.37887</v>
      </c>
      <c r="H119">
        <v>2017.3380729999999</v>
      </c>
      <c r="I119">
        <v>1929.21659</v>
      </c>
      <c r="J119">
        <v>1858.8382670000001</v>
      </c>
      <c r="K119">
        <v>1806.0269989999999</v>
      </c>
      <c r="L119">
        <v>1774.1586589999999</v>
      </c>
      <c r="M119">
        <v>1742.591338</v>
      </c>
      <c r="N119">
        <v>1711.4379180000001</v>
      </c>
      <c r="O119">
        <v>1680.81124</v>
      </c>
      <c r="P119">
        <v>1650.8241889999999</v>
      </c>
      <c r="Q119">
        <v>1621.5896279999999</v>
      </c>
      <c r="R119">
        <v>1593.2204039999999</v>
      </c>
      <c r="S119">
        <v>1565.8293920000001</v>
      </c>
    </row>
    <row r="120" spans="2:21" x14ac:dyDescent="0.25">
      <c r="B120">
        <v>2040</v>
      </c>
      <c r="C120">
        <v>2247.5151080000001</v>
      </c>
      <c r="D120">
        <v>2247.5151080000001</v>
      </c>
      <c r="E120">
        <v>2247.5151080000001</v>
      </c>
      <c r="F120">
        <v>2247.5151080000001</v>
      </c>
      <c r="G120">
        <v>2123.37887</v>
      </c>
      <c r="H120">
        <v>2017.3380729999999</v>
      </c>
      <c r="I120">
        <v>1929.21659</v>
      </c>
      <c r="J120">
        <v>1858.8382670000001</v>
      </c>
      <c r="K120">
        <v>1806.0269989999999</v>
      </c>
      <c r="L120">
        <v>1774.1586589999999</v>
      </c>
      <c r="M120">
        <v>1742.591338</v>
      </c>
      <c r="N120">
        <v>1711.4379180000001</v>
      </c>
      <c r="O120">
        <v>1680.81124</v>
      </c>
      <c r="P120">
        <v>1650.8241889999999</v>
      </c>
      <c r="Q120">
        <v>1621.5896279999999</v>
      </c>
      <c r="R120">
        <v>1593.2204039999999</v>
      </c>
      <c r="S120">
        <v>1565.8293920000001</v>
      </c>
      <c r="T120">
        <v>1539.529456</v>
      </c>
    </row>
    <row r="121" spans="2:21" x14ac:dyDescent="0.25">
      <c r="B121">
        <v>2041</v>
      </c>
      <c r="C121">
        <v>2247.5151080000001</v>
      </c>
      <c r="D121">
        <v>2247.5151080000001</v>
      </c>
      <c r="E121">
        <v>2247.5151080000001</v>
      </c>
      <c r="F121">
        <v>2247.5151080000001</v>
      </c>
      <c r="G121">
        <v>2123.37887</v>
      </c>
      <c r="H121">
        <v>2017.3380729999999</v>
      </c>
      <c r="I121">
        <v>1929.21659</v>
      </c>
      <c r="J121">
        <v>1858.8382670000001</v>
      </c>
      <c r="K121">
        <v>1806.0269989999999</v>
      </c>
      <c r="L121">
        <v>1774.1586589999999</v>
      </c>
      <c r="M121">
        <v>1742.591338</v>
      </c>
      <c r="N121">
        <v>1711.4379180000001</v>
      </c>
      <c r="O121">
        <v>1680.81124</v>
      </c>
      <c r="P121">
        <v>1650.8241889999999</v>
      </c>
      <c r="Q121">
        <v>1621.5896279999999</v>
      </c>
      <c r="R121">
        <v>1593.2204039999999</v>
      </c>
      <c r="S121">
        <v>1565.8293920000001</v>
      </c>
      <c r="T121">
        <v>1539.529456</v>
      </c>
      <c r="U121">
        <v>1514.4334630000001</v>
      </c>
    </row>
    <row r="122" spans="2:21" x14ac:dyDescent="0.25">
      <c r="B122" t="s">
        <v>115</v>
      </c>
      <c r="C122">
        <v>1912.3593460000002</v>
      </c>
      <c r="D122">
        <v>1912.3593460000002</v>
      </c>
      <c r="E122">
        <v>1912.3593460000004</v>
      </c>
      <c r="F122">
        <v>1912.3593460000004</v>
      </c>
      <c r="G122">
        <v>1806.7346529999998</v>
      </c>
      <c r="H122">
        <v>1716.5069570000003</v>
      </c>
      <c r="I122">
        <v>1641.5263970000003</v>
      </c>
      <c r="J122">
        <v>1581.6430870000002</v>
      </c>
      <c r="K122">
        <v>1536.7071830000002</v>
      </c>
      <c r="L122">
        <v>1509.5911400000002</v>
      </c>
      <c r="M122">
        <v>1482.7312260000001</v>
      </c>
      <c r="N122">
        <v>1456.2234910000002</v>
      </c>
      <c r="O122">
        <v>1430.1639500000001</v>
      </c>
      <c r="P122">
        <v>1404.6486520000001</v>
      </c>
      <c r="Q122">
        <v>1379.773631</v>
      </c>
      <c r="R122">
        <v>1355.6349049999999</v>
      </c>
      <c r="S122">
        <v>1332.328518</v>
      </c>
      <c r="T122">
        <v>1309.9505019999999</v>
      </c>
      <c r="U122">
        <v>1288.596894</v>
      </c>
    </row>
    <row r="123" spans="2:21" x14ac:dyDescent="0.25">
      <c r="B123">
        <v>2024</v>
      </c>
      <c r="C123">
        <v>1912.359346</v>
      </c>
      <c r="D123">
        <v>1912.359346</v>
      </c>
    </row>
    <row r="124" spans="2:21" x14ac:dyDescent="0.25">
      <c r="B124">
        <v>2025</v>
      </c>
      <c r="C124">
        <v>1912.359346</v>
      </c>
      <c r="D124">
        <v>1912.359346</v>
      </c>
      <c r="E124">
        <v>1912.359346</v>
      </c>
    </row>
    <row r="125" spans="2:21" x14ac:dyDescent="0.25">
      <c r="B125">
        <v>2026</v>
      </c>
      <c r="C125">
        <v>1912.359346</v>
      </c>
      <c r="D125">
        <v>1912.359346</v>
      </c>
      <c r="E125">
        <v>1912.359346</v>
      </c>
      <c r="F125">
        <v>1912.359346</v>
      </c>
    </row>
    <row r="126" spans="2:21" x14ac:dyDescent="0.25">
      <c r="B126">
        <v>2027</v>
      </c>
      <c r="C126">
        <v>1912.359346</v>
      </c>
      <c r="D126">
        <v>1912.359346</v>
      </c>
      <c r="E126">
        <v>1912.359346</v>
      </c>
      <c r="F126">
        <v>1912.359346</v>
      </c>
      <c r="G126">
        <v>1806.734653</v>
      </c>
    </row>
    <row r="127" spans="2:21" x14ac:dyDescent="0.25">
      <c r="B127">
        <v>2028</v>
      </c>
      <c r="C127">
        <v>1912.359346</v>
      </c>
      <c r="D127">
        <v>1912.359346</v>
      </c>
      <c r="E127">
        <v>1912.359346</v>
      </c>
      <c r="F127">
        <v>1912.359346</v>
      </c>
      <c r="G127">
        <v>1806.734653</v>
      </c>
      <c r="H127">
        <v>1716.5069570000001</v>
      </c>
    </row>
    <row r="128" spans="2:21" x14ac:dyDescent="0.25">
      <c r="B128">
        <v>2029</v>
      </c>
      <c r="C128">
        <v>1912.359346</v>
      </c>
      <c r="D128">
        <v>1912.359346</v>
      </c>
      <c r="E128">
        <v>1912.359346</v>
      </c>
      <c r="F128">
        <v>1912.359346</v>
      </c>
      <c r="G128">
        <v>1806.734653</v>
      </c>
      <c r="H128">
        <v>1716.5069570000001</v>
      </c>
      <c r="I128">
        <v>1641.5263970000001</v>
      </c>
    </row>
    <row r="129" spans="2:21" x14ac:dyDescent="0.25">
      <c r="B129">
        <v>2030</v>
      </c>
      <c r="C129">
        <v>1912.359346</v>
      </c>
      <c r="D129">
        <v>1912.359346</v>
      </c>
      <c r="E129">
        <v>1912.359346</v>
      </c>
      <c r="F129">
        <v>1912.359346</v>
      </c>
      <c r="G129">
        <v>1806.734653</v>
      </c>
      <c r="H129">
        <v>1716.5069570000001</v>
      </c>
      <c r="I129">
        <v>1641.5263970000001</v>
      </c>
      <c r="J129">
        <v>1581.6430869999999</v>
      </c>
    </row>
    <row r="130" spans="2:21" x14ac:dyDescent="0.25">
      <c r="B130">
        <v>2031</v>
      </c>
      <c r="C130">
        <v>1912.359346</v>
      </c>
      <c r="D130">
        <v>1912.359346</v>
      </c>
      <c r="E130">
        <v>1912.359346</v>
      </c>
      <c r="F130">
        <v>1912.359346</v>
      </c>
      <c r="G130">
        <v>1806.734653</v>
      </c>
      <c r="H130">
        <v>1716.5069570000001</v>
      </c>
      <c r="I130">
        <v>1641.5263970000001</v>
      </c>
      <c r="J130">
        <v>1581.6430869999999</v>
      </c>
      <c r="K130">
        <v>1536.707183</v>
      </c>
    </row>
    <row r="131" spans="2:21" x14ac:dyDescent="0.25">
      <c r="B131">
        <v>2032</v>
      </c>
      <c r="C131">
        <v>1912.359346</v>
      </c>
      <c r="D131">
        <v>1912.359346</v>
      </c>
      <c r="E131">
        <v>1912.359346</v>
      </c>
      <c r="F131">
        <v>1912.359346</v>
      </c>
      <c r="G131">
        <v>1806.734653</v>
      </c>
      <c r="H131">
        <v>1716.5069570000001</v>
      </c>
      <c r="I131">
        <v>1641.5263970000001</v>
      </c>
      <c r="J131">
        <v>1581.6430869999999</v>
      </c>
      <c r="K131">
        <v>1536.707183</v>
      </c>
      <c r="L131">
        <v>1509.59114</v>
      </c>
    </row>
    <row r="132" spans="2:21" x14ac:dyDescent="0.25">
      <c r="B132">
        <v>2033</v>
      </c>
      <c r="C132">
        <v>1912.359346</v>
      </c>
      <c r="D132">
        <v>1912.359346</v>
      </c>
      <c r="E132">
        <v>1912.359346</v>
      </c>
      <c r="F132">
        <v>1912.359346</v>
      </c>
      <c r="G132">
        <v>1806.734653</v>
      </c>
      <c r="H132">
        <v>1716.5069570000001</v>
      </c>
      <c r="I132">
        <v>1641.5263970000001</v>
      </c>
      <c r="J132">
        <v>1581.6430869999999</v>
      </c>
      <c r="K132">
        <v>1536.707183</v>
      </c>
      <c r="L132">
        <v>1509.59114</v>
      </c>
      <c r="M132">
        <v>1482.7312260000001</v>
      </c>
    </row>
    <row r="133" spans="2:21" x14ac:dyDescent="0.25">
      <c r="B133">
        <v>2034</v>
      </c>
      <c r="C133">
        <v>1912.359346</v>
      </c>
      <c r="D133">
        <v>1912.359346</v>
      </c>
      <c r="E133">
        <v>1912.359346</v>
      </c>
      <c r="F133">
        <v>1912.359346</v>
      </c>
      <c r="G133">
        <v>1806.734653</v>
      </c>
      <c r="H133">
        <v>1716.5069570000001</v>
      </c>
      <c r="I133">
        <v>1641.5263970000001</v>
      </c>
      <c r="J133">
        <v>1581.6430869999999</v>
      </c>
      <c r="K133">
        <v>1536.707183</v>
      </c>
      <c r="L133">
        <v>1509.59114</v>
      </c>
      <c r="M133">
        <v>1482.7312260000001</v>
      </c>
      <c r="N133">
        <v>1456.223491</v>
      </c>
    </row>
    <row r="134" spans="2:21" x14ac:dyDescent="0.25">
      <c r="B134">
        <v>2035</v>
      </c>
      <c r="C134">
        <v>1912.359346</v>
      </c>
      <c r="D134">
        <v>1912.359346</v>
      </c>
      <c r="E134">
        <v>1912.359346</v>
      </c>
      <c r="F134">
        <v>1912.359346</v>
      </c>
      <c r="G134">
        <v>1806.734653</v>
      </c>
      <c r="H134">
        <v>1716.5069570000001</v>
      </c>
      <c r="I134">
        <v>1641.5263970000001</v>
      </c>
      <c r="J134">
        <v>1581.6430869999999</v>
      </c>
      <c r="K134">
        <v>1536.707183</v>
      </c>
      <c r="L134">
        <v>1509.59114</v>
      </c>
      <c r="M134">
        <v>1482.7312260000001</v>
      </c>
      <c r="N134">
        <v>1456.223491</v>
      </c>
      <c r="O134">
        <v>1430.1639500000001</v>
      </c>
    </row>
    <row r="135" spans="2:21" x14ac:dyDescent="0.25">
      <c r="B135">
        <v>2036</v>
      </c>
      <c r="C135">
        <v>1912.359346</v>
      </c>
      <c r="D135">
        <v>1912.359346</v>
      </c>
      <c r="E135">
        <v>1912.359346</v>
      </c>
      <c r="F135">
        <v>1912.359346</v>
      </c>
      <c r="G135">
        <v>1806.734653</v>
      </c>
      <c r="H135">
        <v>1716.5069570000001</v>
      </c>
      <c r="I135">
        <v>1641.5263970000001</v>
      </c>
      <c r="J135">
        <v>1581.6430869999999</v>
      </c>
      <c r="K135">
        <v>1536.707183</v>
      </c>
      <c r="L135">
        <v>1509.59114</v>
      </c>
      <c r="M135">
        <v>1482.7312260000001</v>
      </c>
      <c r="N135">
        <v>1456.223491</v>
      </c>
      <c r="O135">
        <v>1430.1639500000001</v>
      </c>
      <c r="P135">
        <v>1404.6486520000001</v>
      </c>
    </row>
    <row r="136" spans="2:21" x14ac:dyDescent="0.25">
      <c r="B136">
        <v>2037</v>
      </c>
      <c r="C136">
        <v>1912.359346</v>
      </c>
      <c r="D136">
        <v>1912.359346</v>
      </c>
      <c r="E136">
        <v>1912.359346</v>
      </c>
      <c r="F136">
        <v>1912.359346</v>
      </c>
      <c r="G136">
        <v>1806.734653</v>
      </c>
      <c r="H136">
        <v>1716.5069570000001</v>
      </c>
      <c r="I136">
        <v>1641.5263970000001</v>
      </c>
      <c r="J136">
        <v>1581.6430869999999</v>
      </c>
      <c r="K136">
        <v>1536.707183</v>
      </c>
      <c r="L136">
        <v>1509.59114</v>
      </c>
      <c r="M136">
        <v>1482.7312260000001</v>
      </c>
      <c r="N136">
        <v>1456.223491</v>
      </c>
      <c r="O136">
        <v>1430.1639500000001</v>
      </c>
      <c r="P136">
        <v>1404.6486520000001</v>
      </c>
      <c r="Q136">
        <v>1379.773631</v>
      </c>
    </row>
    <row r="137" spans="2:21" x14ac:dyDescent="0.25">
      <c r="B137">
        <v>2038</v>
      </c>
      <c r="C137">
        <v>1912.359346</v>
      </c>
      <c r="D137">
        <v>1912.359346</v>
      </c>
      <c r="E137">
        <v>1912.359346</v>
      </c>
      <c r="F137">
        <v>1912.359346</v>
      </c>
      <c r="G137">
        <v>1806.734653</v>
      </c>
      <c r="H137">
        <v>1716.5069570000001</v>
      </c>
      <c r="I137">
        <v>1641.5263970000001</v>
      </c>
      <c r="J137">
        <v>1581.6430869999999</v>
      </c>
      <c r="K137">
        <v>1536.707183</v>
      </c>
      <c r="L137">
        <v>1509.59114</v>
      </c>
      <c r="M137">
        <v>1482.7312260000001</v>
      </c>
      <c r="N137">
        <v>1456.223491</v>
      </c>
      <c r="O137">
        <v>1430.1639500000001</v>
      </c>
      <c r="P137">
        <v>1404.6486520000001</v>
      </c>
      <c r="Q137">
        <v>1379.773631</v>
      </c>
      <c r="R137">
        <v>1355.6349049999999</v>
      </c>
    </row>
    <row r="138" spans="2:21" x14ac:dyDescent="0.25">
      <c r="B138">
        <v>2039</v>
      </c>
      <c r="C138">
        <v>1912.359346</v>
      </c>
      <c r="D138">
        <v>1912.359346</v>
      </c>
      <c r="E138">
        <v>1912.359346</v>
      </c>
      <c r="F138">
        <v>1912.359346</v>
      </c>
      <c r="G138">
        <v>1806.734653</v>
      </c>
      <c r="H138">
        <v>1716.5069570000001</v>
      </c>
      <c r="I138">
        <v>1641.5263970000001</v>
      </c>
      <c r="J138">
        <v>1581.6430869999999</v>
      </c>
      <c r="K138">
        <v>1536.707183</v>
      </c>
      <c r="L138">
        <v>1509.59114</v>
      </c>
      <c r="M138">
        <v>1482.7312260000001</v>
      </c>
      <c r="N138">
        <v>1456.223491</v>
      </c>
      <c r="O138">
        <v>1430.1639500000001</v>
      </c>
      <c r="P138">
        <v>1404.6486520000001</v>
      </c>
      <c r="Q138">
        <v>1379.773631</v>
      </c>
      <c r="R138">
        <v>1355.6349049999999</v>
      </c>
      <c r="S138">
        <v>1332.328518</v>
      </c>
    </row>
    <row r="139" spans="2:21" x14ac:dyDescent="0.25">
      <c r="B139">
        <v>2040</v>
      </c>
      <c r="C139">
        <v>1912.359346</v>
      </c>
      <c r="D139">
        <v>1912.359346</v>
      </c>
      <c r="E139">
        <v>1912.359346</v>
      </c>
      <c r="F139">
        <v>1912.359346</v>
      </c>
      <c r="G139">
        <v>1806.734653</v>
      </c>
      <c r="H139">
        <v>1716.5069570000001</v>
      </c>
      <c r="I139">
        <v>1641.5263970000001</v>
      </c>
      <c r="J139">
        <v>1581.6430869999999</v>
      </c>
      <c r="K139">
        <v>1536.707183</v>
      </c>
      <c r="L139">
        <v>1509.59114</v>
      </c>
      <c r="M139">
        <v>1482.7312260000001</v>
      </c>
      <c r="N139">
        <v>1456.223491</v>
      </c>
      <c r="O139">
        <v>1430.1639500000001</v>
      </c>
      <c r="P139">
        <v>1404.6486520000001</v>
      </c>
      <c r="Q139">
        <v>1379.773631</v>
      </c>
      <c r="R139">
        <v>1355.6349049999999</v>
      </c>
      <c r="S139">
        <v>1332.328518</v>
      </c>
      <c r="T139">
        <v>1309.9505019999999</v>
      </c>
    </row>
    <row r="140" spans="2:21" x14ac:dyDescent="0.25">
      <c r="B140">
        <v>2041</v>
      </c>
      <c r="C140">
        <v>1912.359346</v>
      </c>
      <c r="D140">
        <v>1912.359346</v>
      </c>
      <c r="E140">
        <v>1912.359346</v>
      </c>
      <c r="F140">
        <v>1912.359346</v>
      </c>
      <c r="G140">
        <v>1806.734653</v>
      </c>
      <c r="H140">
        <v>1716.5069570000001</v>
      </c>
      <c r="I140">
        <v>1641.5263970000001</v>
      </c>
      <c r="J140">
        <v>1581.6430869999999</v>
      </c>
      <c r="K140">
        <v>1536.707183</v>
      </c>
      <c r="L140">
        <v>1509.59114</v>
      </c>
      <c r="M140">
        <v>1482.7312260000001</v>
      </c>
      <c r="N140">
        <v>1456.223491</v>
      </c>
      <c r="O140">
        <v>1430.1639500000001</v>
      </c>
      <c r="P140">
        <v>1404.6486520000001</v>
      </c>
      <c r="Q140">
        <v>1379.773631</v>
      </c>
      <c r="R140">
        <v>1355.6349049999999</v>
      </c>
      <c r="S140">
        <v>1332.328518</v>
      </c>
      <c r="T140">
        <v>1309.9505019999999</v>
      </c>
      <c r="U140">
        <v>1288.596894</v>
      </c>
    </row>
    <row r="141" spans="2:21" x14ac:dyDescent="0.25">
      <c r="B141" t="s">
        <v>116</v>
      </c>
      <c r="C141">
        <v>1800.6407590000006</v>
      </c>
      <c r="D141">
        <v>1800.6407590000006</v>
      </c>
      <c r="E141">
        <v>1800.6407590000003</v>
      </c>
      <c r="F141">
        <v>1800.6407590000003</v>
      </c>
      <c r="G141">
        <v>1701.1865800000005</v>
      </c>
      <c r="H141">
        <v>1616.2299180000005</v>
      </c>
      <c r="I141">
        <v>1545.6296660000005</v>
      </c>
      <c r="J141">
        <v>1489.2446940000002</v>
      </c>
      <c r="K141">
        <v>1446.9339120000002</v>
      </c>
      <c r="L141">
        <v>1421.401967</v>
      </c>
      <c r="M141">
        <v>1396.1111889999997</v>
      </c>
      <c r="N141">
        <v>1371.152016</v>
      </c>
      <c r="O141">
        <v>1346.6148530000003</v>
      </c>
      <c r="P141">
        <v>1322.59014</v>
      </c>
      <c r="Q141">
        <v>1299.168298</v>
      </c>
      <c r="R141">
        <v>1276.4397389999999</v>
      </c>
      <c r="S141">
        <v>1254.494893</v>
      </c>
      <c r="T141">
        <v>1233.424184</v>
      </c>
      <c r="U141">
        <v>1213.318037</v>
      </c>
    </row>
    <row r="142" spans="2:21" x14ac:dyDescent="0.25">
      <c r="B142">
        <v>2024</v>
      </c>
      <c r="C142">
        <v>1800.6407589999999</v>
      </c>
      <c r="D142">
        <v>1800.6407589999999</v>
      </c>
    </row>
    <row r="143" spans="2:21" x14ac:dyDescent="0.25">
      <c r="B143">
        <v>2025</v>
      </c>
      <c r="C143">
        <v>1800.6407589999999</v>
      </c>
      <c r="D143">
        <v>1800.6407589999999</v>
      </c>
      <c r="E143">
        <v>1800.6407589999999</v>
      </c>
    </row>
    <row r="144" spans="2:21" x14ac:dyDescent="0.25">
      <c r="B144">
        <v>2026</v>
      </c>
      <c r="C144">
        <v>1800.6407589999999</v>
      </c>
      <c r="D144">
        <v>1800.6407589999999</v>
      </c>
      <c r="E144">
        <v>1800.6407589999999</v>
      </c>
      <c r="F144">
        <v>1800.6407589999999</v>
      </c>
    </row>
    <row r="145" spans="2:21" x14ac:dyDescent="0.25">
      <c r="B145">
        <v>2027</v>
      </c>
      <c r="C145">
        <v>1800.6407589999999</v>
      </c>
      <c r="D145">
        <v>1800.6407589999999</v>
      </c>
      <c r="E145">
        <v>1800.6407589999999</v>
      </c>
      <c r="F145">
        <v>1800.6407589999999</v>
      </c>
      <c r="G145">
        <v>1701.18658</v>
      </c>
    </row>
    <row r="146" spans="2:21" x14ac:dyDescent="0.25">
      <c r="B146">
        <v>2028</v>
      </c>
      <c r="C146">
        <v>1800.6407589999999</v>
      </c>
      <c r="D146">
        <v>1800.6407589999999</v>
      </c>
      <c r="E146">
        <v>1800.6407589999999</v>
      </c>
      <c r="F146">
        <v>1800.6407589999999</v>
      </c>
      <c r="G146">
        <v>1701.18658</v>
      </c>
      <c r="H146">
        <v>1616.229918</v>
      </c>
    </row>
    <row r="147" spans="2:21" x14ac:dyDescent="0.25">
      <c r="B147">
        <v>2029</v>
      </c>
      <c r="C147">
        <v>1800.6407589999999</v>
      </c>
      <c r="D147">
        <v>1800.6407589999999</v>
      </c>
      <c r="E147">
        <v>1800.6407589999999</v>
      </c>
      <c r="F147">
        <v>1800.6407589999999</v>
      </c>
      <c r="G147">
        <v>1701.18658</v>
      </c>
      <c r="H147">
        <v>1616.229918</v>
      </c>
      <c r="I147">
        <v>1545.629666</v>
      </c>
    </row>
    <row r="148" spans="2:21" x14ac:dyDescent="0.25">
      <c r="B148">
        <v>2030</v>
      </c>
      <c r="C148">
        <v>1800.6407589999999</v>
      </c>
      <c r="D148">
        <v>1800.6407589999999</v>
      </c>
      <c r="E148">
        <v>1800.6407589999999</v>
      </c>
      <c r="F148">
        <v>1800.6407589999999</v>
      </c>
      <c r="G148">
        <v>1701.18658</v>
      </c>
      <c r="H148">
        <v>1616.229918</v>
      </c>
      <c r="I148">
        <v>1545.629666</v>
      </c>
      <c r="J148">
        <v>1489.244694</v>
      </c>
    </row>
    <row r="149" spans="2:21" x14ac:dyDescent="0.25">
      <c r="B149">
        <v>2031</v>
      </c>
      <c r="C149">
        <v>1800.6407589999999</v>
      </c>
      <c r="D149">
        <v>1800.6407589999999</v>
      </c>
      <c r="E149">
        <v>1800.6407589999999</v>
      </c>
      <c r="F149">
        <v>1800.6407589999999</v>
      </c>
      <c r="G149">
        <v>1701.18658</v>
      </c>
      <c r="H149">
        <v>1616.229918</v>
      </c>
      <c r="I149">
        <v>1545.629666</v>
      </c>
      <c r="J149">
        <v>1489.244694</v>
      </c>
      <c r="K149">
        <v>1446.933912</v>
      </c>
    </row>
    <row r="150" spans="2:21" x14ac:dyDescent="0.25">
      <c r="B150">
        <v>2032</v>
      </c>
      <c r="C150">
        <v>1800.6407589999999</v>
      </c>
      <c r="D150">
        <v>1800.6407589999999</v>
      </c>
      <c r="E150">
        <v>1800.6407589999999</v>
      </c>
      <c r="F150">
        <v>1800.6407589999999</v>
      </c>
      <c r="G150">
        <v>1701.18658</v>
      </c>
      <c r="H150">
        <v>1616.229918</v>
      </c>
      <c r="I150">
        <v>1545.629666</v>
      </c>
      <c r="J150">
        <v>1489.244694</v>
      </c>
      <c r="K150">
        <v>1446.933912</v>
      </c>
      <c r="L150">
        <v>1421.401967</v>
      </c>
    </row>
    <row r="151" spans="2:21" x14ac:dyDescent="0.25">
      <c r="B151">
        <v>2033</v>
      </c>
      <c r="C151">
        <v>1800.6407589999999</v>
      </c>
      <c r="D151">
        <v>1800.6407589999999</v>
      </c>
      <c r="E151">
        <v>1800.6407589999999</v>
      </c>
      <c r="F151">
        <v>1800.6407589999999</v>
      </c>
      <c r="G151">
        <v>1701.18658</v>
      </c>
      <c r="H151">
        <v>1616.229918</v>
      </c>
      <c r="I151">
        <v>1545.629666</v>
      </c>
      <c r="J151">
        <v>1489.244694</v>
      </c>
      <c r="K151">
        <v>1446.933912</v>
      </c>
      <c r="L151">
        <v>1421.401967</v>
      </c>
      <c r="M151">
        <v>1396.111189</v>
      </c>
    </row>
    <row r="152" spans="2:21" x14ac:dyDescent="0.25">
      <c r="B152">
        <v>2034</v>
      </c>
      <c r="C152">
        <v>1800.6407589999999</v>
      </c>
      <c r="D152">
        <v>1800.6407589999999</v>
      </c>
      <c r="E152">
        <v>1800.6407589999999</v>
      </c>
      <c r="F152">
        <v>1800.6407589999999</v>
      </c>
      <c r="G152">
        <v>1701.18658</v>
      </c>
      <c r="H152">
        <v>1616.229918</v>
      </c>
      <c r="I152">
        <v>1545.629666</v>
      </c>
      <c r="J152">
        <v>1489.244694</v>
      </c>
      <c r="K152">
        <v>1446.933912</v>
      </c>
      <c r="L152">
        <v>1421.401967</v>
      </c>
      <c r="M152">
        <v>1396.111189</v>
      </c>
      <c r="N152">
        <v>1371.152016</v>
      </c>
    </row>
    <row r="153" spans="2:21" x14ac:dyDescent="0.25">
      <c r="B153">
        <v>2035</v>
      </c>
      <c r="C153">
        <v>1800.6407589999999</v>
      </c>
      <c r="D153">
        <v>1800.6407589999999</v>
      </c>
      <c r="E153">
        <v>1800.6407589999999</v>
      </c>
      <c r="F153">
        <v>1800.6407589999999</v>
      </c>
      <c r="G153">
        <v>1701.18658</v>
      </c>
      <c r="H153">
        <v>1616.229918</v>
      </c>
      <c r="I153">
        <v>1545.629666</v>
      </c>
      <c r="J153">
        <v>1489.244694</v>
      </c>
      <c r="K153">
        <v>1446.933912</v>
      </c>
      <c r="L153">
        <v>1421.401967</v>
      </c>
      <c r="M153">
        <v>1396.111189</v>
      </c>
      <c r="N153">
        <v>1371.152016</v>
      </c>
      <c r="O153">
        <v>1346.614853</v>
      </c>
    </row>
    <row r="154" spans="2:21" x14ac:dyDescent="0.25">
      <c r="B154">
        <v>2036</v>
      </c>
      <c r="C154">
        <v>1800.6407589999999</v>
      </c>
      <c r="D154">
        <v>1800.6407589999999</v>
      </c>
      <c r="E154">
        <v>1800.6407589999999</v>
      </c>
      <c r="F154">
        <v>1800.6407589999999</v>
      </c>
      <c r="G154">
        <v>1701.18658</v>
      </c>
      <c r="H154">
        <v>1616.229918</v>
      </c>
      <c r="I154">
        <v>1545.629666</v>
      </c>
      <c r="J154">
        <v>1489.244694</v>
      </c>
      <c r="K154">
        <v>1446.933912</v>
      </c>
      <c r="L154">
        <v>1421.401967</v>
      </c>
      <c r="M154">
        <v>1396.111189</v>
      </c>
      <c r="N154">
        <v>1371.152016</v>
      </c>
      <c r="O154">
        <v>1346.614853</v>
      </c>
      <c r="P154">
        <v>1322.59014</v>
      </c>
    </row>
    <row r="155" spans="2:21" x14ac:dyDescent="0.25">
      <c r="B155">
        <v>2037</v>
      </c>
      <c r="C155">
        <v>1800.6407589999999</v>
      </c>
      <c r="D155">
        <v>1800.6407589999999</v>
      </c>
      <c r="E155">
        <v>1800.6407589999999</v>
      </c>
      <c r="F155">
        <v>1800.6407589999999</v>
      </c>
      <c r="G155">
        <v>1701.18658</v>
      </c>
      <c r="H155">
        <v>1616.229918</v>
      </c>
      <c r="I155">
        <v>1545.629666</v>
      </c>
      <c r="J155">
        <v>1489.244694</v>
      </c>
      <c r="K155">
        <v>1446.933912</v>
      </c>
      <c r="L155">
        <v>1421.401967</v>
      </c>
      <c r="M155">
        <v>1396.111189</v>
      </c>
      <c r="N155">
        <v>1371.152016</v>
      </c>
      <c r="O155">
        <v>1346.614853</v>
      </c>
      <c r="P155">
        <v>1322.59014</v>
      </c>
      <c r="Q155">
        <v>1299.168298</v>
      </c>
    </row>
    <row r="156" spans="2:21" x14ac:dyDescent="0.25">
      <c r="B156">
        <v>2038</v>
      </c>
      <c r="C156">
        <v>1800.6407589999999</v>
      </c>
      <c r="D156">
        <v>1800.6407589999999</v>
      </c>
      <c r="E156">
        <v>1800.6407589999999</v>
      </c>
      <c r="F156">
        <v>1800.6407589999999</v>
      </c>
      <c r="G156">
        <v>1701.18658</v>
      </c>
      <c r="H156">
        <v>1616.229918</v>
      </c>
      <c r="I156">
        <v>1545.629666</v>
      </c>
      <c r="J156">
        <v>1489.244694</v>
      </c>
      <c r="K156">
        <v>1446.933912</v>
      </c>
      <c r="L156">
        <v>1421.401967</v>
      </c>
      <c r="M156">
        <v>1396.111189</v>
      </c>
      <c r="N156">
        <v>1371.152016</v>
      </c>
      <c r="O156">
        <v>1346.614853</v>
      </c>
      <c r="P156">
        <v>1322.59014</v>
      </c>
      <c r="Q156">
        <v>1299.168298</v>
      </c>
      <c r="R156">
        <v>1276.4397389999999</v>
      </c>
    </row>
    <row r="157" spans="2:21" x14ac:dyDescent="0.25">
      <c r="B157">
        <v>2039</v>
      </c>
      <c r="C157">
        <v>1800.6407589999999</v>
      </c>
      <c r="D157">
        <v>1800.6407589999999</v>
      </c>
      <c r="E157">
        <v>1800.6407589999999</v>
      </c>
      <c r="F157">
        <v>1800.6407589999999</v>
      </c>
      <c r="G157">
        <v>1701.18658</v>
      </c>
      <c r="H157">
        <v>1616.229918</v>
      </c>
      <c r="I157">
        <v>1545.629666</v>
      </c>
      <c r="J157">
        <v>1489.244694</v>
      </c>
      <c r="K157">
        <v>1446.933912</v>
      </c>
      <c r="L157">
        <v>1421.401967</v>
      </c>
      <c r="M157">
        <v>1396.111189</v>
      </c>
      <c r="N157">
        <v>1371.152016</v>
      </c>
      <c r="O157">
        <v>1346.614853</v>
      </c>
      <c r="P157">
        <v>1322.59014</v>
      </c>
      <c r="Q157">
        <v>1299.168298</v>
      </c>
      <c r="R157">
        <v>1276.4397389999999</v>
      </c>
      <c r="S157">
        <v>1254.494893</v>
      </c>
    </row>
    <row r="158" spans="2:21" x14ac:dyDescent="0.25">
      <c r="B158">
        <v>2040</v>
      </c>
      <c r="C158">
        <v>1800.6407589999999</v>
      </c>
      <c r="D158">
        <v>1800.6407589999999</v>
      </c>
      <c r="E158">
        <v>1800.6407589999999</v>
      </c>
      <c r="F158">
        <v>1800.6407589999999</v>
      </c>
      <c r="G158">
        <v>1701.18658</v>
      </c>
      <c r="H158">
        <v>1616.229918</v>
      </c>
      <c r="I158">
        <v>1545.629666</v>
      </c>
      <c r="J158">
        <v>1489.244694</v>
      </c>
      <c r="K158">
        <v>1446.933912</v>
      </c>
      <c r="L158">
        <v>1421.401967</v>
      </c>
      <c r="M158">
        <v>1396.111189</v>
      </c>
      <c r="N158">
        <v>1371.152016</v>
      </c>
      <c r="O158">
        <v>1346.614853</v>
      </c>
      <c r="P158">
        <v>1322.59014</v>
      </c>
      <c r="Q158">
        <v>1299.168298</v>
      </c>
      <c r="R158">
        <v>1276.4397389999999</v>
      </c>
      <c r="S158">
        <v>1254.494893</v>
      </c>
      <c r="T158">
        <v>1233.424184</v>
      </c>
    </row>
    <row r="159" spans="2:21" x14ac:dyDescent="0.25">
      <c r="B159">
        <v>2041</v>
      </c>
      <c r="C159">
        <v>1800.6407589999999</v>
      </c>
      <c r="D159">
        <v>1800.6407589999999</v>
      </c>
      <c r="E159">
        <v>1800.6407589999999</v>
      </c>
      <c r="F159">
        <v>1800.6407589999999</v>
      </c>
      <c r="G159">
        <v>1701.18658</v>
      </c>
      <c r="H159">
        <v>1616.229918</v>
      </c>
      <c r="I159">
        <v>1545.629666</v>
      </c>
      <c r="J159">
        <v>1489.244694</v>
      </c>
      <c r="K159">
        <v>1446.933912</v>
      </c>
      <c r="L159">
        <v>1421.401967</v>
      </c>
      <c r="M159">
        <v>1396.111189</v>
      </c>
      <c r="N159">
        <v>1371.152016</v>
      </c>
      <c r="O159">
        <v>1346.614853</v>
      </c>
      <c r="P159">
        <v>1322.59014</v>
      </c>
      <c r="Q159">
        <v>1299.168298</v>
      </c>
      <c r="R159">
        <v>1276.4397389999999</v>
      </c>
      <c r="S159">
        <v>1254.494893</v>
      </c>
      <c r="T159">
        <v>1233.424184</v>
      </c>
      <c r="U159">
        <v>1213.318037</v>
      </c>
    </row>
    <row r="160" spans="2:21" x14ac:dyDescent="0.25">
      <c r="B160" t="s">
        <v>117</v>
      </c>
      <c r="C160">
        <v>1900.1303220000004</v>
      </c>
      <c r="D160">
        <v>1900.1303220000004</v>
      </c>
      <c r="E160">
        <v>1900.1303220000007</v>
      </c>
      <c r="F160">
        <v>1900.1303220000007</v>
      </c>
      <c r="G160">
        <v>1900.1303220000007</v>
      </c>
      <c r="H160">
        <v>1900.1303220000007</v>
      </c>
      <c r="I160">
        <v>1900.1303220000007</v>
      </c>
      <c r="J160">
        <v>1900.1303220000007</v>
      </c>
      <c r="K160">
        <v>1900.1303220000007</v>
      </c>
      <c r="L160">
        <v>1900.1303220000004</v>
      </c>
      <c r="M160">
        <v>1900.1303220000004</v>
      </c>
      <c r="N160">
        <v>1900.1303220000004</v>
      </c>
      <c r="O160">
        <v>1900.1303220000004</v>
      </c>
      <c r="P160">
        <v>1900.1303220000002</v>
      </c>
      <c r="Q160">
        <v>1900.1303220000002</v>
      </c>
      <c r="R160">
        <v>1900.130322</v>
      </c>
      <c r="S160">
        <v>1900.130322</v>
      </c>
      <c r="T160">
        <v>1900.130322</v>
      </c>
      <c r="U160">
        <v>1900.130322</v>
      </c>
    </row>
    <row r="161" spans="2:19" x14ac:dyDescent="0.25">
      <c r="B161">
        <v>2024</v>
      </c>
      <c r="C161">
        <v>1900.130322</v>
      </c>
      <c r="D161">
        <v>1900.130322</v>
      </c>
    </row>
    <row r="162" spans="2:19" x14ac:dyDescent="0.25">
      <c r="B162">
        <v>2025</v>
      </c>
      <c r="C162">
        <v>1900.130322</v>
      </c>
      <c r="D162">
        <v>1900.130322</v>
      </c>
      <c r="E162">
        <v>1900.130322</v>
      </c>
    </row>
    <row r="163" spans="2:19" x14ac:dyDescent="0.25">
      <c r="B163">
        <v>2026</v>
      </c>
      <c r="C163">
        <v>1900.130322</v>
      </c>
      <c r="D163">
        <v>1900.130322</v>
      </c>
      <c r="E163">
        <v>1900.130322</v>
      </c>
      <c r="F163">
        <v>1900.130322</v>
      </c>
    </row>
    <row r="164" spans="2:19" x14ac:dyDescent="0.25">
      <c r="B164">
        <v>2027</v>
      </c>
      <c r="C164">
        <v>1900.130322</v>
      </c>
      <c r="D164">
        <v>1900.130322</v>
      </c>
      <c r="E164">
        <v>1900.130322</v>
      </c>
      <c r="F164">
        <v>1900.130322</v>
      </c>
      <c r="G164">
        <v>1900.130322</v>
      </c>
    </row>
    <row r="165" spans="2:19" x14ac:dyDescent="0.25">
      <c r="B165">
        <v>2028</v>
      </c>
      <c r="C165">
        <v>1900.130322</v>
      </c>
      <c r="D165">
        <v>1900.130322</v>
      </c>
      <c r="E165">
        <v>1900.130322</v>
      </c>
      <c r="F165">
        <v>1900.130322</v>
      </c>
      <c r="G165">
        <v>1900.130322</v>
      </c>
      <c r="H165">
        <v>1900.130322</v>
      </c>
    </row>
    <row r="166" spans="2:19" x14ac:dyDescent="0.25">
      <c r="B166">
        <v>2029</v>
      </c>
      <c r="C166">
        <v>1900.130322</v>
      </c>
      <c r="D166">
        <v>1900.130322</v>
      </c>
      <c r="E166">
        <v>1900.130322</v>
      </c>
      <c r="F166">
        <v>1900.130322</v>
      </c>
      <c r="G166">
        <v>1900.130322</v>
      </c>
      <c r="H166">
        <v>1900.130322</v>
      </c>
      <c r="I166">
        <v>1900.130322</v>
      </c>
    </row>
    <row r="167" spans="2:19" x14ac:dyDescent="0.25">
      <c r="B167">
        <v>2030</v>
      </c>
      <c r="C167">
        <v>1900.130322</v>
      </c>
      <c r="D167">
        <v>1900.130322</v>
      </c>
      <c r="E167">
        <v>1900.130322</v>
      </c>
      <c r="F167">
        <v>1900.130322</v>
      </c>
      <c r="G167">
        <v>1900.130322</v>
      </c>
      <c r="H167">
        <v>1900.130322</v>
      </c>
      <c r="I167">
        <v>1900.130322</v>
      </c>
      <c r="J167">
        <v>1900.130322</v>
      </c>
    </row>
    <row r="168" spans="2:19" x14ac:dyDescent="0.25">
      <c r="B168">
        <v>2031</v>
      </c>
      <c r="C168">
        <v>1900.130322</v>
      </c>
      <c r="D168">
        <v>1900.130322</v>
      </c>
      <c r="E168">
        <v>1900.130322</v>
      </c>
      <c r="F168">
        <v>1900.130322</v>
      </c>
      <c r="G168">
        <v>1900.130322</v>
      </c>
      <c r="H168">
        <v>1900.130322</v>
      </c>
      <c r="I168">
        <v>1900.130322</v>
      </c>
      <c r="J168">
        <v>1900.130322</v>
      </c>
      <c r="K168">
        <v>1900.130322</v>
      </c>
    </row>
    <row r="169" spans="2:19" x14ac:dyDescent="0.25">
      <c r="B169">
        <v>2032</v>
      </c>
      <c r="C169">
        <v>1900.130322</v>
      </c>
      <c r="D169">
        <v>1900.130322</v>
      </c>
      <c r="E169">
        <v>1900.130322</v>
      </c>
      <c r="F169">
        <v>1900.130322</v>
      </c>
      <c r="G169">
        <v>1900.130322</v>
      </c>
      <c r="H169">
        <v>1900.130322</v>
      </c>
      <c r="I169">
        <v>1900.130322</v>
      </c>
      <c r="J169">
        <v>1900.130322</v>
      </c>
      <c r="K169">
        <v>1900.130322</v>
      </c>
      <c r="L169">
        <v>1900.130322</v>
      </c>
    </row>
    <row r="170" spans="2:19" x14ac:dyDescent="0.25">
      <c r="B170">
        <v>2033</v>
      </c>
      <c r="C170">
        <v>1900.130322</v>
      </c>
      <c r="D170">
        <v>1900.130322</v>
      </c>
      <c r="E170">
        <v>1900.130322</v>
      </c>
      <c r="F170">
        <v>1900.130322</v>
      </c>
      <c r="G170">
        <v>1900.130322</v>
      </c>
      <c r="H170">
        <v>1900.130322</v>
      </c>
      <c r="I170">
        <v>1900.130322</v>
      </c>
      <c r="J170">
        <v>1900.130322</v>
      </c>
      <c r="K170">
        <v>1900.130322</v>
      </c>
      <c r="L170">
        <v>1900.130322</v>
      </c>
      <c r="M170">
        <v>1900.130322</v>
      </c>
    </row>
    <row r="171" spans="2:19" x14ac:dyDescent="0.25">
      <c r="B171">
        <v>2034</v>
      </c>
      <c r="C171">
        <v>1900.130322</v>
      </c>
      <c r="D171">
        <v>1900.130322</v>
      </c>
      <c r="E171">
        <v>1900.130322</v>
      </c>
      <c r="F171">
        <v>1900.130322</v>
      </c>
      <c r="G171">
        <v>1900.130322</v>
      </c>
      <c r="H171">
        <v>1900.130322</v>
      </c>
      <c r="I171">
        <v>1900.130322</v>
      </c>
      <c r="J171">
        <v>1900.130322</v>
      </c>
      <c r="K171">
        <v>1900.130322</v>
      </c>
      <c r="L171">
        <v>1900.130322</v>
      </c>
      <c r="M171">
        <v>1900.130322</v>
      </c>
      <c r="N171">
        <v>1900.130322</v>
      </c>
    </row>
    <row r="172" spans="2:19" x14ac:dyDescent="0.25">
      <c r="B172">
        <v>2035</v>
      </c>
      <c r="C172">
        <v>1900.130322</v>
      </c>
      <c r="D172">
        <v>1900.130322</v>
      </c>
      <c r="E172">
        <v>1900.130322</v>
      </c>
      <c r="F172">
        <v>1900.130322</v>
      </c>
      <c r="G172">
        <v>1900.130322</v>
      </c>
      <c r="H172">
        <v>1900.130322</v>
      </c>
      <c r="I172">
        <v>1900.130322</v>
      </c>
      <c r="J172">
        <v>1900.130322</v>
      </c>
      <c r="K172">
        <v>1900.130322</v>
      </c>
      <c r="L172">
        <v>1900.130322</v>
      </c>
      <c r="M172">
        <v>1900.130322</v>
      </c>
      <c r="N172">
        <v>1900.130322</v>
      </c>
      <c r="O172">
        <v>1900.130322</v>
      </c>
    </row>
    <row r="173" spans="2:19" x14ac:dyDescent="0.25">
      <c r="B173">
        <v>2036</v>
      </c>
      <c r="C173">
        <v>1900.130322</v>
      </c>
      <c r="D173">
        <v>1900.130322</v>
      </c>
      <c r="E173">
        <v>1900.130322</v>
      </c>
      <c r="F173">
        <v>1900.130322</v>
      </c>
      <c r="G173">
        <v>1900.130322</v>
      </c>
      <c r="H173">
        <v>1900.130322</v>
      </c>
      <c r="I173">
        <v>1900.130322</v>
      </c>
      <c r="J173">
        <v>1900.130322</v>
      </c>
      <c r="K173">
        <v>1900.130322</v>
      </c>
      <c r="L173">
        <v>1900.130322</v>
      </c>
      <c r="M173">
        <v>1900.130322</v>
      </c>
      <c r="N173">
        <v>1900.130322</v>
      </c>
      <c r="O173">
        <v>1900.130322</v>
      </c>
      <c r="P173">
        <v>1900.130322</v>
      </c>
    </row>
    <row r="174" spans="2:19" x14ac:dyDescent="0.25">
      <c r="B174">
        <v>2037</v>
      </c>
      <c r="C174">
        <v>1900.130322</v>
      </c>
      <c r="D174">
        <v>1900.130322</v>
      </c>
      <c r="E174">
        <v>1900.130322</v>
      </c>
      <c r="F174">
        <v>1900.130322</v>
      </c>
      <c r="G174">
        <v>1900.130322</v>
      </c>
      <c r="H174">
        <v>1900.130322</v>
      </c>
      <c r="I174">
        <v>1900.130322</v>
      </c>
      <c r="J174">
        <v>1900.130322</v>
      </c>
      <c r="K174">
        <v>1900.130322</v>
      </c>
      <c r="L174">
        <v>1900.130322</v>
      </c>
      <c r="M174">
        <v>1900.130322</v>
      </c>
      <c r="N174">
        <v>1900.130322</v>
      </c>
      <c r="O174">
        <v>1900.130322</v>
      </c>
      <c r="P174">
        <v>1900.130322</v>
      </c>
      <c r="Q174">
        <v>1900.130322</v>
      </c>
    </row>
    <row r="175" spans="2:19" x14ac:dyDescent="0.25">
      <c r="B175">
        <v>2038</v>
      </c>
      <c r="C175">
        <v>1900.130322</v>
      </c>
      <c r="D175">
        <v>1900.130322</v>
      </c>
      <c r="E175">
        <v>1900.130322</v>
      </c>
      <c r="F175">
        <v>1900.130322</v>
      </c>
      <c r="G175">
        <v>1900.130322</v>
      </c>
      <c r="H175">
        <v>1900.130322</v>
      </c>
      <c r="I175">
        <v>1900.130322</v>
      </c>
      <c r="J175">
        <v>1900.130322</v>
      </c>
      <c r="K175">
        <v>1900.130322</v>
      </c>
      <c r="L175">
        <v>1900.130322</v>
      </c>
      <c r="M175">
        <v>1900.130322</v>
      </c>
      <c r="N175">
        <v>1900.130322</v>
      </c>
      <c r="O175">
        <v>1900.130322</v>
      </c>
      <c r="P175">
        <v>1900.130322</v>
      </c>
      <c r="Q175">
        <v>1900.130322</v>
      </c>
      <c r="R175">
        <v>1900.130322</v>
      </c>
    </row>
    <row r="176" spans="2:19" x14ac:dyDescent="0.25">
      <c r="B176">
        <v>2039</v>
      </c>
      <c r="C176">
        <v>1900.130322</v>
      </c>
      <c r="D176">
        <v>1900.130322</v>
      </c>
      <c r="E176">
        <v>1900.130322</v>
      </c>
      <c r="F176">
        <v>1900.130322</v>
      </c>
      <c r="G176">
        <v>1900.130322</v>
      </c>
      <c r="H176">
        <v>1900.130322</v>
      </c>
      <c r="I176">
        <v>1900.130322</v>
      </c>
      <c r="J176">
        <v>1900.130322</v>
      </c>
      <c r="K176">
        <v>1900.130322</v>
      </c>
      <c r="L176">
        <v>1900.130322</v>
      </c>
      <c r="M176">
        <v>1900.130322</v>
      </c>
      <c r="N176">
        <v>1900.130322</v>
      </c>
      <c r="O176">
        <v>1900.130322</v>
      </c>
      <c r="P176">
        <v>1900.130322</v>
      </c>
      <c r="Q176">
        <v>1900.130322</v>
      </c>
      <c r="R176">
        <v>1900.130322</v>
      </c>
      <c r="S176">
        <v>1900.130322</v>
      </c>
    </row>
    <row r="177" spans="1:41" x14ac:dyDescent="0.25">
      <c r="B177">
        <v>2040</v>
      </c>
      <c r="C177">
        <v>1900.130322</v>
      </c>
      <c r="D177">
        <v>1900.130322</v>
      </c>
      <c r="E177">
        <v>1900.130322</v>
      </c>
      <c r="F177">
        <v>1900.130322</v>
      </c>
      <c r="G177">
        <v>1900.130322</v>
      </c>
      <c r="H177">
        <v>1900.130322</v>
      </c>
      <c r="I177">
        <v>1900.130322</v>
      </c>
      <c r="J177">
        <v>1900.130322</v>
      </c>
      <c r="K177">
        <v>1900.130322</v>
      </c>
      <c r="L177">
        <v>1900.130322</v>
      </c>
      <c r="M177">
        <v>1900.130322</v>
      </c>
      <c r="N177">
        <v>1900.130322</v>
      </c>
      <c r="O177">
        <v>1900.130322</v>
      </c>
      <c r="P177">
        <v>1900.130322</v>
      </c>
      <c r="Q177">
        <v>1900.130322</v>
      </c>
      <c r="R177">
        <v>1900.130322</v>
      </c>
      <c r="S177">
        <v>1900.130322</v>
      </c>
      <c r="T177">
        <v>1900.130322</v>
      </c>
    </row>
    <row r="178" spans="1:41" x14ac:dyDescent="0.25">
      <c r="B178">
        <v>2041</v>
      </c>
      <c r="C178">
        <v>1900.130322</v>
      </c>
      <c r="D178">
        <v>1900.130322</v>
      </c>
      <c r="E178">
        <v>1900.130322</v>
      </c>
      <c r="F178">
        <v>1900.130322</v>
      </c>
      <c r="G178">
        <v>1900.130322</v>
      </c>
      <c r="H178">
        <v>1900.130322</v>
      </c>
      <c r="I178">
        <v>1900.130322</v>
      </c>
      <c r="J178">
        <v>1900.130322</v>
      </c>
      <c r="K178">
        <v>1900.130322</v>
      </c>
      <c r="L178">
        <v>1900.130322</v>
      </c>
      <c r="M178">
        <v>1900.130322</v>
      </c>
      <c r="N178">
        <v>1900.130322</v>
      </c>
      <c r="O178">
        <v>1900.130322</v>
      </c>
      <c r="P178">
        <v>1900.130322</v>
      </c>
      <c r="Q178">
        <v>1900.130322</v>
      </c>
      <c r="R178">
        <v>1900.130322</v>
      </c>
      <c r="S178">
        <v>1900.130322</v>
      </c>
      <c r="T178">
        <v>1900.130322</v>
      </c>
      <c r="U178">
        <v>1900.130322</v>
      </c>
    </row>
    <row r="180" spans="1:41" x14ac:dyDescent="0.25">
      <c r="B180" t="s">
        <v>370</v>
      </c>
    </row>
    <row r="181" spans="1:41" x14ac:dyDescent="0.25">
      <c r="B181" s="14" t="s">
        <v>368</v>
      </c>
      <c r="C181" t="s">
        <v>168</v>
      </c>
      <c r="V181" s="14" t="s">
        <v>369</v>
      </c>
      <c r="W181" t="s">
        <v>168</v>
      </c>
    </row>
    <row r="182" spans="1:41" x14ac:dyDescent="0.25">
      <c r="B182" t="s">
        <v>73</v>
      </c>
      <c r="C182">
        <v>2024</v>
      </c>
      <c r="D182">
        <v>2025</v>
      </c>
      <c r="E182">
        <v>2026</v>
      </c>
      <c r="F182">
        <v>2027</v>
      </c>
      <c r="G182">
        <v>2028</v>
      </c>
      <c r="H182">
        <v>2029</v>
      </c>
      <c r="I182">
        <v>2030</v>
      </c>
      <c r="J182">
        <v>2031</v>
      </c>
      <c r="K182">
        <v>2032</v>
      </c>
      <c r="L182">
        <v>2033</v>
      </c>
      <c r="M182">
        <v>2034</v>
      </c>
      <c r="N182">
        <v>2035</v>
      </c>
      <c r="O182">
        <v>2036</v>
      </c>
      <c r="P182">
        <v>2037</v>
      </c>
      <c r="Q182">
        <v>2038</v>
      </c>
      <c r="R182">
        <v>2039</v>
      </c>
      <c r="S182">
        <v>2040</v>
      </c>
      <c r="T182">
        <v>2041</v>
      </c>
      <c r="U182" t="s">
        <v>170</v>
      </c>
      <c r="V182" t="s">
        <v>73</v>
      </c>
      <c r="W182">
        <v>2024</v>
      </c>
      <c r="X182">
        <v>2025</v>
      </c>
      <c r="Y182">
        <v>2026</v>
      </c>
      <c r="Z182">
        <v>2027</v>
      </c>
      <c r="AA182">
        <v>2028</v>
      </c>
      <c r="AB182">
        <v>2029</v>
      </c>
      <c r="AC182">
        <v>2030</v>
      </c>
      <c r="AD182">
        <v>2031</v>
      </c>
      <c r="AE182">
        <v>2032</v>
      </c>
      <c r="AF182">
        <v>2033</v>
      </c>
      <c r="AG182">
        <v>2034</v>
      </c>
      <c r="AH182">
        <v>2035</v>
      </c>
      <c r="AI182">
        <v>2036</v>
      </c>
      <c r="AJ182">
        <v>2037</v>
      </c>
      <c r="AK182">
        <v>2038</v>
      </c>
      <c r="AL182">
        <v>2039</v>
      </c>
      <c r="AM182">
        <v>2040</v>
      </c>
      <c r="AN182">
        <v>2041</v>
      </c>
      <c r="AO182" t="s">
        <v>170</v>
      </c>
    </row>
    <row r="183" spans="1:41" x14ac:dyDescent="0.25">
      <c r="A183" t="s">
        <v>12</v>
      </c>
      <c r="B183" t="s">
        <v>112</v>
      </c>
      <c r="C183">
        <v>0</v>
      </c>
      <c r="D183">
        <v>0</v>
      </c>
      <c r="E183">
        <v>1.04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2.04</v>
      </c>
      <c r="V183" t="s">
        <v>112</v>
      </c>
      <c r="W183">
        <v>8.9882383999999996E-2</v>
      </c>
      <c r="X183">
        <v>0.17262528699999999</v>
      </c>
      <c r="Y183">
        <v>1.2292013740000001</v>
      </c>
      <c r="Z183">
        <v>1.3672562240000001</v>
      </c>
      <c r="AA183">
        <v>1.2229083009999999</v>
      </c>
      <c r="AB183">
        <v>2.348679298</v>
      </c>
      <c r="AC183">
        <v>4.5107997400000004</v>
      </c>
      <c r="AD183">
        <v>8.6633003960000003</v>
      </c>
      <c r="AE183">
        <v>8.9882384389999999</v>
      </c>
      <c r="AF183">
        <v>8.9882384389999999</v>
      </c>
      <c r="AG183">
        <v>8.9882384389999999</v>
      </c>
      <c r="AH183">
        <v>8.9882384389999999</v>
      </c>
      <c r="AI183">
        <v>8.9882384389999999</v>
      </c>
      <c r="AJ183">
        <v>8.9882384389999999</v>
      </c>
      <c r="AK183">
        <v>8.9882384389999999</v>
      </c>
      <c r="AL183">
        <v>8.9882384389999999</v>
      </c>
      <c r="AM183">
        <v>8.9882384389999999</v>
      </c>
      <c r="AN183">
        <v>8.9882384389999999</v>
      </c>
      <c r="AO183">
        <v>109.487037394</v>
      </c>
    </row>
    <row r="184" spans="1:41" x14ac:dyDescent="0.25">
      <c r="A184" t="s">
        <v>12</v>
      </c>
      <c r="B184" t="s">
        <v>115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 t="s">
        <v>115</v>
      </c>
      <c r="W184">
        <v>0.17976477000000002</v>
      </c>
      <c r="X184">
        <v>0.34525057199999992</v>
      </c>
      <c r="Y184">
        <v>0.663077413</v>
      </c>
      <c r="Z184">
        <v>1.273485666</v>
      </c>
      <c r="AA184">
        <v>2.4458166000000001</v>
      </c>
      <c r="AB184">
        <v>4.6973585949999999</v>
      </c>
      <c r="AC184">
        <v>9.0215994780000006</v>
      </c>
      <c r="AD184">
        <v>17.326600793000001</v>
      </c>
      <c r="AE184">
        <v>17.976476877</v>
      </c>
      <c r="AF184">
        <v>17.976476877</v>
      </c>
      <c r="AG184">
        <v>17.976476877</v>
      </c>
      <c r="AH184">
        <v>17.976476877</v>
      </c>
      <c r="AI184">
        <v>17.976476877</v>
      </c>
      <c r="AJ184">
        <v>17.976476877</v>
      </c>
      <c r="AK184">
        <v>17.976476877</v>
      </c>
      <c r="AL184">
        <v>17.976476877</v>
      </c>
      <c r="AM184">
        <v>17.976476877</v>
      </c>
      <c r="AN184">
        <v>17.976476877</v>
      </c>
      <c r="AO184">
        <v>215.71772265700002</v>
      </c>
    </row>
    <row r="185" spans="1:41" x14ac:dyDescent="0.25">
      <c r="A185" t="s">
        <v>12</v>
      </c>
      <c r="B185" t="s">
        <v>116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 t="s">
        <v>116</v>
      </c>
      <c r="W185">
        <v>0.26964715299999997</v>
      </c>
      <c r="X185">
        <v>0.51787585899999999</v>
      </c>
      <c r="Y185">
        <v>0.99461611900000013</v>
      </c>
      <c r="Z185">
        <v>1.9102285009999997</v>
      </c>
      <c r="AA185">
        <v>3.6687249</v>
      </c>
      <c r="AB185">
        <v>7.0460378920000002</v>
      </c>
      <c r="AC185">
        <v>13.532399217999998</v>
      </c>
      <c r="AD185">
        <v>25.989901185000001</v>
      </c>
      <c r="AE185">
        <v>26.964715311999999</v>
      </c>
      <c r="AF185">
        <v>26.964715311999999</v>
      </c>
      <c r="AG185">
        <v>26.964715311999999</v>
      </c>
      <c r="AH185">
        <v>26.964715311999999</v>
      </c>
      <c r="AI185">
        <v>26.964715311999999</v>
      </c>
      <c r="AJ185">
        <v>26.964715311999999</v>
      </c>
      <c r="AK185">
        <v>26.964715311999999</v>
      </c>
      <c r="AL185">
        <v>26.964715311999999</v>
      </c>
      <c r="AM185">
        <v>26.964715311999999</v>
      </c>
      <c r="AN185">
        <v>26.964715311999999</v>
      </c>
      <c r="AO185">
        <v>323.57658394700007</v>
      </c>
    </row>
    <row r="186" spans="1:41" x14ac:dyDescent="0.25">
      <c r="A186" t="s">
        <v>12</v>
      </c>
      <c r="B186" t="s">
        <v>117</v>
      </c>
      <c r="C186">
        <v>0</v>
      </c>
      <c r="D186">
        <v>0</v>
      </c>
      <c r="E186">
        <v>4.5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4.5</v>
      </c>
      <c r="V186" t="s">
        <v>117</v>
      </c>
      <c r="W186">
        <v>0</v>
      </c>
      <c r="X186">
        <v>0</v>
      </c>
      <c r="Y186">
        <v>4.5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4.5</v>
      </c>
    </row>
    <row r="187" spans="1:41" x14ac:dyDescent="0.25">
      <c r="A187" t="s">
        <v>9</v>
      </c>
      <c r="B187" t="s">
        <v>112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 t="s">
        <v>112</v>
      </c>
      <c r="W187">
        <v>1.5332799000000001E-2</v>
      </c>
      <c r="X187">
        <v>2.9447692000000001E-2</v>
      </c>
      <c r="Y187">
        <v>5.6556312999999997E-2</v>
      </c>
      <c r="Z187">
        <v>0.10862028</v>
      </c>
      <c r="AA187">
        <v>0.20861269999999998</v>
      </c>
      <c r="AB187">
        <v>0.40065500200000004</v>
      </c>
      <c r="AC187">
        <v>0.76948542200000003</v>
      </c>
      <c r="AD187">
        <v>1.4778495489999999</v>
      </c>
      <c r="AE187">
        <v>1.533279872</v>
      </c>
      <c r="AF187">
        <v>1.533279872</v>
      </c>
      <c r="AG187">
        <v>1.533279872</v>
      </c>
      <c r="AH187">
        <v>1.533279872</v>
      </c>
      <c r="AI187">
        <v>1.533279872</v>
      </c>
      <c r="AJ187">
        <v>1.533279872</v>
      </c>
      <c r="AK187">
        <v>1.533279872</v>
      </c>
      <c r="AL187">
        <v>1.533279872</v>
      </c>
      <c r="AM187">
        <v>1.533279872</v>
      </c>
      <c r="AN187">
        <v>1.533279872</v>
      </c>
      <c r="AO187">
        <v>18.399358477</v>
      </c>
    </row>
    <row r="188" spans="1:41" x14ac:dyDescent="0.25">
      <c r="A188" t="s">
        <v>9</v>
      </c>
      <c r="B188" t="s">
        <v>115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 t="s">
        <v>115</v>
      </c>
      <c r="W188">
        <v>3.0665598000000002E-2</v>
      </c>
      <c r="X188">
        <v>5.8895384000000002E-2</v>
      </c>
      <c r="Y188">
        <v>0.11311262599999999</v>
      </c>
      <c r="Z188">
        <v>0.217240558</v>
      </c>
      <c r="AA188">
        <v>0.41722539800000003</v>
      </c>
      <c r="AB188">
        <v>0.80131000400000008</v>
      </c>
      <c r="AC188">
        <v>1.538970843</v>
      </c>
      <c r="AD188">
        <v>2.9556990970000001</v>
      </c>
      <c r="AE188">
        <v>3.066559743</v>
      </c>
      <c r="AF188">
        <v>3.066559743</v>
      </c>
      <c r="AG188">
        <v>3.066559743</v>
      </c>
      <c r="AH188">
        <v>3.066559743</v>
      </c>
      <c r="AI188">
        <v>3.066559743</v>
      </c>
      <c r="AJ188">
        <v>3.066559743</v>
      </c>
      <c r="AK188">
        <v>3.066559743</v>
      </c>
      <c r="AL188">
        <v>3.066559743</v>
      </c>
      <c r="AM188">
        <v>3.066559743</v>
      </c>
      <c r="AN188">
        <v>3.066559743</v>
      </c>
      <c r="AO188">
        <v>36.798716937999991</v>
      </c>
    </row>
    <row r="189" spans="1:41" x14ac:dyDescent="0.25">
      <c r="A189" t="s">
        <v>9</v>
      </c>
      <c r="B189" t="s">
        <v>116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 t="s">
        <v>116</v>
      </c>
      <c r="W189">
        <v>4.5998395999999997E-2</v>
      </c>
      <c r="X189">
        <v>8.8343075999999993E-2</v>
      </c>
      <c r="Y189">
        <v>0.16966893799999999</v>
      </c>
      <c r="Z189">
        <v>0.32586083799999999</v>
      </c>
      <c r="AA189">
        <v>0.62583809800000001</v>
      </c>
      <c r="AB189">
        <v>1.2019650070000001</v>
      </c>
      <c r="AC189">
        <v>2.3084562649999998</v>
      </c>
      <c r="AD189">
        <v>4.4335486460000002</v>
      </c>
      <c r="AE189">
        <v>4.5998396150000005</v>
      </c>
      <c r="AF189">
        <v>4.5998396150000005</v>
      </c>
      <c r="AG189">
        <v>4.5998396150000005</v>
      </c>
      <c r="AH189">
        <v>4.5998396150000005</v>
      </c>
      <c r="AI189">
        <v>4.5998396150000005</v>
      </c>
      <c r="AJ189">
        <v>4.5998396150000005</v>
      </c>
      <c r="AK189">
        <v>4.5998396150000005</v>
      </c>
      <c r="AL189">
        <v>4.5998396150000005</v>
      </c>
      <c r="AM189">
        <v>4.5998396150000005</v>
      </c>
      <c r="AN189">
        <v>4.5998396150000005</v>
      </c>
      <c r="AO189">
        <v>55.198075414000009</v>
      </c>
    </row>
    <row r="190" spans="1:41" x14ac:dyDescent="0.25">
      <c r="A190" t="s">
        <v>9</v>
      </c>
      <c r="B190" t="s">
        <v>117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 t="s">
        <v>117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</row>
    <row r="191" spans="1:41" x14ac:dyDescent="0.25">
      <c r="A191" t="s">
        <v>10</v>
      </c>
      <c r="B191" t="s">
        <v>112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 t="s">
        <v>112</v>
      </c>
      <c r="W191">
        <v>1.7738573000000001E-2</v>
      </c>
      <c r="X191">
        <v>3.4068146000000001E-2</v>
      </c>
      <c r="Y191">
        <v>6.5430211000000002E-2</v>
      </c>
      <c r="Z191">
        <v>0.12566321</v>
      </c>
      <c r="AA191">
        <v>0.24134481800000002</v>
      </c>
      <c r="AB191">
        <v>0.46351928100000001</v>
      </c>
      <c r="AC191">
        <v>0.89022058199999987</v>
      </c>
      <c r="AD191">
        <v>1.7097297080000002</v>
      </c>
      <c r="AE191">
        <v>1.7738572569999997</v>
      </c>
      <c r="AF191">
        <v>1.7738572569999997</v>
      </c>
      <c r="AG191">
        <v>1.7738572569999997</v>
      </c>
      <c r="AH191">
        <v>1.7738572569999997</v>
      </c>
      <c r="AI191">
        <v>1.7738572569999997</v>
      </c>
      <c r="AJ191">
        <v>1.7738572569999997</v>
      </c>
      <c r="AK191">
        <v>1.7738572569999997</v>
      </c>
      <c r="AL191">
        <v>1.7738572569999997</v>
      </c>
      <c r="AM191">
        <v>1.7738572569999997</v>
      </c>
      <c r="AN191">
        <v>1.7738572569999997</v>
      </c>
      <c r="AO191">
        <v>21.286287098999995</v>
      </c>
    </row>
    <row r="192" spans="1:41" x14ac:dyDescent="0.25">
      <c r="A192" t="s">
        <v>10</v>
      </c>
      <c r="B192" t="s">
        <v>115</v>
      </c>
      <c r="C192">
        <v>0</v>
      </c>
      <c r="D192">
        <v>0</v>
      </c>
      <c r="E192">
        <v>0</v>
      </c>
      <c r="F192">
        <v>0.5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0.5</v>
      </c>
      <c r="V192" t="s">
        <v>115</v>
      </c>
      <c r="W192">
        <v>3.5477145000000002E-2</v>
      </c>
      <c r="X192">
        <v>6.8136290999999988E-2</v>
      </c>
      <c r="Y192">
        <v>0.130860423</v>
      </c>
      <c r="Z192">
        <v>0.7089084590000001</v>
      </c>
      <c r="AA192">
        <v>0.48268963500000001</v>
      </c>
      <c r="AB192">
        <v>0.92703856099999993</v>
      </c>
      <c r="AC192">
        <v>1.7804411639999997</v>
      </c>
      <c r="AD192">
        <v>3.4194594160000005</v>
      </c>
      <c r="AE192">
        <v>3.5477145139999995</v>
      </c>
      <c r="AF192">
        <v>3.5477145139999995</v>
      </c>
      <c r="AG192">
        <v>3.5477145139999995</v>
      </c>
      <c r="AH192">
        <v>3.5477145139999995</v>
      </c>
      <c r="AI192">
        <v>3.5477145139999995</v>
      </c>
      <c r="AJ192">
        <v>3.5477145139999995</v>
      </c>
      <c r="AK192">
        <v>3.5477145139999995</v>
      </c>
      <c r="AL192">
        <v>3.5477145139999995</v>
      </c>
      <c r="AM192">
        <v>3.5477145139999995</v>
      </c>
      <c r="AN192">
        <v>3.5477145139999995</v>
      </c>
      <c r="AO192">
        <v>43.030156233999996</v>
      </c>
    </row>
    <row r="193" spans="1:41" x14ac:dyDescent="0.25">
      <c r="A193" t="s">
        <v>10</v>
      </c>
      <c r="B193" t="s">
        <v>116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 t="s">
        <v>116</v>
      </c>
      <c r="W193">
        <v>5.3215719000000002E-2</v>
      </c>
      <c r="X193">
        <v>0.102204437</v>
      </c>
      <c r="Y193">
        <v>0.19629063399999999</v>
      </c>
      <c r="Z193">
        <v>0.37698963099999999</v>
      </c>
      <c r="AA193">
        <v>0.72403445200000005</v>
      </c>
      <c r="AB193">
        <v>1.3905578429999998</v>
      </c>
      <c r="AC193">
        <v>2.6706617460000004</v>
      </c>
      <c r="AD193">
        <v>5.1291891230000006</v>
      </c>
      <c r="AE193">
        <v>5.3215717720000004</v>
      </c>
      <c r="AF193">
        <v>5.3215717720000004</v>
      </c>
      <c r="AG193">
        <v>5.3215717720000004</v>
      </c>
      <c r="AH193">
        <v>5.3215717720000004</v>
      </c>
      <c r="AI193">
        <v>5.3215717720000004</v>
      </c>
      <c r="AJ193">
        <v>5.3215717720000004</v>
      </c>
      <c r="AK193">
        <v>5.3215717720000004</v>
      </c>
      <c r="AL193">
        <v>5.3215717720000004</v>
      </c>
      <c r="AM193">
        <v>5.3215717720000004</v>
      </c>
      <c r="AN193">
        <v>5.3215717720000004</v>
      </c>
      <c r="AO193">
        <v>63.858861304999991</v>
      </c>
    </row>
    <row r="194" spans="1:41" x14ac:dyDescent="0.25">
      <c r="A194" t="s">
        <v>10</v>
      </c>
      <c r="B194" t="s">
        <v>117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 t="s">
        <v>117</v>
      </c>
      <c r="W194">
        <v>0</v>
      </c>
      <c r="X194">
        <v>0</v>
      </c>
      <c r="Y194">
        <v>0</v>
      </c>
      <c r="Z194">
        <v>0</v>
      </c>
      <c r="AA194">
        <v>4.4445068470000004</v>
      </c>
      <c r="AB194">
        <v>4.4445068470000004</v>
      </c>
      <c r="AC194">
        <v>4.4445068470000004</v>
      </c>
      <c r="AD194">
        <v>4.4445068470000004</v>
      </c>
      <c r="AE194">
        <v>4.4445068470000004</v>
      </c>
      <c r="AF194">
        <v>4.4445068470000004</v>
      </c>
      <c r="AG194">
        <v>4.4445068470000004</v>
      </c>
      <c r="AH194">
        <v>4.4445068470000004</v>
      </c>
      <c r="AI194">
        <v>4.4445068470000004</v>
      </c>
      <c r="AJ194">
        <v>4.4445068470000004</v>
      </c>
      <c r="AK194">
        <v>4.4445068470000004</v>
      </c>
      <c r="AL194">
        <v>4.4445068470000004</v>
      </c>
      <c r="AM194">
        <v>4.4445068470000004</v>
      </c>
      <c r="AN194">
        <v>4.4445068470000004</v>
      </c>
      <c r="AO194">
        <v>62.223095858000001</v>
      </c>
    </row>
    <row r="195" spans="1:41" x14ac:dyDescent="0.25">
      <c r="A195" t="s">
        <v>11</v>
      </c>
      <c r="B195" t="s">
        <v>112</v>
      </c>
      <c r="C195">
        <v>0</v>
      </c>
      <c r="D195">
        <v>0</v>
      </c>
      <c r="E195">
        <v>2.1</v>
      </c>
      <c r="F195">
        <v>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4.0999999999999996</v>
      </c>
      <c r="V195" t="s">
        <v>112</v>
      </c>
      <c r="W195">
        <v>4.8356055000000002E-2</v>
      </c>
      <c r="X195">
        <v>9.2871121000000001E-2</v>
      </c>
      <c r="Y195">
        <v>2.179677748</v>
      </c>
      <c r="Z195">
        <v>2.2748267289999999</v>
      </c>
      <c r="AA195">
        <v>0.657915574</v>
      </c>
      <c r="AB195">
        <v>1.2635719999999999</v>
      </c>
      <c r="AC195">
        <v>2.4267767220000001</v>
      </c>
      <c r="AD195">
        <v>4.6607912019999995</v>
      </c>
      <c r="AE195">
        <v>4.8356054520000002</v>
      </c>
      <c r="AF195">
        <v>4.8356054520000002</v>
      </c>
      <c r="AG195">
        <v>4.8356054520000002</v>
      </c>
      <c r="AH195">
        <v>4.8356054520000002</v>
      </c>
      <c r="AI195">
        <v>4.8356054520000002</v>
      </c>
      <c r="AJ195">
        <v>4.8356054520000002</v>
      </c>
      <c r="AK195">
        <v>4.8356054520000002</v>
      </c>
      <c r="AL195">
        <v>4.8356054520000002</v>
      </c>
      <c r="AM195">
        <v>4.8356054520000002</v>
      </c>
      <c r="AN195">
        <v>4.8356054520000002</v>
      </c>
      <c r="AO195">
        <v>61.960841671000018</v>
      </c>
    </row>
    <row r="196" spans="1:41" x14ac:dyDescent="0.25">
      <c r="A196" t="s">
        <v>11</v>
      </c>
      <c r="B196" t="s">
        <v>115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 t="s">
        <v>115</v>
      </c>
      <c r="W196">
        <v>9.6712109000000004E-2</v>
      </c>
      <c r="X196">
        <v>0.185742241</v>
      </c>
      <c r="Y196">
        <v>0.35673071899999997</v>
      </c>
      <c r="Z196">
        <v>0.68512582100000008</v>
      </c>
      <c r="AA196">
        <v>1.3158311469999999</v>
      </c>
      <c r="AB196">
        <v>2.5271439999999998</v>
      </c>
      <c r="AC196">
        <v>4.8535534440000001</v>
      </c>
      <c r="AD196">
        <v>9.321582403999999</v>
      </c>
      <c r="AE196">
        <v>9.6712109060000007</v>
      </c>
      <c r="AF196">
        <v>9.6712109060000007</v>
      </c>
      <c r="AG196">
        <v>9.6712109060000007</v>
      </c>
      <c r="AH196">
        <v>9.6712109060000007</v>
      </c>
      <c r="AI196">
        <v>9.6712109060000007</v>
      </c>
      <c r="AJ196">
        <v>9.6712109060000007</v>
      </c>
      <c r="AK196">
        <v>9.6712109060000007</v>
      </c>
      <c r="AL196">
        <v>9.6712109060000007</v>
      </c>
      <c r="AM196">
        <v>9.6712109060000007</v>
      </c>
      <c r="AN196">
        <v>9.6712109060000007</v>
      </c>
      <c r="AO196">
        <v>116.054530945</v>
      </c>
    </row>
    <row r="197" spans="1:41" x14ac:dyDescent="0.25">
      <c r="A197" t="s">
        <v>11</v>
      </c>
      <c r="B197" t="s">
        <v>116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 t="s">
        <v>116</v>
      </c>
      <c r="W197">
        <v>0.14506816400000003</v>
      </c>
      <c r="X197">
        <v>0.278613361</v>
      </c>
      <c r="Y197">
        <v>0.53509607699999995</v>
      </c>
      <c r="Z197">
        <v>1.0276887319999999</v>
      </c>
      <c r="AA197">
        <v>1.9737467199999998</v>
      </c>
      <c r="AB197">
        <v>3.7907159990000001</v>
      </c>
      <c r="AC197">
        <v>7.2803301659999997</v>
      </c>
      <c r="AD197">
        <v>13.982373607</v>
      </c>
      <c r="AE197">
        <v>14.506816358000002</v>
      </c>
      <c r="AF197">
        <v>14.506816358000002</v>
      </c>
      <c r="AG197">
        <v>14.506816358000002</v>
      </c>
      <c r="AH197">
        <v>14.506816358000002</v>
      </c>
      <c r="AI197">
        <v>14.506816358000002</v>
      </c>
      <c r="AJ197">
        <v>14.506816358000002</v>
      </c>
      <c r="AK197">
        <v>14.506816358000002</v>
      </c>
      <c r="AL197">
        <v>14.506816358000002</v>
      </c>
      <c r="AM197">
        <v>14.506816358000002</v>
      </c>
      <c r="AN197">
        <v>14.506816358000002</v>
      </c>
      <c r="AO197">
        <v>174.08179640600005</v>
      </c>
    </row>
    <row r="198" spans="1:41" x14ac:dyDescent="0.25">
      <c r="A198" t="s">
        <v>11</v>
      </c>
      <c r="B198" t="s">
        <v>117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 t="s">
        <v>117</v>
      </c>
      <c r="W198">
        <v>0</v>
      </c>
      <c r="X198">
        <v>0</v>
      </c>
      <c r="Y198">
        <v>0</v>
      </c>
      <c r="Z198">
        <v>0</v>
      </c>
      <c r="AA198">
        <v>9.0865473310000002</v>
      </c>
      <c r="AB198">
        <v>9.0865473310000002</v>
      </c>
      <c r="AC198">
        <v>9.0865473310000002</v>
      </c>
      <c r="AD198">
        <v>9.0865473310000002</v>
      </c>
      <c r="AE198">
        <v>9.0865473310000002</v>
      </c>
      <c r="AF198">
        <v>9.0865473310000002</v>
      </c>
      <c r="AG198">
        <v>9.0865473310000002</v>
      </c>
      <c r="AH198">
        <v>9.0865473310000002</v>
      </c>
      <c r="AI198">
        <v>9.0865473310000002</v>
      </c>
      <c r="AJ198">
        <v>9.0865473310000002</v>
      </c>
      <c r="AK198">
        <v>9.0865473310000002</v>
      </c>
      <c r="AL198">
        <v>9.0865473310000002</v>
      </c>
      <c r="AM198">
        <v>9.0865473310000002</v>
      </c>
      <c r="AN198">
        <v>9.0865473310000002</v>
      </c>
      <c r="AO198">
        <v>127.21166263400004</v>
      </c>
    </row>
    <row r="199" spans="1:41" x14ac:dyDescent="0.25">
      <c r="A199" t="s">
        <v>8</v>
      </c>
      <c r="B199" t="s">
        <v>112</v>
      </c>
      <c r="C199">
        <v>0</v>
      </c>
      <c r="D199">
        <v>0</v>
      </c>
      <c r="E199">
        <v>0</v>
      </c>
      <c r="F199">
        <v>3.5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3.5</v>
      </c>
      <c r="V199" t="s">
        <v>112</v>
      </c>
      <c r="W199">
        <v>2.8690189000000001E-2</v>
      </c>
      <c r="X199">
        <v>5.5101478000000002E-2</v>
      </c>
      <c r="Y199">
        <v>0.10582616900000001</v>
      </c>
      <c r="Z199">
        <v>3.5115702560000002</v>
      </c>
      <c r="AA199">
        <v>0.390348692</v>
      </c>
      <c r="AB199">
        <v>0.74969144700000001</v>
      </c>
      <c r="AC199">
        <v>1.439833863</v>
      </c>
      <c r="AD199">
        <v>2.765299722</v>
      </c>
      <c r="AE199">
        <v>2.8690189790000002</v>
      </c>
      <c r="AF199">
        <v>2.8690189790000002</v>
      </c>
      <c r="AG199">
        <v>2.8690189790000002</v>
      </c>
      <c r="AH199">
        <v>2.8690189790000002</v>
      </c>
      <c r="AI199">
        <v>2.8690189790000002</v>
      </c>
      <c r="AJ199">
        <v>2.8690189790000002</v>
      </c>
      <c r="AK199">
        <v>2.8690189790000002</v>
      </c>
      <c r="AL199">
        <v>2.8690189790000002</v>
      </c>
      <c r="AM199">
        <v>2.8690189790000002</v>
      </c>
      <c r="AN199">
        <v>2.8690189790000002</v>
      </c>
      <c r="AO199">
        <v>37.736551606000006</v>
      </c>
    </row>
    <row r="200" spans="1:41" x14ac:dyDescent="0.25">
      <c r="A200" t="s">
        <v>8</v>
      </c>
      <c r="B200" t="s">
        <v>115</v>
      </c>
      <c r="C200">
        <v>0</v>
      </c>
      <c r="D200">
        <v>0</v>
      </c>
      <c r="E200">
        <v>0.5</v>
      </c>
      <c r="F200">
        <v>0.5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1</v>
      </c>
      <c r="V200" t="s">
        <v>115</v>
      </c>
      <c r="W200">
        <v>5.7380379000000002E-2</v>
      </c>
      <c r="X200">
        <v>0.110202956</v>
      </c>
      <c r="Y200">
        <v>0.69960355600000002</v>
      </c>
      <c r="Z200">
        <v>0.88335232599999991</v>
      </c>
      <c r="AA200">
        <v>0.78069738499999997</v>
      </c>
      <c r="AB200">
        <v>1.4993828929999999</v>
      </c>
      <c r="AC200">
        <v>2.8796677229999998</v>
      </c>
      <c r="AD200">
        <v>5.5305994440000008</v>
      </c>
      <c r="AE200">
        <v>5.7380379570000004</v>
      </c>
      <c r="AF200">
        <v>5.7380379570000004</v>
      </c>
      <c r="AG200">
        <v>5.7380379570000004</v>
      </c>
      <c r="AH200">
        <v>5.7380379570000004</v>
      </c>
      <c r="AI200">
        <v>5.7380379570000004</v>
      </c>
      <c r="AJ200">
        <v>5.7380379570000004</v>
      </c>
      <c r="AK200">
        <v>5.7380379570000004</v>
      </c>
      <c r="AL200">
        <v>5.7380379570000004</v>
      </c>
      <c r="AM200">
        <v>5.7380379570000004</v>
      </c>
      <c r="AN200">
        <v>5.7380379570000004</v>
      </c>
      <c r="AO200">
        <v>69.821266232000013</v>
      </c>
    </row>
    <row r="201" spans="1:41" x14ac:dyDescent="0.25">
      <c r="A201" t="s">
        <v>8</v>
      </c>
      <c r="B201" t="s">
        <v>116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 t="s">
        <v>116</v>
      </c>
      <c r="W201">
        <v>8.6070568E-2</v>
      </c>
      <c r="X201">
        <v>0.165304434</v>
      </c>
      <c r="Y201">
        <v>0.31747850700000002</v>
      </c>
      <c r="Z201">
        <v>0.60973925699999998</v>
      </c>
      <c r="AA201">
        <v>1.171046078</v>
      </c>
      <c r="AB201">
        <v>2.2490743399999999</v>
      </c>
      <c r="AC201">
        <v>4.3195015850000003</v>
      </c>
      <c r="AD201">
        <v>8.2958991659999999</v>
      </c>
      <c r="AE201">
        <v>8.6070569369999994</v>
      </c>
      <c r="AF201">
        <v>8.6070569369999994</v>
      </c>
      <c r="AG201">
        <v>8.6070569369999994</v>
      </c>
      <c r="AH201">
        <v>8.6070569369999994</v>
      </c>
      <c r="AI201">
        <v>8.6070569369999994</v>
      </c>
      <c r="AJ201">
        <v>8.6070569369999994</v>
      </c>
      <c r="AK201">
        <v>8.6070569369999994</v>
      </c>
      <c r="AL201">
        <v>8.6070569369999994</v>
      </c>
      <c r="AM201">
        <v>8.6070569369999994</v>
      </c>
      <c r="AN201">
        <v>8.6070569369999994</v>
      </c>
      <c r="AO201">
        <v>103.28468330499997</v>
      </c>
    </row>
    <row r="202" spans="1:41" x14ac:dyDescent="0.25">
      <c r="A202" t="s">
        <v>8</v>
      </c>
      <c r="B202" t="s">
        <v>117</v>
      </c>
      <c r="C202">
        <v>0</v>
      </c>
      <c r="D202">
        <v>0</v>
      </c>
      <c r="E202">
        <v>2.88</v>
      </c>
      <c r="F202">
        <v>6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8.879999999999999</v>
      </c>
      <c r="V202" t="s">
        <v>117</v>
      </c>
      <c r="W202">
        <v>0</v>
      </c>
      <c r="X202">
        <v>0</v>
      </c>
      <c r="Y202">
        <v>2.88</v>
      </c>
      <c r="Z202">
        <v>6</v>
      </c>
      <c r="AA202">
        <v>9.9043365909999999</v>
      </c>
      <c r="AB202">
        <v>9.9043365909999999</v>
      </c>
      <c r="AC202">
        <v>9.9043365909999999</v>
      </c>
      <c r="AD202">
        <v>9.9043365909999999</v>
      </c>
      <c r="AE202">
        <v>9.9043365909999999</v>
      </c>
      <c r="AF202">
        <v>9.9043365909999999</v>
      </c>
      <c r="AG202">
        <v>9.9043365909999999</v>
      </c>
      <c r="AH202">
        <v>9.9043365909999999</v>
      </c>
      <c r="AI202">
        <v>9.9043365909999999</v>
      </c>
      <c r="AJ202">
        <v>9.9043365909999999</v>
      </c>
      <c r="AK202">
        <v>9.9043365909999999</v>
      </c>
      <c r="AL202">
        <v>9.9043365909999999</v>
      </c>
      <c r="AM202">
        <v>9.9043365909999999</v>
      </c>
      <c r="AN202">
        <v>9.9043365909999999</v>
      </c>
      <c r="AO202">
        <v>147.54071227400001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CAD5C-89A4-41ED-942B-B8730DFFD6BB}">
  <sheetPr filterMode="1"/>
  <dimension ref="A1:I1999"/>
  <sheetViews>
    <sheetView workbookViewId="0">
      <selection activeCell="A452" sqref="A452:I884"/>
    </sheetView>
  </sheetViews>
  <sheetFormatPr defaultRowHeight="15" x14ac:dyDescent="0.25"/>
  <cols>
    <col min="1" max="1" width="15.7109375" bestFit="1" customWidth="1"/>
    <col min="7" max="7" width="13.28515625" bestFit="1" customWidth="1"/>
    <col min="8" max="8" width="13.42578125" bestFit="1" customWidth="1"/>
  </cols>
  <sheetData>
    <row r="1" spans="1:9" x14ac:dyDescent="0.25">
      <c r="A1" t="s">
        <v>52</v>
      </c>
      <c r="B1" t="s">
        <v>75</v>
      </c>
      <c r="C1" t="s">
        <v>76</v>
      </c>
      <c r="D1" t="s">
        <v>77</v>
      </c>
      <c r="E1" t="s">
        <v>78</v>
      </c>
      <c r="F1" t="s">
        <v>3</v>
      </c>
      <c r="G1" t="s">
        <v>79</v>
      </c>
      <c r="H1" t="s">
        <v>80</v>
      </c>
      <c r="I1" t="s">
        <v>81</v>
      </c>
    </row>
    <row r="2" spans="1:9" hidden="1" x14ac:dyDescent="0.25">
      <c r="A2" t="s">
        <v>54</v>
      </c>
      <c r="B2" t="s">
        <v>6</v>
      </c>
      <c r="C2" t="s">
        <v>10</v>
      </c>
      <c r="D2" t="s">
        <v>6</v>
      </c>
      <c r="E2" t="s">
        <v>10</v>
      </c>
      <c r="F2">
        <v>2024</v>
      </c>
      <c r="G2">
        <v>926</v>
      </c>
      <c r="H2">
        <v>2E-3</v>
      </c>
      <c r="I2">
        <v>-1</v>
      </c>
    </row>
    <row r="3" spans="1:9" hidden="1" x14ac:dyDescent="0.25">
      <c r="A3" t="s">
        <v>54</v>
      </c>
      <c r="B3" t="s">
        <v>6</v>
      </c>
      <c r="C3" t="s">
        <v>10</v>
      </c>
      <c r="D3" t="s">
        <v>6</v>
      </c>
      <c r="E3" t="s">
        <v>10</v>
      </c>
      <c r="F3">
        <v>2025</v>
      </c>
      <c r="G3">
        <v>947.21769670000003</v>
      </c>
      <c r="H3">
        <v>2E-3</v>
      </c>
      <c r="I3">
        <v>-1</v>
      </c>
    </row>
    <row r="4" spans="1:9" hidden="1" x14ac:dyDescent="0.25">
      <c r="A4" t="s">
        <v>54</v>
      </c>
      <c r="B4" t="s">
        <v>6</v>
      </c>
      <c r="C4" t="s">
        <v>10</v>
      </c>
      <c r="D4" t="s">
        <v>6</v>
      </c>
      <c r="E4" t="s">
        <v>10</v>
      </c>
      <c r="F4">
        <v>2026</v>
      </c>
      <c r="G4">
        <v>968.92156039999998</v>
      </c>
      <c r="H4">
        <v>2E-3</v>
      </c>
      <c r="I4">
        <v>-1</v>
      </c>
    </row>
    <row r="5" spans="1:9" hidden="1" x14ac:dyDescent="0.25">
      <c r="A5" t="s">
        <v>54</v>
      </c>
      <c r="B5" t="s">
        <v>6</v>
      </c>
      <c r="C5" t="s">
        <v>10</v>
      </c>
      <c r="D5" t="s">
        <v>6</v>
      </c>
      <c r="E5" t="s">
        <v>10</v>
      </c>
      <c r="F5">
        <v>2027</v>
      </c>
      <c r="G5">
        <v>991.1227308</v>
      </c>
      <c r="H5">
        <v>2E-3</v>
      </c>
      <c r="I5">
        <v>-1</v>
      </c>
    </row>
    <row r="6" spans="1:9" hidden="1" x14ac:dyDescent="0.25">
      <c r="A6" t="s">
        <v>54</v>
      </c>
      <c r="B6" t="s">
        <v>6</v>
      </c>
      <c r="C6" t="s">
        <v>10</v>
      </c>
      <c r="D6" t="s">
        <v>6</v>
      </c>
      <c r="E6" t="s">
        <v>10</v>
      </c>
      <c r="F6">
        <v>2028</v>
      </c>
      <c r="G6">
        <v>1013.8326029999999</v>
      </c>
      <c r="H6">
        <v>2E-3</v>
      </c>
      <c r="I6">
        <v>-1</v>
      </c>
    </row>
    <row r="7" spans="1:9" hidden="1" x14ac:dyDescent="0.25">
      <c r="A7" t="s">
        <v>54</v>
      </c>
      <c r="B7" t="s">
        <v>6</v>
      </c>
      <c r="C7" t="s">
        <v>10</v>
      </c>
      <c r="D7" t="s">
        <v>6</v>
      </c>
      <c r="E7" t="s">
        <v>10</v>
      </c>
      <c r="F7">
        <v>2029</v>
      </c>
      <c r="G7">
        <v>1037.062833</v>
      </c>
      <c r="H7">
        <v>2E-3</v>
      </c>
      <c r="I7">
        <v>-1</v>
      </c>
    </row>
    <row r="8" spans="1:9" hidden="1" x14ac:dyDescent="0.25">
      <c r="A8" t="s">
        <v>54</v>
      </c>
      <c r="B8" t="s">
        <v>6</v>
      </c>
      <c r="C8" t="s">
        <v>10</v>
      </c>
      <c r="D8" t="s">
        <v>6</v>
      </c>
      <c r="E8" t="s">
        <v>10</v>
      </c>
      <c r="F8">
        <v>2030</v>
      </c>
      <c r="G8">
        <v>1060.825343</v>
      </c>
      <c r="H8">
        <v>2E-3</v>
      </c>
      <c r="I8">
        <v>-1</v>
      </c>
    </row>
    <row r="9" spans="1:9" hidden="1" x14ac:dyDescent="0.25">
      <c r="A9" t="s">
        <v>54</v>
      </c>
      <c r="B9" t="s">
        <v>6</v>
      </c>
      <c r="C9" t="s">
        <v>10</v>
      </c>
      <c r="D9" t="s">
        <v>6</v>
      </c>
      <c r="E9" t="s">
        <v>10</v>
      </c>
      <c r="F9">
        <v>2031</v>
      </c>
      <c r="G9">
        <v>1085.1323299999999</v>
      </c>
      <c r="H9">
        <v>2E-3</v>
      </c>
      <c r="I9">
        <v>-1</v>
      </c>
    </row>
    <row r="10" spans="1:9" hidden="1" x14ac:dyDescent="0.25">
      <c r="A10" t="s">
        <v>54</v>
      </c>
      <c r="B10" t="s">
        <v>6</v>
      </c>
      <c r="C10" t="s">
        <v>10</v>
      </c>
      <c r="D10" t="s">
        <v>6</v>
      </c>
      <c r="E10" t="s">
        <v>10</v>
      </c>
      <c r="F10">
        <v>2032</v>
      </c>
      <c r="G10">
        <v>1109.996271</v>
      </c>
      <c r="H10">
        <v>2E-3</v>
      </c>
      <c r="I10">
        <v>-1</v>
      </c>
    </row>
    <row r="11" spans="1:9" hidden="1" x14ac:dyDescent="0.25">
      <c r="A11" t="s">
        <v>54</v>
      </c>
      <c r="B11" t="s">
        <v>6</v>
      </c>
      <c r="C11" t="s">
        <v>10</v>
      </c>
      <c r="D11" t="s">
        <v>6</v>
      </c>
      <c r="E11" t="s">
        <v>10</v>
      </c>
      <c r="F11">
        <v>2033</v>
      </c>
      <c r="G11">
        <v>1135.4299249999999</v>
      </c>
      <c r="H11">
        <v>2E-3</v>
      </c>
      <c r="I11">
        <v>-1</v>
      </c>
    </row>
    <row r="12" spans="1:9" hidden="1" x14ac:dyDescent="0.25">
      <c r="A12" t="s">
        <v>54</v>
      </c>
      <c r="B12" t="s">
        <v>6</v>
      </c>
      <c r="C12" t="s">
        <v>10</v>
      </c>
      <c r="D12" t="s">
        <v>6</v>
      </c>
      <c r="E12" t="s">
        <v>10</v>
      </c>
      <c r="F12">
        <v>2034</v>
      </c>
      <c r="G12">
        <v>1161.4463479999999</v>
      </c>
      <c r="H12">
        <v>2E-3</v>
      </c>
      <c r="I12">
        <v>-1</v>
      </c>
    </row>
    <row r="13" spans="1:9" hidden="1" x14ac:dyDescent="0.25">
      <c r="A13" t="s">
        <v>54</v>
      </c>
      <c r="B13" t="s">
        <v>6</v>
      </c>
      <c r="C13" t="s">
        <v>10</v>
      </c>
      <c r="D13" t="s">
        <v>6</v>
      </c>
      <c r="E13" t="s">
        <v>10</v>
      </c>
      <c r="F13">
        <v>2035</v>
      </c>
      <c r="G13">
        <v>1188.0588929999999</v>
      </c>
      <c r="H13">
        <v>2E-3</v>
      </c>
      <c r="I13">
        <v>-1</v>
      </c>
    </row>
    <row r="14" spans="1:9" hidden="1" x14ac:dyDescent="0.25">
      <c r="A14" t="s">
        <v>54</v>
      </c>
      <c r="B14" t="s">
        <v>6</v>
      </c>
      <c r="C14" t="s">
        <v>10</v>
      </c>
      <c r="D14" t="s">
        <v>6</v>
      </c>
      <c r="E14" t="s">
        <v>10</v>
      </c>
      <c r="F14">
        <v>2036</v>
      </c>
      <c r="G14">
        <v>1215.2812180000001</v>
      </c>
      <c r="H14">
        <v>2E-3</v>
      </c>
      <c r="I14">
        <v>-1</v>
      </c>
    </row>
    <row r="15" spans="1:9" hidden="1" x14ac:dyDescent="0.25">
      <c r="A15" t="s">
        <v>54</v>
      </c>
      <c r="B15" t="s">
        <v>6</v>
      </c>
      <c r="C15" t="s">
        <v>10</v>
      </c>
      <c r="D15" t="s">
        <v>6</v>
      </c>
      <c r="E15" t="s">
        <v>10</v>
      </c>
      <c r="F15">
        <v>2037</v>
      </c>
      <c r="G15">
        <v>1243.127297</v>
      </c>
      <c r="H15">
        <v>2E-3</v>
      </c>
      <c r="I15">
        <v>-1</v>
      </c>
    </row>
    <row r="16" spans="1:9" hidden="1" x14ac:dyDescent="0.25">
      <c r="A16" t="s">
        <v>54</v>
      </c>
      <c r="B16" t="s">
        <v>6</v>
      </c>
      <c r="C16" t="s">
        <v>10</v>
      </c>
      <c r="D16" t="s">
        <v>6</v>
      </c>
      <c r="E16" t="s">
        <v>10</v>
      </c>
      <c r="F16">
        <v>2038</v>
      </c>
      <c r="G16">
        <v>1271.61142</v>
      </c>
      <c r="H16">
        <v>2E-3</v>
      </c>
      <c r="I16">
        <v>-1</v>
      </c>
    </row>
    <row r="17" spans="1:9" hidden="1" x14ac:dyDescent="0.25">
      <c r="A17" t="s">
        <v>54</v>
      </c>
      <c r="B17" t="s">
        <v>6</v>
      </c>
      <c r="C17" t="s">
        <v>10</v>
      </c>
      <c r="D17" t="s">
        <v>6</v>
      </c>
      <c r="E17" t="s">
        <v>10</v>
      </c>
      <c r="F17">
        <v>2039</v>
      </c>
      <c r="G17">
        <v>1300.7482070000001</v>
      </c>
      <c r="H17">
        <v>2E-3</v>
      </c>
      <c r="I17">
        <v>-1</v>
      </c>
    </row>
    <row r="18" spans="1:9" hidden="1" x14ac:dyDescent="0.25">
      <c r="A18" t="s">
        <v>54</v>
      </c>
      <c r="B18" t="s">
        <v>6</v>
      </c>
      <c r="C18" t="s">
        <v>10</v>
      </c>
      <c r="D18" t="s">
        <v>6</v>
      </c>
      <c r="E18" t="s">
        <v>10</v>
      </c>
      <c r="F18">
        <v>2040</v>
      </c>
      <c r="G18">
        <v>1330.5526139999999</v>
      </c>
      <c r="H18">
        <v>2E-3</v>
      </c>
      <c r="I18">
        <v>-1</v>
      </c>
    </row>
    <row r="19" spans="1:9" hidden="1" x14ac:dyDescent="0.25">
      <c r="A19" t="s">
        <v>54</v>
      </c>
      <c r="B19" t="s">
        <v>6</v>
      </c>
      <c r="C19" t="s">
        <v>10</v>
      </c>
      <c r="D19" t="s">
        <v>6</v>
      </c>
      <c r="E19" t="s">
        <v>10</v>
      </c>
      <c r="F19">
        <v>2041</v>
      </c>
      <c r="G19">
        <v>1361.0399379999999</v>
      </c>
      <c r="H19">
        <v>2E-3</v>
      </c>
      <c r="I19">
        <v>-1</v>
      </c>
    </row>
    <row r="20" spans="1:9" hidden="1" x14ac:dyDescent="0.25">
      <c r="A20" t="s">
        <v>54</v>
      </c>
      <c r="B20" t="s">
        <v>6</v>
      </c>
      <c r="C20" t="s">
        <v>10</v>
      </c>
      <c r="D20" t="s">
        <v>6</v>
      </c>
      <c r="E20" t="s">
        <v>11</v>
      </c>
      <c r="F20">
        <v>2024</v>
      </c>
      <c r="G20">
        <v>2399.6</v>
      </c>
      <c r="H20">
        <v>8.0000000000000002E-3</v>
      </c>
      <c r="I20">
        <v>-1</v>
      </c>
    </row>
    <row r="21" spans="1:9" hidden="1" x14ac:dyDescent="0.25">
      <c r="A21" t="s">
        <v>54</v>
      </c>
      <c r="B21" t="s">
        <v>6</v>
      </c>
      <c r="C21" t="s">
        <v>10</v>
      </c>
      <c r="D21" t="s">
        <v>6</v>
      </c>
      <c r="E21" t="s">
        <v>11</v>
      </c>
      <c r="F21">
        <v>2025</v>
      </c>
      <c r="G21">
        <v>2399.6</v>
      </c>
      <c r="H21">
        <v>8.0000000000000002E-3</v>
      </c>
      <c r="I21">
        <v>-1</v>
      </c>
    </row>
    <row r="22" spans="1:9" hidden="1" x14ac:dyDescent="0.25">
      <c r="A22" t="s">
        <v>54</v>
      </c>
      <c r="B22" t="s">
        <v>6</v>
      </c>
      <c r="C22" t="s">
        <v>10</v>
      </c>
      <c r="D22" t="s">
        <v>6</v>
      </c>
      <c r="E22" t="s">
        <v>11</v>
      </c>
      <c r="F22">
        <v>2026</v>
      </c>
      <c r="G22">
        <v>2399.6</v>
      </c>
      <c r="H22">
        <v>8.0000000000000002E-3</v>
      </c>
      <c r="I22">
        <v>-1</v>
      </c>
    </row>
    <row r="23" spans="1:9" hidden="1" x14ac:dyDescent="0.25">
      <c r="A23" t="s">
        <v>54</v>
      </c>
      <c r="B23" t="s">
        <v>6</v>
      </c>
      <c r="C23" t="s">
        <v>10</v>
      </c>
      <c r="D23" t="s">
        <v>6</v>
      </c>
      <c r="E23" t="s">
        <v>11</v>
      </c>
      <c r="F23">
        <v>2027</v>
      </c>
      <c r="G23">
        <v>2399.6</v>
      </c>
      <c r="H23">
        <v>8.0000000000000002E-3</v>
      </c>
      <c r="I23">
        <v>-1</v>
      </c>
    </row>
    <row r="24" spans="1:9" hidden="1" x14ac:dyDescent="0.25">
      <c r="A24" t="s">
        <v>54</v>
      </c>
      <c r="B24" t="s">
        <v>6</v>
      </c>
      <c r="C24" t="s">
        <v>10</v>
      </c>
      <c r="D24" t="s">
        <v>6</v>
      </c>
      <c r="E24" t="s">
        <v>11</v>
      </c>
      <c r="F24">
        <v>2028</v>
      </c>
      <c r="G24">
        <v>2399.6</v>
      </c>
      <c r="H24">
        <v>8.0000000000000002E-3</v>
      </c>
      <c r="I24">
        <v>-1</v>
      </c>
    </row>
    <row r="25" spans="1:9" hidden="1" x14ac:dyDescent="0.25">
      <c r="A25" t="s">
        <v>54</v>
      </c>
      <c r="B25" t="s">
        <v>6</v>
      </c>
      <c r="C25" t="s">
        <v>10</v>
      </c>
      <c r="D25" t="s">
        <v>6</v>
      </c>
      <c r="E25" t="s">
        <v>11</v>
      </c>
      <c r="F25">
        <v>2029</v>
      </c>
      <c r="G25">
        <v>2399.6</v>
      </c>
      <c r="H25">
        <v>8.0000000000000002E-3</v>
      </c>
      <c r="I25">
        <v>-1</v>
      </c>
    </row>
    <row r="26" spans="1:9" hidden="1" x14ac:dyDescent="0.25">
      <c r="A26" t="s">
        <v>54</v>
      </c>
      <c r="B26" t="s">
        <v>6</v>
      </c>
      <c r="C26" t="s">
        <v>10</v>
      </c>
      <c r="D26" t="s">
        <v>6</v>
      </c>
      <c r="E26" t="s">
        <v>11</v>
      </c>
      <c r="F26">
        <v>2030</v>
      </c>
      <c r="G26">
        <v>2399.6</v>
      </c>
      <c r="H26">
        <v>8.0000000000000002E-3</v>
      </c>
      <c r="I26">
        <v>-1</v>
      </c>
    </row>
    <row r="27" spans="1:9" hidden="1" x14ac:dyDescent="0.25">
      <c r="A27" t="s">
        <v>54</v>
      </c>
      <c r="B27" t="s">
        <v>6</v>
      </c>
      <c r="C27" t="s">
        <v>10</v>
      </c>
      <c r="D27" t="s">
        <v>6</v>
      </c>
      <c r="E27" t="s">
        <v>11</v>
      </c>
      <c r="F27">
        <v>2031</v>
      </c>
      <c r="G27">
        <v>2399.6</v>
      </c>
      <c r="H27">
        <v>8.0000000000000002E-3</v>
      </c>
      <c r="I27">
        <v>-1</v>
      </c>
    </row>
    <row r="28" spans="1:9" hidden="1" x14ac:dyDescent="0.25">
      <c r="A28" t="s">
        <v>54</v>
      </c>
      <c r="B28" t="s">
        <v>6</v>
      </c>
      <c r="C28" t="s">
        <v>10</v>
      </c>
      <c r="D28" t="s">
        <v>6</v>
      </c>
      <c r="E28" t="s">
        <v>11</v>
      </c>
      <c r="F28">
        <v>2032</v>
      </c>
      <c r="G28">
        <v>2399.6</v>
      </c>
      <c r="H28">
        <v>8.0000000000000002E-3</v>
      </c>
      <c r="I28">
        <v>-1</v>
      </c>
    </row>
    <row r="29" spans="1:9" hidden="1" x14ac:dyDescent="0.25">
      <c r="A29" t="s">
        <v>54</v>
      </c>
      <c r="B29" t="s">
        <v>6</v>
      </c>
      <c r="C29" t="s">
        <v>10</v>
      </c>
      <c r="D29" t="s">
        <v>6</v>
      </c>
      <c r="E29" t="s">
        <v>11</v>
      </c>
      <c r="F29">
        <v>2033</v>
      </c>
      <c r="G29">
        <v>2399.6</v>
      </c>
      <c r="H29">
        <v>8.0000000000000002E-3</v>
      </c>
      <c r="I29">
        <v>-1</v>
      </c>
    </row>
    <row r="30" spans="1:9" hidden="1" x14ac:dyDescent="0.25">
      <c r="A30" t="s">
        <v>54</v>
      </c>
      <c r="B30" t="s">
        <v>6</v>
      </c>
      <c r="C30" t="s">
        <v>10</v>
      </c>
      <c r="D30" t="s">
        <v>6</v>
      </c>
      <c r="E30" t="s">
        <v>11</v>
      </c>
      <c r="F30">
        <v>2034</v>
      </c>
      <c r="G30">
        <v>2399.6</v>
      </c>
      <c r="H30">
        <v>8.0000000000000002E-3</v>
      </c>
      <c r="I30">
        <v>-1</v>
      </c>
    </row>
    <row r="31" spans="1:9" hidden="1" x14ac:dyDescent="0.25">
      <c r="A31" t="s">
        <v>54</v>
      </c>
      <c r="B31" t="s">
        <v>6</v>
      </c>
      <c r="C31" t="s">
        <v>10</v>
      </c>
      <c r="D31" t="s">
        <v>6</v>
      </c>
      <c r="E31" t="s">
        <v>11</v>
      </c>
      <c r="F31">
        <v>2035</v>
      </c>
      <c r="G31">
        <v>2399.6</v>
      </c>
      <c r="H31">
        <v>8.0000000000000002E-3</v>
      </c>
      <c r="I31">
        <v>-1</v>
      </c>
    </row>
    <row r="32" spans="1:9" hidden="1" x14ac:dyDescent="0.25">
      <c r="A32" t="s">
        <v>54</v>
      </c>
      <c r="B32" t="s">
        <v>6</v>
      </c>
      <c r="C32" t="s">
        <v>10</v>
      </c>
      <c r="D32" t="s">
        <v>6</v>
      </c>
      <c r="E32" t="s">
        <v>11</v>
      </c>
      <c r="F32">
        <v>2036</v>
      </c>
      <c r="G32">
        <v>2399.6</v>
      </c>
      <c r="H32">
        <v>8.0000000000000002E-3</v>
      </c>
      <c r="I32">
        <v>-1</v>
      </c>
    </row>
    <row r="33" spans="1:9" hidden="1" x14ac:dyDescent="0.25">
      <c r="A33" t="s">
        <v>54</v>
      </c>
      <c r="B33" t="s">
        <v>6</v>
      </c>
      <c r="C33" t="s">
        <v>10</v>
      </c>
      <c r="D33" t="s">
        <v>6</v>
      </c>
      <c r="E33" t="s">
        <v>11</v>
      </c>
      <c r="F33">
        <v>2037</v>
      </c>
      <c r="G33">
        <v>2399.6</v>
      </c>
      <c r="H33">
        <v>8.0000000000000002E-3</v>
      </c>
      <c r="I33">
        <v>-1</v>
      </c>
    </row>
    <row r="34" spans="1:9" hidden="1" x14ac:dyDescent="0.25">
      <c r="A34" t="s">
        <v>54</v>
      </c>
      <c r="B34" t="s">
        <v>6</v>
      </c>
      <c r="C34" t="s">
        <v>10</v>
      </c>
      <c r="D34" t="s">
        <v>6</v>
      </c>
      <c r="E34" t="s">
        <v>11</v>
      </c>
      <c r="F34">
        <v>2038</v>
      </c>
      <c r="G34">
        <v>2399.6</v>
      </c>
      <c r="H34">
        <v>8.0000000000000002E-3</v>
      </c>
      <c r="I34">
        <v>-1</v>
      </c>
    </row>
    <row r="35" spans="1:9" hidden="1" x14ac:dyDescent="0.25">
      <c r="A35" t="s">
        <v>54</v>
      </c>
      <c r="B35" t="s">
        <v>6</v>
      </c>
      <c r="C35" t="s">
        <v>10</v>
      </c>
      <c r="D35" t="s">
        <v>6</v>
      </c>
      <c r="E35" t="s">
        <v>11</v>
      </c>
      <c r="F35">
        <v>2039</v>
      </c>
      <c r="G35">
        <v>2399.6</v>
      </c>
      <c r="H35">
        <v>8.0000000000000002E-3</v>
      </c>
      <c r="I35">
        <v>-1</v>
      </c>
    </row>
    <row r="36" spans="1:9" hidden="1" x14ac:dyDescent="0.25">
      <c r="A36" t="s">
        <v>54</v>
      </c>
      <c r="B36" t="s">
        <v>6</v>
      </c>
      <c r="C36" t="s">
        <v>10</v>
      </c>
      <c r="D36" t="s">
        <v>6</v>
      </c>
      <c r="E36" t="s">
        <v>11</v>
      </c>
      <c r="F36">
        <v>2040</v>
      </c>
      <c r="G36">
        <v>2399.6</v>
      </c>
      <c r="H36">
        <v>8.0000000000000002E-3</v>
      </c>
      <c r="I36">
        <v>-1</v>
      </c>
    </row>
    <row r="37" spans="1:9" hidden="1" x14ac:dyDescent="0.25">
      <c r="A37" t="s">
        <v>54</v>
      </c>
      <c r="B37" t="s">
        <v>6</v>
      </c>
      <c r="C37" t="s">
        <v>10</v>
      </c>
      <c r="D37" t="s">
        <v>6</v>
      </c>
      <c r="E37" t="s">
        <v>11</v>
      </c>
      <c r="F37">
        <v>2041</v>
      </c>
      <c r="G37">
        <v>2399.6</v>
      </c>
      <c r="H37">
        <v>8.0000000000000002E-3</v>
      </c>
      <c r="I37">
        <v>-1</v>
      </c>
    </row>
    <row r="38" spans="1:9" hidden="1" x14ac:dyDescent="0.25">
      <c r="A38" t="s">
        <v>54</v>
      </c>
      <c r="B38" t="s">
        <v>6</v>
      </c>
      <c r="C38" t="s">
        <v>10</v>
      </c>
      <c r="D38" t="s">
        <v>6</v>
      </c>
      <c r="E38" t="s">
        <v>12</v>
      </c>
      <c r="F38">
        <v>2024</v>
      </c>
      <c r="G38">
        <v>2497.6</v>
      </c>
      <c r="H38">
        <v>8.0000000000000002E-3</v>
      </c>
      <c r="I38">
        <v>-1</v>
      </c>
    </row>
    <row r="39" spans="1:9" hidden="1" x14ac:dyDescent="0.25">
      <c r="A39" t="s">
        <v>54</v>
      </c>
      <c r="B39" t="s">
        <v>6</v>
      </c>
      <c r="C39" t="s">
        <v>10</v>
      </c>
      <c r="D39" t="s">
        <v>6</v>
      </c>
      <c r="E39" t="s">
        <v>12</v>
      </c>
      <c r="F39">
        <v>2025</v>
      </c>
      <c r="G39">
        <v>2497.6</v>
      </c>
      <c r="H39">
        <v>8.0000000000000002E-3</v>
      </c>
      <c r="I39">
        <v>-1</v>
      </c>
    </row>
    <row r="40" spans="1:9" hidden="1" x14ac:dyDescent="0.25">
      <c r="A40" t="s">
        <v>54</v>
      </c>
      <c r="B40" t="s">
        <v>6</v>
      </c>
      <c r="C40" t="s">
        <v>10</v>
      </c>
      <c r="D40" t="s">
        <v>6</v>
      </c>
      <c r="E40" t="s">
        <v>12</v>
      </c>
      <c r="F40">
        <v>2026</v>
      </c>
      <c r="G40">
        <v>2497.6</v>
      </c>
      <c r="H40">
        <v>8.0000000000000002E-3</v>
      </c>
      <c r="I40">
        <v>-1</v>
      </c>
    </row>
    <row r="41" spans="1:9" hidden="1" x14ac:dyDescent="0.25">
      <c r="A41" t="s">
        <v>54</v>
      </c>
      <c r="B41" t="s">
        <v>6</v>
      </c>
      <c r="C41" t="s">
        <v>10</v>
      </c>
      <c r="D41" t="s">
        <v>6</v>
      </c>
      <c r="E41" t="s">
        <v>12</v>
      </c>
      <c r="F41">
        <v>2027</v>
      </c>
      <c r="G41">
        <v>2497.6</v>
      </c>
      <c r="H41">
        <v>8.0000000000000002E-3</v>
      </c>
      <c r="I41">
        <v>-1</v>
      </c>
    </row>
    <row r="42" spans="1:9" hidden="1" x14ac:dyDescent="0.25">
      <c r="A42" t="s">
        <v>54</v>
      </c>
      <c r="B42" t="s">
        <v>6</v>
      </c>
      <c r="C42" t="s">
        <v>10</v>
      </c>
      <c r="D42" t="s">
        <v>6</v>
      </c>
      <c r="E42" t="s">
        <v>12</v>
      </c>
      <c r="F42">
        <v>2028</v>
      </c>
      <c r="G42">
        <v>2497.6</v>
      </c>
      <c r="H42">
        <v>8.0000000000000002E-3</v>
      </c>
      <c r="I42">
        <v>-1</v>
      </c>
    </row>
    <row r="43" spans="1:9" hidden="1" x14ac:dyDescent="0.25">
      <c r="A43" t="s">
        <v>54</v>
      </c>
      <c r="B43" t="s">
        <v>6</v>
      </c>
      <c r="C43" t="s">
        <v>10</v>
      </c>
      <c r="D43" t="s">
        <v>6</v>
      </c>
      <c r="E43" t="s">
        <v>12</v>
      </c>
      <c r="F43">
        <v>2029</v>
      </c>
      <c r="G43">
        <v>2497.6</v>
      </c>
      <c r="H43">
        <v>8.0000000000000002E-3</v>
      </c>
      <c r="I43">
        <v>-1</v>
      </c>
    </row>
    <row r="44" spans="1:9" hidden="1" x14ac:dyDescent="0.25">
      <c r="A44" t="s">
        <v>54</v>
      </c>
      <c r="B44" t="s">
        <v>6</v>
      </c>
      <c r="C44" t="s">
        <v>10</v>
      </c>
      <c r="D44" t="s">
        <v>6</v>
      </c>
      <c r="E44" t="s">
        <v>12</v>
      </c>
      <c r="F44">
        <v>2030</v>
      </c>
      <c r="G44">
        <v>2497.6</v>
      </c>
      <c r="H44">
        <v>8.0000000000000002E-3</v>
      </c>
      <c r="I44">
        <v>-1</v>
      </c>
    </row>
    <row r="45" spans="1:9" hidden="1" x14ac:dyDescent="0.25">
      <c r="A45" t="s">
        <v>54</v>
      </c>
      <c r="B45" t="s">
        <v>6</v>
      </c>
      <c r="C45" t="s">
        <v>10</v>
      </c>
      <c r="D45" t="s">
        <v>6</v>
      </c>
      <c r="E45" t="s">
        <v>12</v>
      </c>
      <c r="F45">
        <v>2031</v>
      </c>
      <c r="G45">
        <v>2497.6</v>
      </c>
      <c r="H45">
        <v>8.0000000000000002E-3</v>
      </c>
      <c r="I45">
        <v>-1</v>
      </c>
    </row>
    <row r="46" spans="1:9" hidden="1" x14ac:dyDescent="0.25">
      <c r="A46" t="s">
        <v>54</v>
      </c>
      <c r="B46" t="s">
        <v>6</v>
      </c>
      <c r="C46" t="s">
        <v>10</v>
      </c>
      <c r="D46" t="s">
        <v>6</v>
      </c>
      <c r="E46" t="s">
        <v>12</v>
      </c>
      <c r="F46">
        <v>2032</v>
      </c>
      <c r="G46">
        <v>2497.6</v>
      </c>
      <c r="H46">
        <v>8.0000000000000002E-3</v>
      </c>
      <c r="I46">
        <v>-1</v>
      </c>
    </row>
    <row r="47" spans="1:9" hidden="1" x14ac:dyDescent="0.25">
      <c r="A47" t="s">
        <v>54</v>
      </c>
      <c r="B47" t="s">
        <v>6</v>
      </c>
      <c r="C47" t="s">
        <v>10</v>
      </c>
      <c r="D47" t="s">
        <v>6</v>
      </c>
      <c r="E47" t="s">
        <v>12</v>
      </c>
      <c r="F47">
        <v>2033</v>
      </c>
      <c r="G47">
        <v>2497.6</v>
      </c>
      <c r="H47">
        <v>8.0000000000000002E-3</v>
      </c>
      <c r="I47">
        <v>-1</v>
      </c>
    </row>
    <row r="48" spans="1:9" hidden="1" x14ac:dyDescent="0.25">
      <c r="A48" t="s">
        <v>54</v>
      </c>
      <c r="B48" t="s">
        <v>6</v>
      </c>
      <c r="C48" t="s">
        <v>10</v>
      </c>
      <c r="D48" t="s">
        <v>6</v>
      </c>
      <c r="E48" t="s">
        <v>12</v>
      </c>
      <c r="F48">
        <v>2034</v>
      </c>
      <c r="G48">
        <v>2497.6</v>
      </c>
      <c r="H48">
        <v>8.0000000000000002E-3</v>
      </c>
      <c r="I48">
        <v>-1</v>
      </c>
    </row>
    <row r="49" spans="1:9" hidden="1" x14ac:dyDescent="0.25">
      <c r="A49" t="s">
        <v>54</v>
      </c>
      <c r="B49" t="s">
        <v>6</v>
      </c>
      <c r="C49" t="s">
        <v>10</v>
      </c>
      <c r="D49" t="s">
        <v>6</v>
      </c>
      <c r="E49" t="s">
        <v>12</v>
      </c>
      <c r="F49">
        <v>2035</v>
      </c>
      <c r="G49">
        <v>2497.6</v>
      </c>
      <c r="H49">
        <v>8.0000000000000002E-3</v>
      </c>
      <c r="I49">
        <v>-1</v>
      </c>
    </row>
    <row r="50" spans="1:9" hidden="1" x14ac:dyDescent="0.25">
      <c r="A50" t="s">
        <v>54</v>
      </c>
      <c r="B50" t="s">
        <v>6</v>
      </c>
      <c r="C50" t="s">
        <v>10</v>
      </c>
      <c r="D50" t="s">
        <v>6</v>
      </c>
      <c r="E50" t="s">
        <v>12</v>
      </c>
      <c r="F50">
        <v>2036</v>
      </c>
      <c r="G50">
        <v>2497.6</v>
      </c>
      <c r="H50">
        <v>8.0000000000000002E-3</v>
      </c>
      <c r="I50">
        <v>-1</v>
      </c>
    </row>
    <row r="51" spans="1:9" hidden="1" x14ac:dyDescent="0.25">
      <c r="A51" t="s">
        <v>54</v>
      </c>
      <c r="B51" t="s">
        <v>6</v>
      </c>
      <c r="C51" t="s">
        <v>10</v>
      </c>
      <c r="D51" t="s">
        <v>6</v>
      </c>
      <c r="E51" t="s">
        <v>12</v>
      </c>
      <c r="F51">
        <v>2037</v>
      </c>
      <c r="G51">
        <v>2497.6</v>
      </c>
      <c r="H51">
        <v>8.0000000000000002E-3</v>
      </c>
      <c r="I51">
        <v>-1</v>
      </c>
    </row>
    <row r="52" spans="1:9" hidden="1" x14ac:dyDescent="0.25">
      <c r="A52" t="s">
        <v>54</v>
      </c>
      <c r="B52" t="s">
        <v>6</v>
      </c>
      <c r="C52" t="s">
        <v>10</v>
      </c>
      <c r="D52" t="s">
        <v>6</v>
      </c>
      <c r="E52" t="s">
        <v>12</v>
      </c>
      <c r="F52">
        <v>2038</v>
      </c>
      <c r="G52">
        <v>2497.6</v>
      </c>
      <c r="H52">
        <v>8.0000000000000002E-3</v>
      </c>
      <c r="I52">
        <v>-1</v>
      </c>
    </row>
    <row r="53" spans="1:9" hidden="1" x14ac:dyDescent="0.25">
      <c r="A53" t="s">
        <v>54</v>
      </c>
      <c r="B53" t="s">
        <v>6</v>
      </c>
      <c r="C53" t="s">
        <v>10</v>
      </c>
      <c r="D53" t="s">
        <v>6</v>
      </c>
      <c r="E53" t="s">
        <v>12</v>
      </c>
      <c r="F53">
        <v>2039</v>
      </c>
      <c r="G53">
        <v>2497.6</v>
      </c>
      <c r="H53">
        <v>8.0000000000000002E-3</v>
      </c>
      <c r="I53">
        <v>-1</v>
      </c>
    </row>
    <row r="54" spans="1:9" hidden="1" x14ac:dyDescent="0.25">
      <c r="A54" t="s">
        <v>54</v>
      </c>
      <c r="B54" t="s">
        <v>6</v>
      </c>
      <c r="C54" t="s">
        <v>10</v>
      </c>
      <c r="D54" t="s">
        <v>6</v>
      </c>
      <c r="E54" t="s">
        <v>12</v>
      </c>
      <c r="F54">
        <v>2040</v>
      </c>
      <c r="G54">
        <v>2497.6</v>
      </c>
      <c r="H54">
        <v>8.0000000000000002E-3</v>
      </c>
      <c r="I54">
        <v>-1</v>
      </c>
    </row>
    <row r="55" spans="1:9" hidden="1" x14ac:dyDescent="0.25">
      <c r="A55" t="s">
        <v>54</v>
      </c>
      <c r="B55" t="s">
        <v>6</v>
      </c>
      <c r="C55" t="s">
        <v>10</v>
      </c>
      <c r="D55" t="s">
        <v>6</v>
      </c>
      <c r="E55" t="s">
        <v>12</v>
      </c>
      <c r="F55">
        <v>2041</v>
      </c>
      <c r="G55">
        <v>2497.6</v>
      </c>
      <c r="H55">
        <v>8.0000000000000002E-3</v>
      </c>
      <c r="I55">
        <v>-1</v>
      </c>
    </row>
    <row r="56" spans="1:9" hidden="1" x14ac:dyDescent="0.25">
      <c r="A56" t="s">
        <v>54</v>
      </c>
      <c r="B56" t="s">
        <v>6</v>
      </c>
      <c r="C56" t="s">
        <v>10</v>
      </c>
      <c r="D56" t="s">
        <v>6</v>
      </c>
      <c r="E56" t="s">
        <v>8</v>
      </c>
      <c r="F56">
        <v>2024</v>
      </c>
      <c r="G56">
        <v>2776.7</v>
      </c>
      <c r="H56">
        <v>8.0000000000000002E-3</v>
      </c>
      <c r="I56">
        <v>-1</v>
      </c>
    </row>
    <row r="57" spans="1:9" hidden="1" x14ac:dyDescent="0.25">
      <c r="A57" t="s">
        <v>54</v>
      </c>
      <c r="B57" t="s">
        <v>6</v>
      </c>
      <c r="C57" t="s">
        <v>10</v>
      </c>
      <c r="D57" t="s">
        <v>6</v>
      </c>
      <c r="E57" t="s">
        <v>8</v>
      </c>
      <c r="F57">
        <v>2025</v>
      </c>
      <c r="G57">
        <v>2785.7786379999998</v>
      </c>
      <c r="H57">
        <v>8.0000000000000002E-3</v>
      </c>
      <c r="I57">
        <v>-1</v>
      </c>
    </row>
    <row r="58" spans="1:9" hidden="1" x14ac:dyDescent="0.25">
      <c r="A58" t="s">
        <v>54</v>
      </c>
      <c r="B58" t="s">
        <v>6</v>
      </c>
      <c r="C58" t="s">
        <v>10</v>
      </c>
      <c r="D58" t="s">
        <v>6</v>
      </c>
      <c r="E58" t="s">
        <v>8</v>
      </c>
      <c r="F58">
        <v>2026</v>
      </c>
      <c r="G58">
        <v>2794.8869589999999</v>
      </c>
      <c r="H58">
        <v>8.0000000000000002E-3</v>
      </c>
      <c r="I58">
        <v>-1</v>
      </c>
    </row>
    <row r="59" spans="1:9" hidden="1" x14ac:dyDescent="0.25">
      <c r="A59" t="s">
        <v>54</v>
      </c>
      <c r="B59" t="s">
        <v>6</v>
      </c>
      <c r="C59" t="s">
        <v>10</v>
      </c>
      <c r="D59" t="s">
        <v>6</v>
      </c>
      <c r="E59" t="s">
        <v>8</v>
      </c>
      <c r="F59">
        <v>2027</v>
      </c>
      <c r="G59">
        <v>2804.0250609999998</v>
      </c>
      <c r="H59">
        <v>8.0000000000000002E-3</v>
      </c>
      <c r="I59">
        <v>-1</v>
      </c>
    </row>
    <row r="60" spans="1:9" hidden="1" x14ac:dyDescent="0.25">
      <c r="A60" t="s">
        <v>54</v>
      </c>
      <c r="B60" t="s">
        <v>6</v>
      </c>
      <c r="C60" t="s">
        <v>10</v>
      </c>
      <c r="D60" t="s">
        <v>6</v>
      </c>
      <c r="E60" t="s">
        <v>8</v>
      </c>
      <c r="F60">
        <v>2028</v>
      </c>
      <c r="G60">
        <v>2813.1930400000001</v>
      </c>
      <c r="H60">
        <v>8.0000000000000002E-3</v>
      </c>
      <c r="I60">
        <v>-1</v>
      </c>
    </row>
    <row r="61" spans="1:9" hidden="1" x14ac:dyDescent="0.25">
      <c r="A61" t="s">
        <v>54</v>
      </c>
      <c r="B61" t="s">
        <v>6</v>
      </c>
      <c r="C61" t="s">
        <v>10</v>
      </c>
      <c r="D61" t="s">
        <v>6</v>
      </c>
      <c r="E61" t="s">
        <v>8</v>
      </c>
      <c r="F61">
        <v>2029</v>
      </c>
      <c r="G61">
        <v>2822.3909950000002</v>
      </c>
      <c r="H61">
        <v>8.0000000000000002E-3</v>
      </c>
      <c r="I61">
        <v>-1</v>
      </c>
    </row>
    <row r="62" spans="1:9" hidden="1" x14ac:dyDescent="0.25">
      <c r="A62" t="s">
        <v>54</v>
      </c>
      <c r="B62" t="s">
        <v>6</v>
      </c>
      <c r="C62" t="s">
        <v>10</v>
      </c>
      <c r="D62" t="s">
        <v>6</v>
      </c>
      <c r="E62" t="s">
        <v>8</v>
      </c>
      <c r="F62">
        <v>2030</v>
      </c>
      <c r="G62">
        <v>2831.6190230000002</v>
      </c>
      <c r="H62">
        <v>8.0000000000000002E-3</v>
      </c>
      <c r="I62">
        <v>-1</v>
      </c>
    </row>
    <row r="63" spans="1:9" hidden="1" x14ac:dyDescent="0.25">
      <c r="A63" t="s">
        <v>54</v>
      </c>
      <c r="B63" t="s">
        <v>6</v>
      </c>
      <c r="C63" t="s">
        <v>10</v>
      </c>
      <c r="D63" t="s">
        <v>6</v>
      </c>
      <c r="E63" t="s">
        <v>8</v>
      </c>
      <c r="F63">
        <v>2031</v>
      </c>
      <c r="G63">
        <v>2840.877223</v>
      </c>
      <c r="H63">
        <v>8.0000000000000002E-3</v>
      </c>
      <c r="I63">
        <v>-1</v>
      </c>
    </row>
    <row r="64" spans="1:9" hidden="1" x14ac:dyDescent="0.25">
      <c r="A64" t="s">
        <v>54</v>
      </c>
      <c r="B64" t="s">
        <v>6</v>
      </c>
      <c r="C64" t="s">
        <v>10</v>
      </c>
      <c r="D64" t="s">
        <v>6</v>
      </c>
      <c r="E64" t="s">
        <v>8</v>
      </c>
      <c r="F64">
        <v>2032</v>
      </c>
      <c r="G64">
        <v>2850.1656929999999</v>
      </c>
      <c r="H64">
        <v>8.0000000000000002E-3</v>
      </c>
      <c r="I64">
        <v>-1</v>
      </c>
    </row>
    <row r="65" spans="1:9" hidden="1" x14ac:dyDescent="0.25">
      <c r="A65" t="s">
        <v>54</v>
      </c>
      <c r="B65" t="s">
        <v>6</v>
      </c>
      <c r="C65" t="s">
        <v>10</v>
      </c>
      <c r="D65" t="s">
        <v>6</v>
      </c>
      <c r="E65" t="s">
        <v>8</v>
      </c>
      <c r="F65">
        <v>2033</v>
      </c>
      <c r="G65">
        <v>2859.4845329999998</v>
      </c>
      <c r="H65">
        <v>8.0000000000000002E-3</v>
      </c>
      <c r="I65">
        <v>-1</v>
      </c>
    </row>
    <row r="66" spans="1:9" hidden="1" x14ac:dyDescent="0.25">
      <c r="A66" t="s">
        <v>54</v>
      </c>
      <c r="B66" t="s">
        <v>6</v>
      </c>
      <c r="C66" t="s">
        <v>10</v>
      </c>
      <c r="D66" t="s">
        <v>6</v>
      </c>
      <c r="E66" t="s">
        <v>8</v>
      </c>
      <c r="F66">
        <v>2034</v>
      </c>
      <c r="G66">
        <v>2868.8338410000001</v>
      </c>
      <c r="H66">
        <v>8.0000000000000002E-3</v>
      </c>
      <c r="I66">
        <v>-1</v>
      </c>
    </row>
    <row r="67" spans="1:9" hidden="1" x14ac:dyDescent="0.25">
      <c r="A67" t="s">
        <v>54</v>
      </c>
      <c r="B67" t="s">
        <v>6</v>
      </c>
      <c r="C67" t="s">
        <v>10</v>
      </c>
      <c r="D67" t="s">
        <v>6</v>
      </c>
      <c r="E67" t="s">
        <v>8</v>
      </c>
      <c r="F67">
        <v>2035</v>
      </c>
      <c r="G67">
        <v>2878.213718</v>
      </c>
      <c r="H67">
        <v>8.0000000000000002E-3</v>
      </c>
      <c r="I67">
        <v>-1</v>
      </c>
    </row>
    <row r="68" spans="1:9" hidden="1" x14ac:dyDescent="0.25">
      <c r="A68" t="s">
        <v>54</v>
      </c>
      <c r="B68" t="s">
        <v>6</v>
      </c>
      <c r="C68" t="s">
        <v>10</v>
      </c>
      <c r="D68" t="s">
        <v>6</v>
      </c>
      <c r="E68" t="s">
        <v>8</v>
      </c>
      <c r="F68">
        <v>2036</v>
      </c>
      <c r="G68">
        <v>2887.6242630000002</v>
      </c>
      <c r="H68">
        <v>8.0000000000000002E-3</v>
      </c>
      <c r="I68">
        <v>-1</v>
      </c>
    </row>
    <row r="69" spans="1:9" hidden="1" x14ac:dyDescent="0.25">
      <c r="A69" t="s">
        <v>54</v>
      </c>
      <c r="B69" t="s">
        <v>6</v>
      </c>
      <c r="C69" t="s">
        <v>10</v>
      </c>
      <c r="D69" t="s">
        <v>6</v>
      </c>
      <c r="E69" t="s">
        <v>8</v>
      </c>
      <c r="F69">
        <v>2037</v>
      </c>
      <c r="G69">
        <v>2897.065576</v>
      </c>
      <c r="H69">
        <v>8.0000000000000002E-3</v>
      </c>
      <c r="I69">
        <v>-1</v>
      </c>
    </row>
    <row r="70" spans="1:9" hidden="1" x14ac:dyDescent="0.25">
      <c r="A70" t="s">
        <v>54</v>
      </c>
      <c r="B70" t="s">
        <v>6</v>
      </c>
      <c r="C70" t="s">
        <v>10</v>
      </c>
      <c r="D70" t="s">
        <v>6</v>
      </c>
      <c r="E70" t="s">
        <v>8</v>
      </c>
      <c r="F70">
        <v>2038</v>
      </c>
      <c r="G70">
        <v>2906.5377589999998</v>
      </c>
      <c r="H70">
        <v>8.0000000000000002E-3</v>
      </c>
      <c r="I70">
        <v>-1</v>
      </c>
    </row>
    <row r="71" spans="1:9" hidden="1" x14ac:dyDescent="0.25">
      <c r="A71" t="s">
        <v>54</v>
      </c>
      <c r="B71" t="s">
        <v>6</v>
      </c>
      <c r="C71" t="s">
        <v>10</v>
      </c>
      <c r="D71" t="s">
        <v>6</v>
      </c>
      <c r="E71" t="s">
        <v>8</v>
      </c>
      <c r="F71">
        <v>2039</v>
      </c>
      <c r="G71">
        <v>2916.0409119999999</v>
      </c>
      <c r="H71">
        <v>8.0000000000000002E-3</v>
      </c>
      <c r="I71">
        <v>-1</v>
      </c>
    </row>
    <row r="72" spans="1:9" hidden="1" x14ac:dyDescent="0.25">
      <c r="A72" t="s">
        <v>54</v>
      </c>
      <c r="B72" t="s">
        <v>6</v>
      </c>
      <c r="C72" t="s">
        <v>10</v>
      </c>
      <c r="D72" t="s">
        <v>6</v>
      </c>
      <c r="E72" t="s">
        <v>8</v>
      </c>
      <c r="F72">
        <v>2040</v>
      </c>
      <c r="G72">
        <v>2925.5751359999999</v>
      </c>
      <c r="H72">
        <v>8.0000000000000002E-3</v>
      </c>
      <c r="I72">
        <v>-1</v>
      </c>
    </row>
    <row r="73" spans="1:9" hidden="1" x14ac:dyDescent="0.25">
      <c r="A73" t="s">
        <v>54</v>
      </c>
      <c r="B73" t="s">
        <v>6</v>
      </c>
      <c r="C73" t="s">
        <v>10</v>
      </c>
      <c r="D73" t="s">
        <v>6</v>
      </c>
      <c r="E73" t="s">
        <v>8</v>
      </c>
      <c r="F73">
        <v>2041</v>
      </c>
      <c r="G73">
        <v>2935.1405319999999</v>
      </c>
      <c r="H73">
        <v>8.0000000000000002E-3</v>
      </c>
      <c r="I73">
        <v>-1</v>
      </c>
    </row>
    <row r="74" spans="1:9" hidden="1" x14ac:dyDescent="0.25">
      <c r="A74" t="s">
        <v>54</v>
      </c>
      <c r="B74" t="s">
        <v>6</v>
      </c>
      <c r="C74" t="s">
        <v>10</v>
      </c>
      <c r="D74" t="s">
        <v>6</v>
      </c>
      <c r="E74" t="s">
        <v>9</v>
      </c>
      <c r="F74">
        <v>2024</v>
      </c>
      <c r="G74">
        <v>2497.6</v>
      </c>
      <c r="H74">
        <v>8.0000000000000002E-3</v>
      </c>
      <c r="I74">
        <v>-1</v>
      </c>
    </row>
    <row r="75" spans="1:9" hidden="1" x14ac:dyDescent="0.25">
      <c r="A75" t="s">
        <v>54</v>
      </c>
      <c r="B75" t="s">
        <v>6</v>
      </c>
      <c r="C75" t="s">
        <v>10</v>
      </c>
      <c r="D75" t="s">
        <v>6</v>
      </c>
      <c r="E75" t="s">
        <v>9</v>
      </c>
      <c r="F75">
        <v>2025</v>
      </c>
      <c r="G75">
        <v>2497.6</v>
      </c>
      <c r="H75">
        <v>8.0000000000000002E-3</v>
      </c>
      <c r="I75">
        <v>-1</v>
      </c>
    </row>
    <row r="76" spans="1:9" hidden="1" x14ac:dyDescent="0.25">
      <c r="A76" t="s">
        <v>54</v>
      </c>
      <c r="B76" t="s">
        <v>6</v>
      </c>
      <c r="C76" t="s">
        <v>10</v>
      </c>
      <c r="D76" t="s">
        <v>6</v>
      </c>
      <c r="E76" t="s">
        <v>9</v>
      </c>
      <c r="F76">
        <v>2026</v>
      </c>
      <c r="G76">
        <v>2497.6</v>
      </c>
      <c r="H76">
        <v>8.0000000000000002E-3</v>
      </c>
      <c r="I76">
        <v>-1</v>
      </c>
    </row>
    <row r="77" spans="1:9" hidden="1" x14ac:dyDescent="0.25">
      <c r="A77" t="s">
        <v>54</v>
      </c>
      <c r="B77" t="s">
        <v>6</v>
      </c>
      <c r="C77" t="s">
        <v>10</v>
      </c>
      <c r="D77" t="s">
        <v>6</v>
      </c>
      <c r="E77" t="s">
        <v>9</v>
      </c>
      <c r="F77">
        <v>2027</v>
      </c>
      <c r="G77">
        <v>2497.6</v>
      </c>
      <c r="H77">
        <v>8.0000000000000002E-3</v>
      </c>
      <c r="I77">
        <v>-1</v>
      </c>
    </row>
    <row r="78" spans="1:9" hidden="1" x14ac:dyDescent="0.25">
      <c r="A78" t="s">
        <v>54</v>
      </c>
      <c r="B78" t="s">
        <v>6</v>
      </c>
      <c r="C78" t="s">
        <v>10</v>
      </c>
      <c r="D78" t="s">
        <v>6</v>
      </c>
      <c r="E78" t="s">
        <v>9</v>
      </c>
      <c r="F78">
        <v>2028</v>
      </c>
      <c r="G78">
        <v>2497.6</v>
      </c>
      <c r="H78">
        <v>8.0000000000000002E-3</v>
      </c>
      <c r="I78">
        <v>-1</v>
      </c>
    </row>
    <row r="79" spans="1:9" hidden="1" x14ac:dyDescent="0.25">
      <c r="A79" t="s">
        <v>54</v>
      </c>
      <c r="B79" t="s">
        <v>6</v>
      </c>
      <c r="C79" t="s">
        <v>10</v>
      </c>
      <c r="D79" t="s">
        <v>6</v>
      </c>
      <c r="E79" t="s">
        <v>9</v>
      </c>
      <c r="F79">
        <v>2029</v>
      </c>
      <c r="G79">
        <v>2497.6</v>
      </c>
      <c r="H79">
        <v>8.0000000000000002E-3</v>
      </c>
      <c r="I79">
        <v>-1</v>
      </c>
    </row>
    <row r="80" spans="1:9" hidden="1" x14ac:dyDescent="0.25">
      <c r="A80" t="s">
        <v>54</v>
      </c>
      <c r="B80" t="s">
        <v>6</v>
      </c>
      <c r="C80" t="s">
        <v>10</v>
      </c>
      <c r="D80" t="s">
        <v>6</v>
      </c>
      <c r="E80" t="s">
        <v>9</v>
      </c>
      <c r="F80">
        <v>2030</v>
      </c>
      <c r="G80">
        <v>2497.6</v>
      </c>
      <c r="H80">
        <v>8.0000000000000002E-3</v>
      </c>
      <c r="I80">
        <v>-1</v>
      </c>
    </row>
    <row r="81" spans="1:9" hidden="1" x14ac:dyDescent="0.25">
      <c r="A81" t="s">
        <v>54</v>
      </c>
      <c r="B81" t="s">
        <v>6</v>
      </c>
      <c r="C81" t="s">
        <v>10</v>
      </c>
      <c r="D81" t="s">
        <v>6</v>
      </c>
      <c r="E81" t="s">
        <v>9</v>
      </c>
      <c r="F81">
        <v>2031</v>
      </c>
      <c r="G81">
        <v>2497.6</v>
      </c>
      <c r="H81">
        <v>8.0000000000000002E-3</v>
      </c>
      <c r="I81">
        <v>-1</v>
      </c>
    </row>
    <row r="82" spans="1:9" hidden="1" x14ac:dyDescent="0.25">
      <c r="A82" t="s">
        <v>54</v>
      </c>
      <c r="B82" t="s">
        <v>6</v>
      </c>
      <c r="C82" t="s">
        <v>10</v>
      </c>
      <c r="D82" t="s">
        <v>6</v>
      </c>
      <c r="E82" t="s">
        <v>9</v>
      </c>
      <c r="F82">
        <v>2032</v>
      </c>
      <c r="G82">
        <v>2497.6</v>
      </c>
      <c r="H82">
        <v>8.0000000000000002E-3</v>
      </c>
      <c r="I82">
        <v>-1</v>
      </c>
    </row>
    <row r="83" spans="1:9" hidden="1" x14ac:dyDescent="0.25">
      <c r="A83" t="s">
        <v>54</v>
      </c>
      <c r="B83" t="s">
        <v>6</v>
      </c>
      <c r="C83" t="s">
        <v>10</v>
      </c>
      <c r="D83" t="s">
        <v>6</v>
      </c>
      <c r="E83" t="s">
        <v>9</v>
      </c>
      <c r="F83">
        <v>2033</v>
      </c>
      <c r="G83">
        <v>2497.6</v>
      </c>
      <c r="H83">
        <v>8.0000000000000002E-3</v>
      </c>
      <c r="I83">
        <v>-1</v>
      </c>
    </row>
    <row r="84" spans="1:9" hidden="1" x14ac:dyDescent="0.25">
      <c r="A84" t="s">
        <v>54</v>
      </c>
      <c r="B84" t="s">
        <v>6</v>
      </c>
      <c r="C84" t="s">
        <v>10</v>
      </c>
      <c r="D84" t="s">
        <v>6</v>
      </c>
      <c r="E84" t="s">
        <v>9</v>
      </c>
      <c r="F84">
        <v>2034</v>
      </c>
      <c r="G84">
        <v>2497.6</v>
      </c>
      <c r="H84">
        <v>8.0000000000000002E-3</v>
      </c>
      <c r="I84">
        <v>-1</v>
      </c>
    </row>
    <row r="85" spans="1:9" hidden="1" x14ac:dyDescent="0.25">
      <c r="A85" t="s">
        <v>54</v>
      </c>
      <c r="B85" t="s">
        <v>6</v>
      </c>
      <c r="C85" t="s">
        <v>10</v>
      </c>
      <c r="D85" t="s">
        <v>6</v>
      </c>
      <c r="E85" t="s">
        <v>9</v>
      </c>
      <c r="F85">
        <v>2035</v>
      </c>
      <c r="G85">
        <v>2497.6</v>
      </c>
      <c r="H85">
        <v>8.0000000000000002E-3</v>
      </c>
      <c r="I85">
        <v>-1</v>
      </c>
    </row>
    <row r="86" spans="1:9" hidden="1" x14ac:dyDescent="0.25">
      <c r="A86" t="s">
        <v>54</v>
      </c>
      <c r="B86" t="s">
        <v>6</v>
      </c>
      <c r="C86" t="s">
        <v>10</v>
      </c>
      <c r="D86" t="s">
        <v>6</v>
      </c>
      <c r="E86" t="s">
        <v>9</v>
      </c>
      <c r="F86">
        <v>2036</v>
      </c>
      <c r="G86">
        <v>2497.6</v>
      </c>
      <c r="H86">
        <v>8.0000000000000002E-3</v>
      </c>
      <c r="I86">
        <v>-1</v>
      </c>
    </row>
    <row r="87" spans="1:9" hidden="1" x14ac:dyDescent="0.25">
      <c r="A87" t="s">
        <v>54</v>
      </c>
      <c r="B87" t="s">
        <v>6</v>
      </c>
      <c r="C87" t="s">
        <v>10</v>
      </c>
      <c r="D87" t="s">
        <v>6</v>
      </c>
      <c r="E87" t="s">
        <v>9</v>
      </c>
      <c r="F87">
        <v>2037</v>
      </c>
      <c r="G87">
        <v>2497.6</v>
      </c>
      <c r="H87">
        <v>8.0000000000000002E-3</v>
      </c>
      <c r="I87">
        <v>-1</v>
      </c>
    </row>
    <row r="88" spans="1:9" hidden="1" x14ac:dyDescent="0.25">
      <c r="A88" t="s">
        <v>54</v>
      </c>
      <c r="B88" t="s">
        <v>6</v>
      </c>
      <c r="C88" t="s">
        <v>10</v>
      </c>
      <c r="D88" t="s">
        <v>6</v>
      </c>
      <c r="E88" t="s">
        <v>9</v>
      </c>
      <c r="F88">
        <v>2038</v>
      </c>
      <c r="G88">
        <v>2497.6</v>
      </c>
      <c r="H88">
        <v>8.0000000000000002E-3</v>
      </c>
      <c r="I88">
        <v>-1</v>
      </c>
    </row>
    <row r="89" spans="1:9" hidden="1" x14ac:dyDescent="0.25">
      <c r="A89" t="s">
        <v>54</v>
      </c>
      <c r="B89" t="s">
        <v>6</v>
      </c>
      <c r="C89" t="s">
        <v>10</v>
      </c>
      <c r="D89" t="s">
        <v>6</v>
      </c>
      <c r="E89" t="s">
        <v>9</v>
      </c>
      <c r="F89">
        <v>2039</v>
      </c>
      <c r="G89">
        <v>2497.6</v>
      </c>
      <c r="H89">
        <v>8.0000000000000002E-3</v>
      </c>
      <c r="I89">
        <v>-1</v>
      </c>
    </row>
    <row r="90" spans="1:9" hidden="1" x14ac:dyDescent="0.25">
      <c r="A90" t="s">
        <v>54</v>
      </c>
      <c r="B90" t="s">
        <v>6</v>
      </c>
      <c r="C90" t="s">
        <v>10</v>
      </c>
      <c r="D90" t="s">
        <v>6</v>
      </c>
      <c r="E90" t="s">
        <v>9</v>
      </c>
      <c r="F90">
        <v>2040</v>
      </c>
      <c r="G90">
        <v>2497.6</v>
      </c>
      <c r="H90">
        <v>8.0000000000000002E-3</v>
      </c>
      <c r="I90">
        <v>-1</v>
      </c>
    </row>
    <row r="91" spans="1:9" hidden="1" x14ac:dyDescent="0.25">
      <c r="A91" t="s">
        <v>54</v>
      </c>
      <c r="B91" t="s">
        <v>6</v>
      </c>
      <c r="C91" t="s">
        <v>10</v>
      </c>
      <c r="D91" t="s">
        <v>6</v>
      </c>
      <c r="E91" t="s">
        <v>9</v>
      </c>
      <c r="F91">
        <v>2041</v>
      </c>
      <c r="G91">
        <v>2497.6</v>
      </c>
      <c r="H91">
        <v>8.0000000000000002E-3</v>
      </c>
      <c r="I91">
        <v>-1</v>
      </c>
    </row>
    <row r="92" spans="1:9" hidden="1" x14ac:dyDescent="0.25">
      <c r="A92" t="s">
        <v>54</v>
      </c>
      <c r="B92" t="s">
        <v>6</v>
      </c>
      <c r="C92" t="s">
        <v>11</v>
      </c>
      <c r="D92" t="s">
        <v>6</v>
      </c>
      <c r="E92" t="s">
        <v>10</v>
      </c>
      <c r="F92">
        <v>2024</v>
      </c>
      <c r="G92">
        <v>2399.6</v>
      </c>
      <c r="H92">
        <v>8.0000000000000002E-3</v>
      </c>
      <c r="I92">
        <v>-1</v>
      </c>
    </row>
    <row r="93" spans="1:9" hidden="1" x14ac:dyDescent="0.25">
      <c r="A93" t="s">
        <v>54</v>
      </c>
      <c r="B93" t="s">
        <v>6</v>
      </c>
      <c r="C93" t="s">
        <v>11</v>
      </c>
      <c r="D93" t="s">
        <v>6</v>
      </c>
      <c r="E93" t="s">
        <v>10</v>
      </c>
      <c r="F93">
        <v>2025</v>
      </c>
      <c r="G93">
        <v>2399.6</v>
      </c>
      <c r="H93">
        <v>8.0000000000000002E-3</v>
      </c>
      <c r="I93">
        <v>-1</v>
      </c>
    </row>
    <row r="94" spans="1:9" hidden="1" x14ac:dyDescent="0.25">
      <c r="A94" t="s">
        <v>54</v>
      </c>
      <c r="B94" t="s">
        <v>6</v>
      </c>
      <c r="C94" t="s">
        <v>11</v>
      </c>
      <c r="D94" t="s">
        <v>6</v>
      </c>
      <c r="E94" t="s">
        <v>10</v>
      </c>
      <c r="F94">
        <v>2026</v>
      </c>
      <c r="G94">
        <v>2399.6</v>
      </c>
      <c r="H94">
        <v>8.0000000000000002E-3</v>
      </c>
      <c r="I94">
        <v>-1</v>
      </c>
    </row>
    <row r="95" spans="1:9" hidden="1" x14ac:dyDescent="0.25">
      <c r="A95" t="s">
        <v>54</v>
      </c>
      <c r="B95" t="s">
        <v>6</v>
      </c>
      <c r="C95" t="s">
        <v>11</v>
      </c>
      <c r="D95" t="s">
        <v>6</v>
      </c>
      <c r="E95" t="s">
        <v>10</v>
      </c>
      <c r="F95">
        <v>2027</v>
      </c>
      <c r="G95">
        <v>2399.6</v>
      </c>
      <c r="H95">
        <v>8.0000000000000002E-3</v>
      </c>
      <c r="I95">
        <v>-1</v>
      </c>
    </row>
    <row r="96" spans="1:9" hidden="1" x14ac:dyDescent="0.25">
      <c r="A96" t="s">
        <v>54</v>
      </c>
      <c r="B96" t="s">
        <v>6</v>
      </c>
      <c r="C96" t="s">
        <v>11</v>
      </c>
      <c r="D96" t="s">
        <v>6</v>
      </c>
      <c r="E96" t="s">
        <v>10</v>
      </c>
      <c r="F96">
        <v>2028</v>
      </c>
      <c r="G96">
        <v>2399.6</v>
      </c>
      <c r="H96">
        <v>8.0000000000000002E-3</v>
      </c>
      <c r="I96">
        <v>-1</v>
      </c>
    </row>
    <row r="97" spans="1:9" hidden="1" x14ac:dyDescent="0.25">
      <c r="A97" t="s">
        <v>54</v>
      </c>
      <c r="B97" t="s">
        <v>6</v>
      </c>
      <c r="C97" t="s">
        <v>11</v>
      </c>
      <c r="D97" t="s">
        <v>6</v>
      </c>
      <c r="E97" t="s">
        <v>10</v>
      </c>
      <c r="F97">
        <v>2029</v>
      </c>
      <c r="G97">
        <v>2399.6</v>
      </c>
      <c r="H97">
        <v>8.0000000000000002E-3</v>
      </c>
      <c r="I97">
        <v>-1</v>
      </c>
    </row>
    <row r="98" spans="1:9" hidden="1" x14ac:dyDescent="0.25">
      <c r="A98" t="s">
        <v>54</v>
      </c>
      <c r="B98" t="s">
        <v>6</v>
      </c>
      <c r="C98" t="s">
        <v>11</v>
      </c>
      <c r="D98" t="s">
        <v>6</v>
      </c>
      <c r="E98" t="s">
        <v>10</v>
      </c>
      <c r="F98">
        <v>2030</v>
      </c>
      <c r="G98">
        <v>2399.6</v>
      </c>
      <c r="H98">
        <v>8.0000000000000002E-3</v>
      </c>
      <c r="I98">
        <v>-1</v>
      </c>
    </row>
    <row r="99" spans="1:9" hidden="1" x14ac:dyDescent="0.25">
      <c r="A99" t="s">
        <v>54</v>
      </c>
      <c r="B99" t="s">
        <v>6</v>
      </c>
      <c r="C99" t="s">
        <v>11</v>
      </c>
      <c r="D99" t="s">
        <v>6</v>
      </c>
      <c r="E99" t="s">
        <v>10</v>
      </c>
      <c r="F99">
        <v>2031</v>
      </c>
      <c r="G99">
        <v>2399.6</v>
      </c>
      <c r="H99">
        <v>8.0000000000000002E-3</v>
      </c>
      <c r="I99">
        <v>-1</v>
      </c>
    </row>
    <row r="100" spans="1:9" hidden="1" x14ac:dyDescent="0.25">
      <c r="A100" t="s">
        <v>54</v>
      </c>
      <c r="B100" t="s">
        <v>6</v>
      </c>
      <c r="C100" t="s">
        <v>11</v>
      </c>
      <c r="D100" t="s">
        <v>6</v>
      </c>
      <c r="E100" t="s">
        <v>10</v>
      </c>
      <c r="F100">
        <v>2032</v>
      </c>
      <c r="G100">
        <v>2399.6</v>
      </c>
      <c r="H100">
        <v>8.0000000000000002E-3</v>
      </c>
      <c r="I100">
        <v>-1</v>
      </c>
    </row>
    <row r="101" spans="1:9" hidden="1" x14ac:dyDescent="0.25">
      <c r="A101" t="s">
        <v>54</v>
      </c>
      <c r="B101" t="s">
        <v>6</v>
      </c>
      <c r="C101" t="s">
        <v>11</v>
      </c>
      <c r="D101" t="s">
        <v>6</v>
      </c>
      <c r="E101" t="s">
        <v>10</v>
      </c>
      <c r="F101">
        <v>2033</v>
      </c>
      <c r="G101">
        <v>2399.6</v>
      </c>
      <c r="H101">
        <v>8.0000000000000002E-3</v>
      </c>
      <c r="I101">
        <v>-1</v>
      </c>
    </row>
    <row r="102" spans="1:9" hidden="1" x14ac:dyDescent="0.25">
      <c r="A102" t="s">
        <v>54</v>
      </c>
      <c r="B102" t="s">
        <v>6</v>
      </c>
      <c r="C102" t="s">
        <v>11</v>
      </c>
      <c r="D102" t="s">
        <v>6</v>
      </c>
      <c r="E102" t="s">
        <v>10</v>
      </c>
      <c r="F102">
        <v>2034</v>
      </c>
      <c r="G102">
        <v>2399.6</v>
      </c>
      <c r="H102">
        <v>8.0000000000000002E-3</v>
      </c>
      <c r="I102">
        <v>-1</v>
      </c>
    </row>
    <row r="103" spans="1:9" hidden="1" x14ac:dyDescent="0.25">
      <c r="A103" t="s">
        <v>54</v>
      </c>
      <c r="B103" t="s">
        <v>6</v>
      </c>
      <c r="C103" t="s">
        <v>11</v>
      </c>
      <c r="D103" t="s">
        <v>6</v>
      </c>
      <c r="E103" t="s">
        <v>10</v>
      </c>
      <c r="F103">
        <v>2035</v>
      </c>
      <c r="G103">
        <v>2399.6</v>
      </c>
      <c r="H103">
        <v>8.0000000000000002E-3</v>
      </c>
      <c r="I103">
        <v>-1</v>
      </c>
    </row>
    <row r="104" spans="1:9" hidden="1" x14ac:dyDescent="0.25">
      <c r="A104" t="s">
        <v>54</v>
      </c>
      <c r="B104" t="s">
        <v>6</v>
      </c>
      <c r="C104" t="s">
        <v>11</v>
      </c>
      <c r="D104" t="s">
        <v>6</v>
      </c>
      <c r="E104" t="s">
        <v>10</v>
      </c>
      <c r="F104">
        <v>2036</v>
      </c>
      <c r="G104">
        <v>2399.6</v>
      </c>
      <c r="H104">
        <v>8.0000000000000002E-3</v>
      </c>
      <c r="I104">
        <v>-1</v>
      </c>
    </row>
    <row r="105" spans="1:9" hidden="1" x14ac:dyDescent="0.25">
      <c r="A105" t="s">
        <v>54</v>
      </c>
      <c r="B105" t="s">
        <v>6</v>
      </c>
      <c r="C105" t="s">
        <v>11</v>
      </c>
      <c r="D105" t="s">
        <v>6</v>
      </c>
      <c r="E105" t="s">
        <v>10</v>
      </c>
      <c r="F105">
        <v>2037</v>
      </c>
      <c r="G105">
        <v>2399.6</v>
      </c>
      <c r="H105">
        <v>8.0000000000000002E-3</v>
      </c>
      <c r="I105">
        <v>-1</v>
      </c>
    </row>
    <row r="106" spans="1:9" hidden="1" x14ac:dyDescent="0.25">
      <c r="A106" t="s">
        <v>54</v>
      </c>
      <c r="B106" t="s">
        <v>6</v>
      </c>
      <c r="C106" t="s">
        <v>11</v>
      </c>
      <c r="D106" t="s">
        <v>6</v>
      </c>
      <c r="E106" t="s">
        <v>10</v>
      </c>
      <c r="F106">
        <v>2038</v>
      </c>
      <c r="G106">
        <v>2399.6</v>
      </c>
      <c r="H106">
        <v>8.0000000000000002E-3</v>
      </c>
      <c r="I106">
        <v>-1</v>
      </c>
    </row>
    <row r="107" spans="1:9" hidden="1" x14ac:dyDescent="0.25">
      <c r="A107" t="s">
        <v>54</v>
      </c>
      <c r="B107" t="s">
        <v>6</v>
      </c>
      <c r="C107" t="s">
        <v>11</v>
      </c>
      <c r="D107" t="s">
        <v>6</v>
      </c>
      <c r="E107" t="s">
        <v>10</v>
      </c>
      <c r="F107">
        <v>2039</v>
      </c>
      <c r="G107">
        <v>2399.6</v>
      </c>
      <c r="H107">
        <v>8.0000000000000002E-3</v>
      </c>
      <c r="I107">
        <v>-1</v>
      </c>
    </row>
    <row r="108" spans="1:9" hidden="1" x14ac:dyDescent="0.25">
      <c r="A108" t="s">
        <v>54</v>
      </c>
      <c r="B108" t="s">
        <v>6</v>
      </c>
      <c r="C108" t="s">
        <v>11</v>
      </c>
      <c r="D108" t="s">
        <v>6</v>
      </c>
      <c r="E108" t="s">
        <v>10</v>
      </c>
      <c r="F108">
        <v>2040</v>
      </c>
      <c r="G108">
        <v>2399.6</v>
      </c>
      <c r="H108">
        <v>8.0000000000000002E-3</v>
      </c>
      <c r="I108">
        <v>-1</v>
      </c>
    </row>
    <row r="109" spans="1:9" hidden="1" x14ac:dyDescent="0.25">
      <c r="A109" t="s">
        <v>54</v>
      </c>
      <c r="B109" t="s">
        <v>6</v>
      </c>
      <c r="C109" t="s">
        <v>11</v>
      </c>
      <c r="D109" t="s">
        <v>6</v>
      </c>
      <c r="E109" t="s">
        <v>10</v>
      </c>
      <c r="F109">
        <v>2041</v>
      </c>
      <c r="G109">
        <v>2399.6</v>
      </c>
      <c r="H109">
        <v>8.0000000000000002E-3</v>
      </c>
      <c r="I109">
        <v>-1</v>
      </c>
    </row>
    <row r="110" spans="1:9" hidden="1" x14ac:dyDescent="0.25">
      <c r="A110" t="s">
        <v>54</v>
      </c>
      <c r="B110" t="s">
        <v>6</v>
      </c>
      <c r="C110" t="s">
        <v>11</v>
      </c>
      <c r="D110" t="s">
        <v>6</v>
      </c>
      <c r="E110" t="s">
        <v>11</v>
      </c>
      <c r="F110">
        <v>2024</v>
      </c>
      <c r="G110">
        <v>1054.7</v>
      </c>
      <c r="H110">
        <v>2E-3</v>
      </c>
      <c r="I110">
        <v>-1</v>
      </c>
    </row>
    <row r="111" spans="1:9" hidden="1" x14ac:dyDescent="0.25">
      <c r="A111" t="s">
        <v>54</v>
      </c>
      <c r="B111" t="s">
        <v>6</v>
      </c>
      <c r="C111" t="s">
        <v>11</v>
      </c>
      <c r="D111" t="s">
        <v>6</v>
      </c>
      <c r="E111" t="s">
        <v>11</v>
      </c>
      <c r="F111">
        <v>2025</v>
      </c>
      <c r="G111">
        <v>1078.866636</v>
      </c>
      <c r="H111">
        <v>2E-3</v>
      </c>
      <c r="I111">
        <v>-1</v>
      </c>
    </row>
    <row r="112" spans="1:9" hidden="1" x14ac:dyDescent="0.25">
      <c r="A112" t="s">
        <v>54</v>
      </c>
      <c r="B112" t="s">
        <v>6</v>
      </c>
      <c r="C112" t="s">
        <v>11</v>
      </c>
      <c r="D112" t="s">
        <v>6</v>
      </c>
      <c r="E112" t="s">
        <v>11</v>
      </c>
      <c r="F112">
        <v>2026</v>
      </c>
      <c r="G112">
        <v>1103.587008</v>
      </c>
      <c r="H112">
        <v>2E-3</v>
      </c>
      <c r="I112">
        <v>-1</v>
      </c>
    </row>
    <row r="113" spans="1:9" hidden="1" x14ac:dyDescent="0.25">
      <c r="A113" t="s">
        <v>54</v>
      </c>
      <c r="B113" t="s">
        <v>6</v>
      </c>
      <c r="C113" t="s">
        <v>11</v>
      </c>
      <c r="D113" t="s">
        <v>6</v>
      </c>
      <c r="E113" t="s">
        <v>11</v>
      </c>
      <c r="F113">
        <v>2027</v>
      </c>
      <c r="G113">
        <v>1128.8738060000001</v>
      </c>
      <c r="H113">
        <v>2E-3</v>
      </c>
      <c r="I113">
        <v>-1</v>
      </c>
    </row>
    <row r="114" spans="1:9" hidden="1" x14ac:dyDescent="0.25">
      <c r="A114" t="s">
        <v>54</v>
      </c>
      <c r="B114" t="s">
        <v>6</v>
      </c>
      <c r="C114" t="s">
        <v>11</v>
      </c>
      <c r="D114" t="s">
        <v>6</v>
      </c>
      <c r="E114" t="s">
        <v>11</v>
      </c>
      <c r="F114">
        <v>2028</v>
      </c>
      <c r="G114">
        <v>1154.7400070000001</v>
      </c>
      <c r="H114">
        <v>2E-3</v>
      </c>
      <c r="I114">
        <v>-1</v>
      </c>
    </row>
    <row r="115" spans="1:9" hidden="1" x14ac:dyDescent="0.25">
      <c r="A115" t="s">
        <v>54</v>
      </c>
      <c r="B115" t="s">
        <v>6</v>
      </c>
      <c r="C115" t="s">
        <v>11</v>
      </c>
      <c r="D115" t="s">
        <v>6</v>
      </c>
      <c r="E115" t="s">
        <v>11</v>
      </c>
      <c r="F115">
        <v>2029</v>
      </c>
      <c r="G115">
        <v>1181.198887</v>
      </c>
      <c r="H115">
        <v>2E-3</v>
      </c>
      <c r="I115">
        <v>-1</v>
      </c>
    </row>
    <row r="116" spans="1:9" hidden="1" x14ac:dyDescent="0.25">
      <c r="A116" t="s">
        <v>54</v>
      </c>
      <c r="B116" t="s">
        <v>6</v>
      </c>
      <c r="C116" t="s">
        <v>11</v>
      </c>
      <c r="D116" t="s">
        <v>6</v>
      </c>
      <c r="E116" t="s">
        <v>11</v>
      </c>
      <c r="F116">
        <v>2030</v>
      </c>
      <c r="G116">
        <v>1208.2640269999999</v>
      </c>
      <c r="H116">
        <v>2E-3</v>
      </c>
      <c r="I116">
        <v>-1</v>
      </c>
    </row>
    <row r="117" spans="1:9" hidden="1" x14ac:dyDescent="0.25">
      <c r="A117" t="s">
        <v>54</v>
      </c>
      <c r="B117" t="s">
        <v>6</v>
      </c>
      <c r="C117" t="s">
        <v>11</v>
      </c>
      <c r="D117" t="s">
        <v>6</v>
      </c>
      <c r="E117" t="s">
        <v>11</v>
      </c>
      <c r="F117">
        <v>2031</v>
      </c>
      <c r="G117">
        <v>1235.9493179999999</v>
      </c>
      <c r="H117">
        <v>2E-3</v>
      </c>
      <c r="I117">
        <v>-1</v>
      </c>
    </row>
    <row r="118" spans="1:9" hidden="1" x14ac:dyDescent="0.25">
      <c r="A118" t="s">
        <v>54</v>
      </c>
      <c r="B118" t="s">
        <v>6</v>
      </c>
      <c r="C118" t="s">
        <v>11</v>
      </c>
      <c r="D118" t="s">
        <v>6</v>
      </c>
      <c r="E118" t="s">
        <v>11</v>
      </c>
      <c r="F118">
        <v>2032</v>
      </c>
      <c r="G118">
        <v>1264.268971</v>
      </c>
      <c r="H118">
        <v>2E-3</v>
      </c>
      <c r="I118">
        <v>-1</v>
      </c>
    </row>
    <row r="119" spans="1:9" hidden="1" x14ac:dyDescent="0.25">
      <c r="A119" t="s">
        <v>54</v>
      </c>
      <c r="B119" t="s">
        <v>6</v>
      </c>
      <c r="C119" t="s">
        <v>11</v>
      </c>
      <c r="D119" t="s">
        <v>6</v>
      </c>
      <c r="E119" t="s">
        <v>11</v>
      </c>
      <c r="F119">
        <v>2033</v>
      </c>
      <c r="G119">
        <v>1293.237519</v>
      </c>
      <c r="H119">
        <v>2E-3</v>
      </c>
      <c r="I119">
        <v>-1</v>
      </c>
    </row>
    <row r="120" spans="1:9" hidden="1" x14ac:dyDescent="0.25">
      <c r="A120" t="s">
        <v>54</v>
      </c>
      <c r="B120" t="s">
        <v>6</v>
      </c>
      <c r="C120" t="s">
        <v>11</v>
      </c>
      <c r="D120" t="s">
        <v>6</v>
      </c>
      <c r="E120" t="s">
        <v>11</v>
      </c>
      <c r="F120">
        <v>2034</v>
      </c>
      <c r="G120">
        <v>1322.869831</v>
      </c>
      <c r="H120">
        <v>2E-3</v>
      </c>
      <c r="I120">
        <v>-1</v>
      </c>
    </row>
    <row r="121" spans="1:9" hidden="1" x14ac:dyDescent="0.25">
      <c r="A121" t="s">
        <v>54</v>
      </c>
      <c r="B121" t="s">
        <v>6</v>
      </c>
      <c r="C121" t="s">
        <v>11</v>
      </c>
      <c r="D121" t="s">
        <v>6</v>
      </c>
      <c r="E121" t="s">
        <v>11</v>
      </c>
      <c r="F121">
        <v>2035</v>
      </c>
      <c r="G121">
        <v>1353.1811170000001</v>
      </c>
      <c r="H121">
        <v>2E-3</v>
      </c>
      <c r="I121">
        <v>-1</v>
      </c>
    </row>
    <row r="122" spans="1:9" hidden="1" x14ac:dyDescent="0.25">
      <c r="A122" t="s">
        <v>54</v>
      </c>
      <c r="B122" t="s">
        <v>6</v>
      </c>
      <c r="C122" t="s">
        <v>11</v>
      </c>
      <c r="D122" t="s">
        <v>6</v>
      </c>
      <c r="E122" t="s">
        <v>11</v>
      </c>
      <c r="F122">
        <v>2036</v>
      </c>
      <c r="G122">
        <v>1384.1869340000001</v>
      </c>
      <c r="H122">
        <v>2E-3</v>
      </c>
      <c r="I122">
        <v>-1</v>
      </c>
    </row>
    <row r="123" spans="1:9" hidden="1" x14ac:dyDescent="0.25">
      <c r="A123" t="s">
        <v>54</v>
      </c>
      <c r="B123" t="s">
        <v>6</v>
      </c>
      <c r="C123" t="s">
        <v>11</v>
      </c>
      <c r="D123" t="s">
        <v>6</v>
      </c>
      <c r="E123" t="s">
        <v>11</v>
      </c>
      <c r="F123">
        <v>2037</v>
      </c>
      <c r="G123">
        <v>1415.903196</v>
      </c>
      <c r="H123">
        <v>2E-3</v>
      </c>
      <c r="I123">
        <v>-1</v>
      </c>
    </row>
    <row r="124" spans="1:9" hidden="1" x14ac:dyDescent="0.25">
      <c r="A124" t="s">
        <v>54</v>
      </c>
      <c r="B124" t="s">
        <v>6</v>
      </c>
      <c r="C124" t="s">
        <v>11</v>
      </c>
      <c r="D124" t="s">
        <v>6</v>
      </c>
      <c r="E124" t="s">
        <v>11</v>
      </c>
      <c r="F124">
        <v>2038</v>
      </c>
      <c r="G124">
        <v>1448.346182</v>
      </c>
      <c r="H124">
        <v>2E-3</v>
      </c>
      <c r="I124">
        <v>-1</v>
      </c>
    </row>
    <row r="125" spans="1:9" hidden="1" x14ac:dyDescent="0.25">
      <c r="A125" t="s">
        <v>54</v>
      </c>
      <c r="B125" t="s">
        <v>6</v>
      </c>
      <c r="C125" t="s">
        <v>11</v>
      </c>
      <c r="D125" t="s">
        <v>6</v>
      </c>
      <c r="E125" t="s">
        <v>11</v>
      </c>
      <c r="F125">
        <v>2039</v>
      </c>
      <c r="G125">
        <v>1481.5325419999999</v>
      </c>
      <c r="H125">
        <v>2E-3</v>
      </c>
      <c r="I125">
        <v>-1</v>
      </c>
    </row>
    <row r="126" spans="1:9" hidden="1" x14ac:dyDescent="0.25">
      <c r="A126" t="s">
        <v>54</v>
      </c>
      <c r="B126" t="s">
        <v>6</v>
      </c>
      <c r="C126" t="s">
        <v>11</v>
      </c>
      <c r="D126" t="s">
        <v>6</v>
      </c>
      <c r="E126" t="s">
        <v>11</v>
      </c>
      <c r="F126">
        <v>2040</v>
      </c>
      <c r="G126">
        <v>1515.4793110000001</v>
      </c>
      <c r="H126">
        <v>2E-3</v>
      </c>
      <c r="I126">
        <v>-1</v>
      </c>
    </row>
    <row r="127" spans="1:9" hidden="1" x14ac:dyDescent="0.25">
      <c r="A127" t="s">
        <v>54</v>
      </c>
      <c r="B127" t="s">
        <v>6</v>
      </c>
      <c r="C127" t="s">
        <v>11</v>
      </c>
      <c r="D127" t="s">
        <v>6</v>
      </c>
      <c r="E127" t="s">
        <v>11</v>
      </c>
      <c r="F127">
        <v>2041</v>
      </c>
      <c r="G127">
        <v>1550.2039119999999</v>
      </c>
      <c r="H127">
        <v>2E-3</v>
      </c>
      <c r="I127">
        <v>-1</v>
      </c>
    </row>
    <row r="128" spans="1:9" hidden="1" x14ac:dyDescent="0.25">
      <c r="A128" t="s">
        <v>54</v>
      </c>
      <c r="B128" t="s">
        <v>6</v>
      </c>
      <c r="C128" t="s">
        <v>11</v>
      </c>
      <c r="D128" t="s">
        <v>6</v>
      </c>
      <c r="E128" t="s">
        <v>12</v>
      </c>
      <c r="F128">
        <v>2024</v>
      </c>
      <c r="G128">
        <v>1838.6</v>
      </c>
      <c r="H128">
        <v>8.0000000000000002E-3</v>
      </c>
      <c r="I128">
        <v>-1</v>
      </c>
    </row>
    <row r="129" spans="1:9" hidden="1" x14ac:dyDescent="0.25">
      <c r="A129" t="s">
        <v>54</v>
      </c>
      <c r="B129" t="s">
        <v>6</v>
      </c>
      <c r="C129" t="s">
        <v>11</v>
      </c>
      <c r="D129" t="s">
        <v>6</v>
      </c>
      <c r="E129" t="s">
        <v>12</v>
      </c>
      <c r="F129">
        <v>2025</v>
      </c>
      <c r="G129">
        <v>1867.2740530000001</v>
      </c>
      <c r="H129">
        <v>8.0000000000000002E-3</v>
      </c>
      <c r="I129">
        <v>-1</v>
      </c>
    </row>
    <row r="130" spans="1:9" hidden="1" x14ac:dyDescent="0.25">
      <c r="A130" t="s">
        <v>54</v>
      </c>
      <c r="B130" t="s">
        <v>6</v>
      </c>
      <c r="C130" t="s">
        <v>11</v>
      </c>
      <c r="D130" t="s">
        <v>6</v>
      </c>
      <c r="E130" t="s">
        <v>12</v>
      </c>
      <c r="F130">
        <v>2026</v>
      </c>
      <c r="G130">
        <v>1896.395295</v>
      </c>
      <c r="H130">
        <v>8.0000000000000002E-3</v>
      </c>
      <c r="I130">
        <v>-1</v>
      </c>
    </row>
    <row r="131" spans="1:9" hidden="1" x14ac:dyDescent="0.25">
      <c r="A131" t="s">
        <v>54</v>
      </c>
      <c r="B131" t="s">
        <v>6</v>
      </c>
      <c r="C131" t="s">
        <v>11</v>
      </c>
      <c r="D131" t="s">
        <v>6</v>
      </c>
      <c r="E131" t="s">
        <v>12</v>
      </c>
      <c r="F131">
        <v>2027</v>
      </c>
      <c r="G131">
        <v>1925.9707000000001</v>
      </c>
      <c r="H131">
        <v>8.0000000000000002E-3</v>
      </c>
      <c r="I131">
        <v>-1</v>
      </c>
    </row>
    <row r="132" spans="1:9" hidden="1" x14ac:dyDescent="0.25">
      <c r="A132" t="s">
        <v>54</v>
      </c>
      <c r="B132" t="s">
        <v>6</v>
      </c>
      <c r="C132" t="s">
        <v>11</v>
      </c>
      <c r="D132" t="s">
        <v>6</v>
      </c>
      <c r="E132" t="s">
        <v>12</v>
      </c>
      <c r="F132">
        <v>2028</v>
      </c>
      <c r="G132">
        <v>1956.007351</v>
      </c>
      <c r="H132">
        <v>8.0000000000000002E-3</v>
      </c>
      <c r="I132">
        <v>-1</v>
      </c>
    </row>
    <row r="133" spans="1:9" hidden="1" x14ac:dyDescent="0.25">
      <c r="A133" t="s">
        <v>54</v>
      </c>
      <c r="B133" t="s">
        <v>6</v>
      </c>
      <c r="C133" t="s">
        <v>11</v>
      </c>
      <c r="D133" t="s">
        <v>6</v>
      </c>
      <c r="E133" t="s">
        <v>12</v>
      </c>
      <c r="F133">
        <v>2029</v>
      </c>
      <c r="G133">
        <v>1986.5124410000001</v>
      </c>
      <c r="H133">
        <v>8.0000000000000002E-3</v>
      </c>
      <c r="I133">
        <v>-1</v>
      </c>
    </row>
    <row r="134" spans="1:9" hidden="1" x14ac:dyDescent="0.25">
      <c r="A134" t="s">
        <v>54</v>
      </c>
      <c r="B134" t="s">
        <v>6</v>
      </c>
      <c r="C134" t="s">
        <v>11</v>
      </c>
      <c r="D134" t="s">
        <v>6</v>
      </c>
      <c r="E134" t="s">
        <v>12</v>
      </c>
      <c r="F134">
        <v>2030</v>
      </c>
      <c r="G134">
        <v>2017.493277</v>
      </c>
      <c r="H134">
        <v>8.0000000000000002E-3</v>
      </c>
      <c r="I134">
        <v>-1</v>
      </c>
    </row>
    <row r="135" spans="1:9" hidden="1" x14ac:dyDescent="0.25">
      <c r="A135" t="s">
        <v>54</v>
      </c>
      <c r="B135" t="s">
        <v>6</v>
      </c>
      <c r="C135" t="s">
        <v>11</v>
      </c>
      <c r="D135" t="s">
        <v>6</v>
      </c>
      <c r="E135" t="s">
        <v>12</v>
      </c>
      <c r="F135">
        <v>2031</v>
      </c>
      <c r="G135">
        <v>2048.9572760000001</v>
      </c>
      <c r="H135">
        <v>8.0000000000000002E-3</v>
      </c>
      <c r="I135">
        <v>-1</v>
      </c>
    </row>
    <row r="136" spans="1:9" hidden="1" x14ac:dyDescent="0.25">
      <c r="A136" t="s">
        <v>54</v>
      </c>
      <c r="B136" t="s">
        <v>6</v>
      </c>
      <c r="C136" t="s">
        <v>11</v>
      </c>
      <c r="D136" t="s">
        <v>6</v>
      </c>
      <c r="E136" t="s">
        <v>12</v>
      </c>
      <c r="F136">
        <v>2032</v>
      </c>
      <c r="G136">
        <v>2080.911975</v>
      </c>
      <c r="H136">
        <v>8.0000000000000002E-3</v>
      </c>
      <c r="I136">
        <v>-1</v>
      </c>
    </row>
    <row r="137" spans="1:9" hidden="1" x14ac:dyDescent="0.25">
      <c r="A137" t="s">
        <v>54</v>
      </c>
      <c r="B137" t="s">
        <v>6</v>
      </c>
      <c r="C137" t="s">
        <v>11</v>
      </c>
      <c r="D137" t="s">
        <v>6</v>
      </c>
      <c r="E137" t="s">
        <v>12</v>
      </c>
      <c r="F137">
        <v>2033</v>
      </c>
      <c r="G137">
        <v>2113.3650269999998</v>
      </c>
      <c r="H137">
        <v>8.0000000000000002E-3</v>
      </c>
      <c r="I137">
        <v>-1</v>
      </c>
    </row>
    <row r="138" spans="1:9" hidden="1" x14ac:dyDescent="0.25">
      <c r="A138" t="s">
        <v>54</v>
      </c>
      <c r="B138" t="s">
        <v>6</v>
      </c>
      <c r="C138" t="s">
        <v>11</v>
      </c>
      <c r="D138" t="s">
        <v>6</v>
      </c>
      <c r="E138" t="s">
        <v>12</v>
      </c>
      <c r="F138">
        <v>2034</v>
      </c>
      <c r="G138">
        <v>2146.3242030000001</v>
      </c>
      <c r="H138">
        <v>8.0000000000000002E-3</v>
      </c>
      <c r="I138">
        <v>-1</v>
      </c>
    </row>
    <row r="139" spans="1:9" hidden="1" x14ac:dyDescent="0.25">
      <c r="A139" t="s">
        <v>54</v>
      </c>
      <c r="B139" t="s">
        <v>6</v>
      </c>
      <c r="C139" t="s">
        <v>11</v>
      </c>
      <c r="D139" t="s">
        <v>6</v>
      </c>
      <c r="E139" t="s">
        <v>12</v>
      </c>
      <c r="F139">
        <v>2035</v>
      </c>
      <c r="G139">
        <v>2179.7973969999998</v>
      </c>
      <c r="H139">
        <v>8.0000000000000002E-3</v>
      </c>
      <c r="I139">
        <v>-1</v>
      </c>
    </row>
    <row r="140" spans="1:9" hidden="1" x14ac:dyDescent="0.25">
      <c r="A140" t="s">
        <v>54</v>
      </c>
      <c r="B140" t="s">
        <v>6</v>
      </c>
      <c r="C140" t="s">
        <v>11</v>
      </c>
      <c r="D140" t="s">
        <v>6</v>
      </c>
      <c r="E140" t="s">
        <v>12</v>
      </c>
      <c r="F140">
        <v>2036</v>
      </c>
      <c r="G140">
        <v>2213.792625</v>
      </c>
      <c r="H140">
        <v>8.0000000000000002E-3</v>
      </c>
      <c r="I140">
        <v>-1</v>
      </c>
    </row>
    <row r="141" spans="1:9" hidden="1" x14ac:dyDescent="0.25">
      <c r="A141" t="s">
        <v>54</v>
      </c>
      <c r="B141" t="s">
        <v>6</v>
      </c>
      <c r="C141" t="s">
        <v>11</v>
      </c>
      <c r="D141" t="s">
        <v>6</v>
      </c>
      <c r="E141" t="s">
        <v>12</v>
      </c>
      <c r="F141">
        <v>2037</v>
      </c>
      <c r="G141">
        <v>2248.318029</v>
      </c>
      <c r="H141">
        <v>8.0000000000000002E-3</v>
      </c>
      <c r="I141">
        <v>-1</v>
      </c>
    </row>
    <row r="142" spans="1:9" hidden="1" x14ac:dyDescent="0.25">
      <c r="A142" t="s">
        <v>54</v>
      </c>
      <c r="B142" t="s">
        <v>6</v>
      </c>
      <c r="C142" t="s">
        <v>11</v>
      </c>
      <c r="D142" t="s">
        <v>6</v>
      </c>
      <c r="E142" t="s">
        <v>12</v>
      </c>
      <c r="F142">
        <v>2038</v>
      </c>
      <c r="G142">
        <v>2283.3818769999998</v>
      </c>
      <c r="H142">
        <v>8.0000000000000002E-3</v>
      </c>
      <c r="I142">
        <v>-1</v>
      </c>
    </row>
    <row r="143" spans="1:9" hidden="1" x14ac:dyDescent="0.25">
      <c r="A143" t="s">
        <v>54</v>
      </c>
      <c r="B143" t="s">
        <v>6</v>
      </c>
      <c r="C143" t="s">
        <v>11</v>
      </c>
      <c r="D143" t="s">
        <v>6</v>
      </c>
      <c r="E143" t="s">
        <v>12</v>
      </c>
      <c r="F143">
        <v>2039</v>
      </c>
      <c r="G143">
        <v>2318.9925669999998</v>
      </c>
      <c r="H143">
        <v>8.0000000000000002E-3</v>
      </c>
      <c r="I143">
        <v>-1</v>
      </c>
    </row>
    <row r="144" spans="1:9" hidden="1" x14ac:dyDescent="0.25">
      <c r="A144" t="s">
        <v>54</v>
      </c>
      <c r="B144" t="s">
        <v>6</v>
      </c>
      <c r="C144" t="s">
        <v>11</v>
      </c>
      <c r="D144" t="s">
        <v>6</v>
      </c>
      <c r="E144" t="s">
        <v>12</v>
      </c>
      <c r="F144">
        <v>2040</v>
      </c>
      <c r="G144">
        <v>2355.1586259999999</v>
      </c>
      <c r="H144">
        <v>8.0000000000000002E-3</v>
      </c>
      <c r="I144">
        <v>-1</v>
      </c>
    </row>
    <row r="145" spans="1:9" hidden="1" x14ac:dyDescent="0.25">
      <c r="A145" t="s">
        <v>54</v>
      </c>
      <c r="B145" t="s">
        <v>6</v>
      </c>
      <c r="C145" t="s">
        <v>11</v>
      </c>
      <c r="D145" t="s">
        <v>6</v>
      </c>
      <c r="E145" t="s">
        <v>12</v>
      </c>
      <c r="F145">
        <v>2041</v>
      </c>
      <c r="G145">
        <v>2391.8887159999999</v>
      </c>
      <c r="H145">
        <v>8.0000000000000002E-3</v>
      </c>
      <c r="I145">
        <v>-1</v>
      </c>
    </row>
    <row r="146" spans="1:9" hidden="1" x14ac:dyDescent="0.25">
      <c r="A146" t="s">
        <v>54</v>
      </c>
      <c r="B146" t="s">
        <v>6</v>
      </c>
      <c r="C146" t="s">
        <v>11</v>
      </c>
      <c r="D146" t="s">
        <v>6</v>
      </c>
      <c r="E146" t="s">
        <v>8</v>
      </c>
      <c r="F146">
        <v>2024</v>
      </c>
      <c r="G146">
        <v>2160.3000000000002</v>
      </c>
      <c r="H146">
        <v>8.0000000000000002E-3</v>
      </c>
      <c r="I146">
        <v>-1</v>
      </c>
    </row>
    <row r="147" spans="1:9" hidden="1" x14ac:dyDescent="0.25">
      <c r="A147" t="s">
        <v>54</v>
      </c>
      <c r="B147" t="s">
        <v>6</v>
      </c>
      <c r="C147" t="s">
        <v>11</v>
      </c>
      <c r="D147" t="s">
        <v>6</v>
      </c>
      <c r="E147" t="s">
        <v>8</v>
      </c>
      <c r="F147">
        <v>2025</v>
      </c>
      <c r="G147">
        <v>2160.3000000000002</v>
      </c>
      <c r="H147">
        <v>8.0000000000000002E-3</v>
      </c>
      <c r="I147">
        <v>-1</v>
      </c>
    </row>
    <row r="148" spans="1:9" hidden="1" x14ac:dyDescent="0.25">
      <c r="A148" t="s">
        <v>54</v>
      </c>
      <c r="B148" t="s">
        <v>6</v>
      </c>
      <c r="C148" t="s">
        <v>11</v>
      </c>
      <c r="D148" t="s">
        <v>6</v>
      </c>
      <c r="E148" t="s">
        <v>8</v>
      </c>
      <c r="F148">
        <v>2026</v>
      </c>
      <c r="G148">
        <v>2160.3000000000002</v>
      </c>
      <c r="H148">
        <v>8.0000000000000002E-3</v>
      </c>
      <c r="I148">
        <v>-1</v>
      </c>
    </row>
    <row r="149" spans="1:9" hidden="1" x14ac:dyDescent="0.25">
      <c r="A149" t="s">
        <v>54</v>
      </c>
      <c r="B149" t="s">
        <v>6</v>
      </c>
      <c r="C149" t="s">
        <v>11</v>
      </c>
      <c r="D149" t="s">
        <v>6</v>
      </c>
      <c r="E149" t="s">
        <v>8</v>
      </c>
      <c r="F149">
        <v>2027</v>
      </c>
      <c r="G149">
        <v>2160.3000000000002</v>
      </c>
      <c r="H149">
        <v>8.0000000000000002E-3</v>
      </c>
      <c r="I149">
        <v>-1</v>
      </c>
    </row>
    <row r="150" spans="1:9" hidden="1" x14ac:dyDescent="0.25">
      <c r="A150" t="s">
        <v>54</v>
      </c>
      <c r="B150" t="s">
        <v>6</v>
      </c>
      <c r="C150" t="s">
        <v>11</v>
      </c>
      <c r="D150" t="s">
        <v>6</v>
      </c>
      <c r="E150" t="s">
        <v>8</v>
      </c>
      <c r="F150">
        <v>2028</v>
      </c>
      <c r="G150">
        <v>2160.3000000000002</v>
      </c>
      <c r="H150">
        <v>8.0000000000000002E-3</v>
      </c>
      <c r="I150">
        <v>-1</v>
      </c>
    </row>
    <row r="151" spans="1:9" hidden="1" x14ac:dyDescent="0.25">
      <c r="A151" t="s">
        <v>54</v>
      </c>
      <c r="B151" t="s">
        <v>6</v>
      </c>
      <c r="C151" t="s">
        <v>11</v>
      </c>
      <c r="D151" t="s">
        <v>6</v>
      </c>
      <c r="E151" t="s">
        <v>8</v>
      </c>
      <c r="F151">
        <v>2029</v>
      </c>
      <c r="G151">
        <v>2160.3000000000002</v>
      </c>
      <c r="H151">
        <v>8.0000000000000002E-3</v>
      </c>
      <c r="I151">
        <v>-1</v>
      </c>
    </row>
    <row r="152" spans="1:9" hidden="1" x14ac:dyDescent="0.25">
      <c r="A152" t="s">
        <v>54</v>
      </c>
      <c r="B152" t="s">
        <v>6</v>
      </c>
      <c r="C152" t="s">
        <v>11</v>
      </c>
      <c r="D152" t="s">
        <v>6</v>
      </c>
      <c r="E152" t="s">
        <v>8</v>
      </c>
      <c r="F152">
        <v>2030</v>
      </c>
      <c r="G152">
        <v>2160.3000000000002</v>
      </c>
      <c r="H152">
        <v>8.0000000000000002E-3</v>
      </c>
      <c r="I152">
        <v>-1</v>
      </c>
    </row>
    <row r="153" spans="1:9" hidden="1" x14ac:dyDescent="0.25">
      <c r="A153" t="s">
        <v>54</v>
      </c>
      <c r="B153" t="s">
        <v>6</v>
      </c>
      <c r="C153" t="s">
        <v>11</v>
      </c>
      <c r="D153" t="s">
        <v>6</v>
      </c>
      <c r="E153" t="s">
        <v>8</v>
      </c>
      <c r="F153">
        <v>2031</v>
      </c>
      <c r="G153">
        <v>2160.3000000000002</v>
      </c>
      <c r="H153">
        <v>8.0000000000000002E-3</v>
      </c>
      <c r="I153">
        <v>-1</v>
      </c>
    </row>
    <row r="154" spans="1:9" hidden="1" x14ac:dyDescent="0.25">
      <c r="A154" t="s">
        <v>54</v>
      </c>
      <c r="B154" t="s">
        <v>6</v>
      </c>
      <c r="C154" t="s">
        <v>11</v>
      </c>
      <c r="D154" t="s">
        <v>6</v>
      </c>
      <c r="E154" t="s">
        <v>8</v>
      </c>
      <c r="F154">
        <v>2032</v>
      </c>
      <c r="G154">
        <v>2160.3000000000002</v>
      </c>
      <c r="H154">
        <v>8.0000000000000002E-3</v>
      </c>
      <c r="I154">
        <v>-1</v>
      </c>
    </row>
    <row r="155" spans="1:9" hidden="1" x14ac:dyDescent="0.25">
      <c r="A155" t="s">
        <v>54</v>
      </c>
      <c r="B155" t="s">
        <v>6</v>
      </c>
      <c r="C155" t="s">
        <v>11</v>
      </c>
      <c r="D155" t="s">
        <v>6</v>
      </c>
      <c r="E155" t="s">
        <v>8</v>
      </c>
      <c r="F155">
        <v>2033</v>
      </c>
      <c r="G155">
        <v>2160.3000000000002</v>
      </c>
      <c r="H155">
        <v>8.0000000000000002E-3</v>
      </c>
      <c r="I155">
        <v>-1</v>
      </c>
    </row>
    <row r="156" spans="1:9" hidden="1" x14ac:dyDescent="0.25">
      <c r="A156" t="s">
        <v>54</v>
      </c>
      <c r="B156" t="s">
        <v>6</v>
      </c>
      <c r="C156" t="s">
        <v>11</v>
      </c>
      <c r="D156" t="s">
        <v>6</v>
      </c>
      <c r="E156" t="s">
        <v>8</v>
      </c>
      <c r="F156">
        <v>2034</v>
      </c>
      <c r="G156">
        <v>2160.3000000000002</v>
      </c>
      <c r="H156">
        <v>8.0000000000000002E-3</v>
      </c>
      <c r="I156">
        <v>-1</v>
      </c>
    </row>
    <row r="157" spans="1:9" hidden="1" x14ac:dyDescent="0.25">
      <c r="A157" t="s">
        <v>54</v>
      </c>
      <c r="B157" t="s">
        <v>6</v>
      </c>
      <c r="C157" t="s">
        <v>11</v>
      </c>
      <c r="D157" t="s">
        <v>6</v>
      </c>
      <c r="E157" t="s">
        <v>8</v>
      </c>
      <c r="F157">
        <v>2035</v>
      </c>
      <c r="G157">
        <v>2160.3000000000002</v>
      </c>
      <c r="H157">
        <v>8.0000000000000002E-3</v>
      </c>
      <c r="I157">
        <v>-1</v>
      </c>
    </row>
    <row r="158" spans="1:9" hidden="1" x14ac:dyDescent="0.25">
      <c r="A158" t="s">
        <v>54</v>
      </c>
      <c r="B158" t="s">
        <v>6</v>
      </c>
      <c r="C158" t="s">
        <v>11</v>
      </c>
      <c r="D158" t="s">
        <v>6</v>
      </c>
      <c r="E158" t="s">
        <v>8</v>
      </c>
      <c r="F158">
        <v>2036</v>
      </c>
      <c r="G158">
        <v>2160.3000000000002</v>
      </c>
      <c r="H158">
        <v>8.0000000000000002E-3</v>
      </c>
      <c r="I158">
        <v>-1</v>
      </c>
    </row>
    <row r="159" spans="1:9" hidden="1" x14ac:dyDescent="0.25">
      <c r="A159" t="s">
        <v>54</v>
      </c>
      <c r="B159" t="s">
        <v>6</v>
      </c>
      <c r="C159" t="s">
        <v>11</v>
      </c>
      <c r="D159" t="s">
        <v>6</v>
      </c>
      <c r="E159" t="s">
        <v>8</v>
      </c>
      <c r="F159">
        <v>2037</v>
      </c>
      <c r="G159">
        <v>2160.3000000000002</v>
      </c>
      <c r="H159">
        <v>8.0000000000000002E-3</v>
      </c>
      <c r="I159">
        <v>-1</v>
      </c>
    </row>
    <row r="160" spans="1:9" hidden="1" x14ac:dyDescent="0.25">
      <c r="A160" t="s">
        <v>54</v>
      </c>
      <c r="B160" t="s">
        <v>6</v>
      </c>
      <c r="C160" t="s">
        <v>11</v>
      </c>
      <c r="D160" t="s">
        <v>6</v>
      </c>
      <c r="E160" t="s">
        <v>8</v>
      </c>
      <c r="F160">
        <v>2038</v>
      </c>
      <c r="G160">
        <v>2160.3000000000002</v>
      </c>
      <c r="H160">
        <v>8.0000000000000002E-3</v>
      </c>
      <c r="I160">
        <v>-1</v>
      </c>
    </row>
    <row r="161" spans="1:9" hidden="1" x14ac:dyDescent="0.25">
      <c r="A161" t="s">
        <v>54</v>
      </c>
      <c r="B161" t="s">
        <v>6</v>
      </c>
      <c r="C161" t="s">
        <v>11</v>
      </c>
      <c r="D161" t="s">
        <v>6</v>
      </c>
      <c r="E161" t="s">
        <v>8</v>
      </c>
      <c r="F161">
        <v>2039</v>
      </c>
      <c r="G161">
        <v>2160.3000000000002</v>
      </c>
      <c r="H161">
        <v>8.0000000000000002E-3</v>
      </c>
      <c r="I161">
        <v>-1</v>
      </c>
    </row>
    <row r="162" spans="1:9" hidden="1" x14ac:dyDescent="0.25">
      <c r="A162" t="s">
        <v>54</v>
      </c>
      <c r="B162" t="s">
        <v>6</v>
      </c>
      <c r="C162" t="s">
        <v>11</v>
      </c>
      <c r="D162" t="s">
        <v>6</v>
      </c>
      <c r="E162" t="s">
        <v>8</v>
      </c>
      <c r="F162">
        <v>2040</v>
      </c>
      <c r="G162">
        <v>2160.3000000000002</v>
      </c>
      <c r="H162">
        <v>8.0000000000000002E-3</v>
      </c>
      <c r="I162">
        <v>-1</v>
      </c>
    </row>
    <row r="163" spans="1:9" hidden="1" x14ac:dyDescent="0.25">
      <c r="A163" t="s">
        <v>54</v>
      </c>
      <c r="B163" t="s">
        <v>6</v>
      </c>
      <c r="C163" t="s">
        <v>11</v>
      </c>
      <c r="D163" t="s">
        <v>6</v>
      </c>
      <c r="E163" t="s">
        <v>8</v>
      </c>
      <c r="F163">
        <v>2041</v>
      </c>
      <c r="G163">
        <v>2160.3000000000002</v>
      </c>
      <c r="H163">
        <v>8.0000000000000002E-3</v>
      </c>
      <c r="I163">
        <v>-1</v>
      </c>
    </row>
    <row r="164" spans="1:9" hidden="1" x14ac:dyDescent="0.25">
      <c r="A164" t="s">
        <v>54</v>
      </c>
      <c r="B164" t="s">
        <v>6</v>
      </c>
      <c r="C164" t="s">
        <v>11</v>
      </c>
      <c r="D164" t="s">
        <v>6</v>
      </c>
      <c r="E164" t="s">
        <v>9</v>
      </c>
      <c r="F164">
        <v>2024</v>
      </c>
      <c r="G164">
        <v>3354.5</v>
      </c>
      <c r="H164">
        <v>8.0000000000000002E-3</v>
      </c>
      <c r="I164">
        <v>-1</v>
      </c>
    </row>
    <row r="165" spans="1:9" hidden="1" x14ac:dyDescent="0.25">
      <c r="A165" t="s">
        <v>54</v>
      </c>
      <c r="B165" t="s">
        <v>6</v>
      </c>
      <c r="C165" t="s">
        <v>11</v>
      </c>
      <c r="D165" t="s">
        <v>6</v>
      </c>
      <c r="E165" t="s">
        <v>9</v>
      </c>
      <c r="F165">
        <v>2025</v>
      </c>
      <c r="G165">
        <v>3469.4124339999998</v>
      </c>
      <c r="H165">
        <v>8.0000000000000002E-3</v>
      </c>
      <c r="I165">
        <v>-1</v>
      </c>
    </row>
    <row r="166" spans="1:9" hidden="1" x14ac:dyDescent="0.25">
      <c r="A166" t="s">
        <v>54</v>
      </c>
      <c r="B166" t="s">
        <v>6</v>
      </c>
      <c r="C166" t="s">
        <v>11</v>
      </c>
      <c r="D166" t="s">
        <v>6</v>
      </c>
      <c r="E166" t="s">
        <v>9</v>
      </c>
      <c r="F166">
        <v>2026</v>
      </c>
      <c r="G166">
        <v>3588.2613310000002</v>
      </c>
      <c r="H166">
        <v>8.0000000000000002E-3</v>
      </c>
      <c r="I166">
        <v>-1</v>
      </c>
    </row>
    <row r="167" spans="1:9" hidden="1" x14ac:dyDescent="0.25">
      <c r="A167" t="s">
        <v>54</v>
      </c>
      <c r="B167" t="s">
        <v>6</v>
      </c>
      <c r="C167" t="s">
        <v>11</v>
      </c>
      <c r="D167" t="s">
        <v>6</v>
      </c>
      <c r="E167" t="s">
        <v>9</v>
      </c>
      <c r="F167">
        <v>2027</v>
      </c>
      <c r="G167">
        <v>3711.18154</v>
      </c>
      <c r="H167">
        <v>8.0000000000000002E-3</v>
      </c>
      <c r="I167">
        <v>-1</v>
      </c>
    </row>
    <row r="168" spans="1:9" hidden="1" x14ac:dyDescent="0.25">
      <c r="A168" t="s">
        <v>54</v>
      </c>
      <c r="B168" t="s">
        <v>6</v>
      </c>
      <c r="C168" t="s">
        <v>11</v>
      </c>
      <c r="D168" t="s">
        <v>6</v>
      </c>
      <c r="E168" t="s">
        <v>9</v>
      </c>
      <c r="F168">
        <v>2028</v>
      </c>
      <c r="G168">
        <v>3838.3125289999998</v>
      </c>
      <c r="H168">
        <v>8.0000000000000002E-3</v>
      </c>
      <c r="I168">
        <v>-1</v>
      </c>
    </row>
    <row r="169" spans="1:9" hidden="1" x14ac:dyDescent="0.25">
      <c r="A169" t="s">
        <v>54</v>
      </c>
      <c r="B169" t="s">
        <v>6</v>
      </c>
      <c r="C169" t="s">
        <v>11</v>
      </c>
      <c r="D169" t="s">
        <v>6</v>
      </c>
      <c r="E169" t="s">
        <v>9</v>
      </c>
      <c r="F169">
        <v>2029</v>
      </c>
      <c r="G169">
        <v>3969.7985429999999</v>
      </c>
      <c r="H169">
        <v>8.0000000000000002E-3</v>
      </c>
      <c r="I169">
        <v>-1</v>
      </c>
    </row>
    <row r="170" spans="1:9" hidden="1" x14ac:dyDescent="0.25">
      <c r="A170" t="s">
        <v>54</v>
      </c>
      <c r="B170" t="s">
        <v>6</v>
      </c>
      <c r="C170" t="s">
        <v>11</v>
      </c>
      <c r="D170" t="s">
        <v>6</v>
      </c>
      <c r="E170" t="s">
        <v>9</v>
      </c>
      <c r="F170">
        <v>2030</v>
      </c>
      <c r="G170">
        <v>4105.7887689999998</v>
      </c>
      <c r="H170">
        <v>8.0000000000000002E-3</v>
      </c>
      <c r="I170">
        <v>-1</v>
      </c>
    </row>
    <row r="171" spans="1:9" hidden="1" x14ac:dyDescent="0.25">
      <c r="A171" t="s">
        <v>54</v>
      </c>
      <c r="B171" t="s">
        <v>6</v>
      </c>
      <c r="C171" t="s">
        <v>11</v>
      </c>
      <c r="D171" t="s">
        <v>6</v>
      </c>
      <c r="E171" t="s">
        <v>9</v>
      </c>
      <c r="F171">
        <v>2031</v>
      </c>
      <c r="G171">
        <v>4246.4375030000001</v>
      </c>
      <c r="H171">
        <v>8.0000000000000002E-3</v>
      </c>
      <c r="I171">
        <v>-1</v>
      </c>
    </row>
    <row r="172" spans="1:9" hidden="1" x14ac:dyDescent="0.25">
      <c r="A172" t="s">
        <v>54</v>
      </c>
      <c r="B172" t="s">
        <v>6</v>
      </c>
      <c r="C172" t="s">
        <v>11</v>
      </c>
      <c r="D172" t="s">
        <v>6</v>
      </c>
      <c r="E172" t="s">
        <v>9</v>
      </c>
      <c r="F172">
        <v>2032</v>
      </c>
      <c r="G172">
        <v>4391.904329</v>
      </c>
      <c r="H172">
        <v>8.0000000000000002E-3</v>
      </c>
      <c r="I172">
        <v>-1</v>
      </c>
    </row>
    <row r="173" spans="1:9" hidden="1" x14ac:dyDescent="0.25">
      <c r="A173" t="s">
        <v>54</v>
      </c>
      <c r="B173" t="s">
        <v>6</v>
      </c>
      <c r="C173" t="s">
        <v>11</v>
      </c>
      <c r="D173" t="s">
        <v>6</v>
      </c>
      <c r="E173" t="s">
        <v>9</v>
      </c>
      <c r="F173">
        <v>2033</v>
      </c>
      <c r="G173">
        <v>4542.3542960000004</v>
      </c>
      <c r="H173">
        <v>8.0000000000000002E-3</v>
      </c>
      <c r="I173">
        <v>-1</v>
      </c>
    </row>
    <row r="174" spans="1:9" hidden="1" x14ac:dyDescent="0.25">
      <c r="A174" t="s">
        <v>54</v>
      </c>
      <c r="B174" t="s">
        <v>6</v>
      </c>
      <c r="C174" t="s">
        <v>11</v>
      </c>
      <c r="D174" t="s">
        <v>6</v>
      </c>
      <c r="E174" t="s">
        <v>9</v>
      </c>
      <c r="F174">
        <v>2034</v>
      </c>
      <c r="G174">
        <v>4697.9581079999998</v>
      </c>
      <c r="H174">
        <v>8.0000000000000002E-3</v>
      </c>
      <c r="I174">
        <v>-1</v>
      </c>
    </row>
    <row r="175" spans="1:9" hidden="1" x14ac:dyDescent="0.25">
      <c r="A175" t="s">
        <v>54</v>
      </c>
      <c r="B175" t="s">
        <v>6</v>
      </c>
      <c r="C175" t="s">
        <v>11</v>
      </c>
      <c r="D175" t="s">
        <v>6</v>
      </c>
      <c r="E175" t="s">
        <v>9</v>
      </c>
      <c r="F175">
        <v>2035</v>
      </c>
      <c r="G175">
        <v>4858.8923160000004</v>
      </c>
      <c r="H175">
        <v>8.0000000000000002E-3</v>
      </c>
      <c r="I175">
        <v>-1</v>
      </c>
    </row>
    <row r="176" spans="1:9" hidden="1" x14ac:dyDescent="0.25">
      <c r="A176" t="s">
        <v>54</v>
      </c>
      <c r="B176" t="s">
        <v>6</v>
      </c>
      <c r="C176" t="s">
        <v>11</v>
      </c>
      <c r="D176" t="s">
        <v>6</v>
      </c>
      <c r="E176" t="s">
        <v>9</v>
      </c>
      <c r="F176">
        <v>2036</v>
      </c>
      <c r="G176">
        <v>5025.3395179999998</v>
      </c>
      <c r="H176">
        <v>8.0000000000000002E-3</v>
      </c>
      <c r="I176">
        <v>-1</v>
      </c>
    </row>
    <row r="177" spans="1:9" hidden="1" x14ac:dyDescent="0.25">
      <c r="A177" t="s">
        <v>54</v>
      </c>
      <c r="B177" t="s">
        <v>6</v>
      </c>
      <c r="C177" t="s">
        <v>11</v>
      </c>
      <c r="D177" t="s">
        <v>6</v>
      </c>
      <c r="E177" t="s">
        <v>9</v>
      </c>
      <c r="F177">
        <v>2037</v>
      </c>
      <c r="G177">
        <v>5197.4885700000004</v>
      </c>
      <c r="H177">
        <v>8.0000000000000002E-3</v>
      </c>
      <c r="I177">
        <v>-1</v>
      </c>
    </row>
    <row r="178" spans="1:9" hidden="1" x14ac:dyDescent="0.25">
      <c r="A178" t="s">
        <v>54</v>
      </c>
      <c r="B178" t="s">
        <v>6</v>
      </c>
      <c r="C178" t="s">
        <v>11</v>
      </c>
      <c r="D178" t="s">
        <v>6</v>
      </c>
      <c r="E178" t="s">
        <v>9</v>
      </c>
      <c r="F178">
        <v>2038</v>
      </c>
      <c r="G178">
        <v>5375.5347940000001</v>
      </c>
      <c r="H178">
        <v>8.0000000000000002E-3</v>
      </c>
      <c r="I178">
        <v>-1</v>
      </c>
    </row>
    <row r="179" spans="1:9" hidden="1" x14ac:dyDescent="0.25">
      <c r="A179" t="s">
        <v>54</v>
      </c>
      <c r="B179" t="s">
        <v>6</v>
      </c>
      <c r="C179" t="s">
        <v>11</v>
      </c>
      <c r="D179" t="s">
        <v>6</v>
      </c>
      <c r="E179" t="s">
        <v>9</v>
      </c>
      <c r="F179">
        <v>2039</v>
      </c>
      <c r="G179">
        <v>5559.6802070000003</v>
      </c>
      <c r="H179">
        <v>8.0000000000000002E-3</v>
      </c>
      <c r="I179">
        <v>-1</v>
      </c>
    </row>
    <row r="180" spans="1:9" hidden="1" x14ac:dyDescent="0.25">
      <c r="A180" t="s">
        <v>54</v>
      </c>
      <c r="B180" t="s">
        <v>6</v>
      </c>
      <c r="C180" t="s">
        <v>11</v>
      </c>
      <c r="D180" t="s">
        <v>6</v>
      </c>
      <c r="E180" t="s">
        <v>9</v>
      </c>
      <c r="F180">
        <v>2040</v>
      </c>
      <c r="G180">
        <v>5750.133742</v>
      </c>
      <c r="H180">
        <v>8.0000000000000002E-3</v>
      </c>
      <c r="I180">
        <v>-1</v>
      </c>
    </row>
    <row r="181" spans="1:9" hidden="1" x14ac:dyDescent="0.25">
      <c r="A181" t="s">
        <v>54</v>
      </c>
      <c r="B181" t="s">
        <v>6</v>
      </c>
      <c r="C181" t="s">
        <v>11</v>
      </c>
      <c r="D181" t="s">
        <v>6</v>
      </c>
      <c r="E181" t="s">
        <v>9</v>
      </c>
      <c r="F181">
        <v>2041</v>
      </c>
      <c r="G181">
        <v>5947.111492</v>
      </c>
      <c r="H181">
        <v>8.0000000000000002E-3</v>
      </c>
      <c r="I181">
        <v>-1</v>
      </c>
    </row>
    <row r="182" spans="1:9" hidden="1" x14ac:dyDescent="0.25">
      <c r="A182" t="s">
        <v>54</v>
      </c>
      <c r="B182" t="s">
        <v>6</v>
      </c>
      <c r="C182" t="s">
        <v>12</v>
      </c>
      <c r="D182" t="s">
        <v>6</v>
      </c>
      <c r="E182" t="s">
        <v>10</v>
      </c>
      <c r="F182">
        <v>2024</v>
      </c>
      <c r="G182">
        <v>2497.6</v>
      </c>
      <c r="H182">
        <v>8.0000000000000002E-3</v>
      </c>
      <c r="I182">
        <v>-1</v>
      </c>
    </row>
    <row r="183" spans="1:9" hidden="1" x14ac:dyDescent="0.25">
      <c r="A183" t="s">
        <v>54</v>
      </c>
      <c r="B183" t="s">
        <v>6</v>
      </c>
      <c r="C183" t="s">
        <v>12</v>
      </c>
      <c r="D183" t="s">
        <v>6</v>
      </c>
      <c r="E183" t="s">
        <v>10</v>
      </c>
      <c r="F183">
        <v>2025</v>
      </c>
      <c r="G183">
        <v>2497.6</v>
      </c>
      <c r="H183">
        <v>8.0000000000000002E-3</v>
      </c>
      <c r="I183">
        <v>-1</v>
      </c>
    </row>
    <row r="184" spans="1:9" hidden="1" x14ac:dyDescent="0.25">
      <c r="A184" t="s">
        <v>54</v>
      </c>
      <c r="B184" t="s">
        <v>6</v>
      </c>
      <c r="C184" t="s">
        <v>12</v>
      </c>
      <c r="D184" t="s">
        <v>6</v>
      </c>
      <c r="E184" t="s">
        <v>10</v>
      </c>
      <c r="F184">
        <v>2026</v>
      </c>
      <c r="G184">
        <v>2497.6</v>
      </c>
      <c r="H184">
        <v>8.0000000000000002E-3</v>
      </c>
      <c r="I184">
        <v>-1</v>
      </c>
    </row>
    <row r="185" spans="1:9" hidden="1" x14ac:dyDescent="0.25">
      <c r="A185" t="s">
        <v>54</v>
      </c>
      <c r="B185" t="s">
        <v>6</v>
      </c>
      <c r="C185" t="s">
        <v>12</v>
      </c>
      <c r="D185" t="s">
        <v>6</v>
      </c>
      <c r="E185" t="s">
        <v>10</v>
      </c>
      <c r="F185">
        <v>2027</v>
      </c>
      <c r="G185">
        <v>2497.6</v>
      </c>
      <c r="H185">
        <v>8.0000000000000002E-3</v>
      </c>
      <c r="I185">
        <v>-1</v>
      </c>
    </row>
    <row r="186" spans="1:9" hidden="1" x14ac:dyDescent="0.25">
      <c r="A186" t="s">
        <v>54</v>
      </c>
      <c r="B186" t="s">
        <v>6</v>
      </c>
      <c r="C186" t="s">
        <v>12</v>
      </c>
      <c r="D186" t="s">
        <v>6</v>
      </c>
      <c r="E186" t="s">
        <v>10</v>
      </c>
      <c r="F186">
        <v>2028</v>
      </c>
      <c r="G186">
        <v>2497.6</v>
      </c>
      <c r="H186">
        <v>8.0000000000000002E-3</v>
      </c>
      <c r="I186">
        <v>-1</v>
      </c>
    </row>
    <row r="187" spans="1:9" hidden="1" x14ac:dyDescent="0.25">
      <c r="A187" t="s">
        <v>54</v>
      </c>
      <c r="B187" t="s">
        <v>6</v>
      </c>
      <c r="C187" t="s">
        <v>12</v>
      </c>
      <c r="D187" t="s">
        <v>6</v>
      </c>
      <c r="E187" t="s">
        <v>10</v>
      </c>
      <c r="F187">
        <v>2029</v>
      </c>
      <c r="G187">
        <v>2497.6</v>
      </c>
      <c r="H187">
        <v>8.0000000000000002E-3</v>
      </c>
      <c r="I187">
        <v>-1</v>
      </c>
    </row>
    <row r="188" spans="1:9" hidden="1" x14ac:dyDescent="0.25">
      <c r="A188" t="s">
        <v>54</v>
      </c>
      <c r="B188" t="s">
        <v>6</v>
      </c>
      <c r="C188" t="s">
        <v>12</v>
      </c>
      <c r="D188" t="s">
        <v>6</v>
      </c>
      <c r="E188" t="s">
        <v>10</v>
      </c>
      <c r="F188">
        <v>2030</v>
      </c>
      <c r="G188">
        <v>2497.6</v>
      </c>
      <c r="H188">
        <v>8.0000000000000002E-3</v>
      </c>
      <c r="I188">
        <v>-1</v>
      </c>
    </row>
    <row r="189" spans="1:9" hidden="1" x14ac:dyDescent="0.25">
      <c r="A189" t="s">
        <v>54</v>
      </c>
      <c r="B189" t="s">
        <v>6</v>
      </c>
      <c r="C189" t="s">
        <v>12</v>
      </c>
      <c r="D189" t="s">
        <v>6</v>
      </c>
      <c r="E189" t="s">
        <v>10</v>
      </c>
      <c r="F189">
        <v>2031</v>
      </c>
      <c r="G189">
        <v>2497.6</v>
      </c>
      <c r="H189">
        <v>8.0000000000000002E-3</v>
      </c>
      <c r="I189">
        <v>-1</v>
      </c>
    </row>
    <row r="190" spans="1:9" hidden="1" x14ac:dyDescent="0.25">
      <c r="A190" t="s">
        <v>54</v>
      </c>
      <c r="B190" t="s">
        <v>6</v>
      </c>
      <c r="C190" t="s">
        <v>12</v>
      </c>
      <c r="D190" t="s">
        <v>6</v>
      </c>
      <c r="E190" t="s">
        <v>10</v>
      </c>
      <c r="F190">
        <v>2032</v>
      </c>
      <c r="G190">
        <v>2497.6</v>
      </c>
      <c r="H190">
        <v>8.0000000000000002E-3</v>
      </c>
      <c r="I190">
        <v>-1</v>
      </c>
    </row>
    <row r="191" spans="1:9" hidden="1" x14ac:dyDescent="0.25">
      <c r="A191" t="s">
        <v>54</v>
      </c>
      <c r="B191" t="s">
        <v>6</v>
      </c>
      <c r="C191" t="s">
        <v>12</v>
      </c>
      <c r="D191" t="s">
        <v>6</v>
      </c>
      <c r="E191" t="s">
        <v>10</v>
      </c>
      <c r="F191">
        <v>2033</v>
      </c>
      <c r="G191">
        <v>2497.6</v>
      </c>
      <c r="H191">
        <v>8.0000000000000002E-3</v>
      </c>
      <c r="I191">
        <v>-1</v>
      </c>
    </row>
    <row r="192" spans="1:9" hidden="1" x14ac:dyDescent="0.25">
      <c r="A192" t="s">
        <v>54</v>
      </c>
      <c r="B192" t="s">
        <v>6</v>
      </c>
      <c r="C192" t="s">
        <v>12</v>
      </c>
      <c r="D192" t="s">
        <v>6</v>
      </c>
      <c r="E192" t="s">
        <v>10</v>
      </c>
      <c r="F192">
        <v>2034</v>
      </c>
      <c r="G192">
        <v>2497.6</v>
      </c>
      <c r="H192">
        <v>8.0000000000000002E-3</v>
      </c>
      <c r="I192">
        <v>-1</v>
      </c>
    </row>
    <row r="193" spans="1:9" hidden="1" x14ac:dyDescent="0.25">
      <c r="A193" t="s">
        <v>54</v>
      </c>
      <c r="B193" t="s">
        <v>6</v>
      </c>
      <c r="C193" t="s">
        <v>12</v>
      </c>
      <c r="D193" t="s">
        <v>6</v>
      </c>
      <c r="E193" t="s">
        <v>10</v>
      </c>
      <c r="F193">
        <v>2035</v>
      </c>
      <c r="G193">
        <v>2497.6</v>
      </c>
      <c r="H193">
        <v>8.0000000000000002E-3</v>
      </c>
      <c r="I193">
        <v>-1</v>
      </c>
    </row>
    <row r="194" spans="1:9" hidden="1" x14ac:dyDescent="0.25">
      <c r="A194" t="s">
        <v>54</v>
      </c>
      <c r="B194" t="s">
        <v>6</v>
      </c>
      <c r="C194" t="s">
        <v>12</v>
      </c>
      <c r="D194" t="s">
        <v>6</v>
      </c>
      <c r="E194" t="s">
        <v>10</v>
      </c>
      <c r="F194">
        <v>2036</v>
      </c>
      <c r="G194">
        <v>2497.6</v>
      </c>
      <c r="H194">
        <v>8.0000000000000002E-3</v>
      </c>
      <c r="I194">
        <v>-1</v>
      </c>
    </row>
    <row r="195" spans="1:9" hidden="1" x14ac:dyDescent="0.25">
      <c r="A195" t="s">
        <v>54</v>
      </c>
      <c r="B195" t="s">
        <v>6</v>
      </c>
      <c r="C195" t="s">
        <v>12</v>
      </c>
      <c r="D195" t="s">
        <v>6</v>
      </c>
      <c r="E195" t="s">
        <v>10</v>
      </c>
      <c r="F195">
        <v>2037</v>
      </c>
      <c r="G195">
        <v>2497.6</v>
      </c>
      <c r="H195">
        <v>8.0000000000000002E-3</v>
      </c>
      <c r="I195">
        <v>-1</v>
      </c>
    </row>
    <row r="196" spans="1:9" hidden="1" x14ac:dyDescent="0.25">
      <c r="A196" t="s">
        <v>54</v>
      </c>
      <c r="B196" t="s">
        <v>6</v>
      </c>
      <c r="C196" t="s">
        <v>12</v>
      </c>
      <c r="D196" t="s">
        <v>6</v>
      </c>
      <c r="E196" t="s">
        <v>10</v>
      </c>
      <c r="F196">
        <v>2038</v>
      </c>
      <c r="G196">
        <v>2497.6</v>
      </c>
      <c r="H196">
        <v>8.0000000000000002E-3</v>
      </c>
      <c r="I196">
        <v>-1</v>
      </c>
    </row>
    <row r="197" spans="1:9" hidden="1" x14ac:dyDescent="0.25">
      <c r="A197" t="s">
        <v>54</v>
      </c>
      <c r="B197" t="s">
        <v>6</v>
      </c>
      <c r="C197" t="s">
        <v>12</v>
      </c>
      <c r="D197" t="s">
        <v>6</v>
      </c>
      <c r="E197" t="s">
        <v>10</v>
      </c>
      <c r="F197">
        <v>2039</v>
      </c>
      <c r="G197">
        <v>2497.6</v>
      </c>
      <c r="H197">
        <v>8.0000000000000002E-3</v>
      </c>
      <c r="I197">
        <v>-1</v>
      </c>
    </row>
    <row r="198" spans="1:9" hidden="1" x14ac:dyDescent="0.25">
      <c r="A198" t="s">
        <v>54</v>
      </c>
      <c r="B198" t="s">
        <v>6</v>
      </c>
      <c r="C198" t="s">
        <v>12</v>
      </c>
      <c r="D198" t="s">
        <v>6</v>
      </c>
      <c r="E198" t="s">
        <v>10</v>
      </c>
      <c r="F198">
        <v>2040</v>
      </c>
      <c r="G198">
        <v>2497.6</v>
      </c>
      <c r="H198">
        <v>8.0000000000000002E-3</v>
      </c>
      <c r="I198">
        <v>-1</v>
      </c>
    </row>
    <row r="199" spans="1:9" hidden="1" x14ac:dyDescent="0.25">
      <c r="A199" t="s">
        <v>54</v>
      </c>
      <c r="B199" t="s">
        <v>6</v>
      </c>
      <c r="C199" t="s">
        <v>12</v>
      </c>
      <c r="D199" t="s">
        <v>6</v>
      </c>
      <c r="E199" t="s">
        <v>10</v>
      </c>
      <c r="F199">
        <v>2041</v>
      </c>
      <c r="G199">
        <v>2497.6</v>
      </c>
      <c r="H199">
        <v>8.0000000000000002E-3</v>
      </c>
      <c r="I199">
        <v>-1</v>
      </c>
    </row>
    <row r="200" spans="1:9" hidden="1" x14ac:dyDescent="0.25">
      <c r="A200" t="s">
        <v>54</v>
      </c>
      <c r="B200" t="s">
        <v>6</v>
      </c>
      <c r="C200" t="s">
        <v>12</v>
      </c>
      <c r="D200" t="s">
        <v>6</v>
      </c>
      <c r="E200" t="s">
        <v>11</v>
      </c>
      <c r="F200">
        <v>2024</v>
      </c>
      <c r="G200">
        <v>1838.6</v>
      </c>
      <c r="H200">
        <v>8.0000000000000002E-3</v>
      </c>
      <c r="I200">
        <v>-1</v>
      </c>
    </row>
    <row r="201" spans="1:9" hidden="1" x14ac:dyDescent="0.25">
      <c r="A201" t="s">
        <v>54</v>
      </c>
      <c r="B201" t="s">
        <v>6</v>
      </c>
      <c r="C201" t="s">
        <v>12</v>
      </c>
      <c r="D201" t="s">
        <v>6</v>
      </c>
      <c r="E201" t="s">
        <v>11</v>
      </c>
      <c r="F201">
        <v>2025</v>
      </c>
      <c r="G201">
        <v>1867.2740530000001</v>
      </c>
      <c r="H201">
        <v>8.0000000000000002E-3</v>
      </c>
      <c r="I201">
        <v>-1</v>
      </c>
    </row>
    <row r="202" spans="1:9" hidden="1" x14ac:dyDescent="0.25">
      <c r="A202" t="s">
        <v>54</v>
      </c>
      <c r="B202" t="s">
        <v>6</v>
      </c>
      <c r="C202" t="s">
        <v>12</v>
      </c>
      <c r="D202" t="s">
        <v>6</v>
      </c>
      <c r="E202" t="s">
        <v>11</v>
      </c>
      <c r="F202">
        <v>2026</v>
      </c>
      <c r="G202">
        <v>1896.395295</v>
      </c>
      <c r="H202">
        <v>8.0000000000000002E-3</v>
      </c>
      <c r="I202">
        <v>-1</v>
      </c>
    </row>
    <row r="203" spans="1:9" hidden="1" x14ac:dyDescent="0.25">
      <c r="A203" t="s">
        <v>54</v>
      </c>
      <c r="B203" t="s">
        <v>6</v>
      </c>
      <c r="C203" t="s">
        <v>12</v>
      </c>
      <c r="D203" t="s">
        <v>6</v>
      </c>
      <c r="E203" t="s">
        <v>11</v>
      </c>
      <c r="F203">
        <v>2027</v>
      </c>
      <c r="G203">
        <v>1925.9707000000001</v>
      </c>
      <c r="H203">
        <v>8.0000000000000002E-3</v>
      </c>
      <c r="I203">
        <v>-1</v>
      </c>
    </row>
    <row r="204" spans="1:9" hidden="1" x14ac:dyDescent="0.25">
      <c r="A204" t="s">
        <v>54</v>
      </c>
      <c r="B204" t="s">
        <v>6</v>
      </c>
      <c r="C204" t="s">
        <v>12</v>
      </c>
      <c r="D204" t="s">
        <v>6</v>
      </c>
      <c r="E204" t="s">
        <v>11</v>
      </c>
      <c r="F204">
        <v>2028</v>
      </c>
      <c r="G204">
        <v>1956.007351</v>
      </c>
      <c r="H204">
        <v>8.0000000000000002E-3</v>
      </c>
      <c r="I204">
        <v>-1</v>
      </c>
    </row>
    <row r="205" spans="1:9" hidden="1" x14ac:dyDescent="0.25">
      <c r="A205" t="s">
        <v>54</v>
      </c>
      <c r="B205" t="s">
        <v>6</v>
      </c>
      <c r="C205" t="s">
        <v>12</v>
      </c>
      <c r="D205" t="s">
        <v>6</v>
      </c>
      <c r="E205" t="s">
        <v>11</v>
      </c>
      <c r="F205">
        <v>2029</v>
      </c>
      <c r="G205">
        <v>1986.5124410000001</v>
      </c>
      <c r="H205">
        <v>8.0000000000000002E-3</v>
      </c>
      <c r="I205">
        <v>-1</v>
      </c>
    </row>
    <row r="206" spans="1:9" hidden="1" x14ac:dyDescent="0.25">
      <c r="A206" t="s">
        <v>54</v>
      </c>
      <c r="B206" t="s">
        <v>6</v>
      </c>
      <c r="C206" t="s">
        <v>12</v>
      </c>
      <c r="D206" t="s">
        <v>6</v>
      </c>
      <c r="E206" t="s">
        <v>11</v>
      </c>
      <c r="F206">
        <v>2030</v>
      </c>
      <c r="G206">
        <v>2017.493277</v>
      </c>
      <c r="H206">
        <v>8.0000000000000002E-3</v>
      </c>
      <c r="I206">
        <v>-1</v>
      </c>
    </row>
    <row r="207" spans="1:9" hidden="1" x14ac:dyDescent="0.25">
      <c r="A207" t="s">
        <v>54</v>
      </c>
      <c r="B207" t="s">
        <v>6</v>
      </c>
      <c r="C207" t="s">
        <v>12</v>
      </c>
      <c r="D207" t="s">
        <v>6</v>
      </c>
      <c r="E207" t="s">
        <v>11</v>
      </c>
      <c r="F207">
        <v>2031</v>
      </c>
      <c r="G207">
        <v>2048.9572760000001</v>
      </c>
      <c r="H207">
        <v>8.0000000000000002E-3</v>
      </c>
      <c r="I207">
        <v>-1</v>
      </c>
    </row>
    <row r="208" spans="1:9" hidden="1" x14ac:dyDescent="0.25">
      <c r="A208" t="s">
        <v>54</v>
      </c>
      <c r="B208" t="s">
        <v>6</v>
      </c>
      <c r="C208" t="s">
        <v>12</v>
      </c>
      <c r="D208" t="s">
        <v>6</v>
      </c>
      <c r="E208" t="s">
        <v>11</v>
      </c>
      <c r="F208">
        <v>2032</v>
      </c>
      <c r="G208">
        <v>2080.911975</v>
      </c>
      <c r="H208">
        <v>8.0000000000000002E-3</v>
      </c>
      <c r="I208">
        <v>-1</v>
      </c>
    </row>
    <row r="209" spans="1:9" hidden="1" x14ac:dyDescent="0.25">
      <c r="A209" t="s">
        <v>54</v>
      </c>
      <c r="B209" t="s">
        <v>6</v>
      </c>
      <c r="C209" t="s">
        <v>12</v>
      </c>
      <c r="D209" t="s">
        <v>6</v>
      </c>
      <c r="E209" t="s">
        <v>11</v>
      </c>
      <c r="F209">
        <v>2033</v>
      </c>
      <c r="G209">
        <v>2113.3650269999998</v>
      </c>
      <c r="H209">
        <v>8.0000000000000002E-3</v>
      </c>
      <c r="I209">
        <v>-1</v>
      </c>
    </row>
    <row r="210" spans="1:9" hidden="1" x14ac:dyDescent="0.25">
      <c r="A210" t="s">
        <v>54</v>
      </c>
      <c r="B210" t="s">
        <v>6</v>
      </c>
      <c r="C210" t="s">
        <v>12</v>
      </c>
      <c r="D210" t="s">
        <v>6</v>
      </c>
      <c r="E210" t="s">
        <v>11</v>
      </c>
      <c r="F210">
        <v>2034</v>
      </c>
      <c r="G210">
        <v>2146.3242030000001</v>
      </c>
      <c r="H210">
        <v>8.0000000000000002E-3</v>
      </c>
      <c r="I210">
        <v>-1</v>
      </c>
    </row>
    <row r="211" spans="1:9" hidden="1" x14ac:dyDescent="0.25">
      <c r="A211" t="s">
        <v>54</v>
      </c>
      <c r="B211" t="s">
        <v>6</v>
      </c>
      <c r="C211" t="s">
        <v>12</v>
      </c>
      <c r="D211" t="s">
        <v>6</v>
      </c>
      <c r="E211" t="s">
        <v>11</v>
      </c>
      <c r="F211">
        <v>2035</v>
      </c>
      <c r="G211">
        <v>2179.7973969999998</v>
      </c>
      <c r="H211">
        <v>8.0000000000000002E-3</v>
      </c>
      <c r="I211">
        <v>-1</v>
      </c>
    </row>
    <row r="212" spans="1:9" hidden="1" x14ac:dyDescent="0.25">
      <c r="A212" t="s">
        <v>54</v>
      </c>
      <c r="B212" t="s">
        <v>6</v>
      </c>
      <c r="C212" t="s">
        <v>12</v>
      </c>
      <c r="D212" t="s">
        <v>6</v>
      </c>
      <c r="E212" t="s">
        <v>11</v>
      </c>
      <c r="F212">
        <v>2036</v>
      </c>
      <c r="G212">
        <v>2213.792625</v>
      </c>
      <c r="H212">
        <v>8.0000000000000002E-3</v>
      </c>
      <c r="I212">
        <v>-1</v>
      </c>
    </row>
    <row r="213" spans="1:9" hidden="1" x14ac:dyDescent="0.25">
      <c r="A213" t="s">
        <v>54</v>
      </c>
      <c r="B213" t="s">
        <v>6</v>
      </c>
      <c r="C213" t="s">
        <v>12</v>
      </c>
      <c r="D213" t="s">
        <v>6</v>
      </c>
      <c r="E213" t="s">
        <v>11</v>
      </c>
      <c r="F213">
        <v>2037</v>
      </c>
      <c r="G213">
        <v>2248.318029</v>
      </c>
      <c r="H213">
        <v>8.0000000000000002E-3</v>
      </c>
      <c r="I213">
        <v>-1</v>
      </c>
    </row>
    <row r="214" spans="1:9" hidden="1" x14ac:dyDescent="0.25">
      <c r="A214" t="s">
        <v>54</v>
      </c>
      <c r="B214" t="s">
        <v>6</v>
      </c>
      <c r="C214" t="s">
        <v>12</v>
      </c>
      <c r="D214" t="s">
        <v>6</v>
      </c>
      <c r="E214" t="s">
        <v>11</v>
      </c>
      <c r="F214">
        <v>2038</v>
      </c>
      <c r="G214">
        <v>2283.3818769999998</v>
      </c>
      <c r="H214">
        <v>8.0000000000000002E-3</v>
      </c>
      <c r="I214">
        <v>-1</v>
      </c>
    </row>
    <row r="215" spans="1:9" hidden="1" x14ac:dyDescent="0.25">
      <c r="A215" t="s">
        <v>54</v>
      </c>
      <c r="B215" t="s">
        <v>6</v>
      </c>
      <c r="C215" t="s">
        <v>12</v>
      </c>
      <c r="D215" t="s">
        <v>6</v>
      </c>
      <c r="E215" t="s">
        <v>11</v>
      </c>
      <c r="F215">
        <v>2039</v>
      </c>
      <c r="G215">
        <v>2318.9925669999998</v>
      </c>
      <c r="H215">
        <v>8.0000000000000002E-3</v>
      </c>
      <c r="I215">
        <v>-1</v>
      </c>
    </row>
    <row r="216" spans="1:9" hidden="1" x14ac:dyDescent="0.25">
      <c r="A216" t="s">
        <v>54</v>
      </c>
      <c r="B216" t="s">
        <v>6</v>
      </c>
      <c r="C216" t="s">
        <v>12</v>
      </c>
      <c r="D216" t="s">
        <v>6</v>
      </c>
      <c r="E216" t="s">
        <v>11</v>
      </c>
      <c r="F216">
        <v>2040</v>
      </c>
      <c r="G216">
        <v>2355.1586259999999</v>
      </c>
      <c r="H216">
        <v>8.0000000000000002E-3</v>
      </c>
      <c r="I216">
        <v>-1</v>
      </c>
    </row>
    <row r="217" spans="1:9" hidden="1" x14ac:dyDescent="0.25">
      <c r="A217" t="s">
        <v>54</v>
      </c>
      <c r="B217" t="s">
        <v>6</v>
      </c>
      <c r="C217" t="s">
        <v>12</v>
      </c>
      <c r="D217" t="s">
        <v>6</v>
      </c>
      <c r="E217" t="s">
        <v>11</v>
      </c>
      <c r="F217">
        <v>2041</v>
      </c>
      <c r="G217">
        <v>2391.8887159999999</v>
      </c>
      <c r="H217">
        <v>8.0000000000000002E-3</v>
      </c>
      <c r="I217">
        <v>-1</v>
      </c>
    </row>
    <row r="218" spans="1:9" hidden="1" x14ac:dyDescent="0.25">
      <c r="A218" t="s">
        <v>54</v>
      </c>
      <c r="B218" t="s">
        <v>6</v>
      </c>
      <c r="C218" t="s">
        <v>12</v>
      </c>
      <c r="D218" t="s">
        <v>6</v>
      </c>
      <c r="E218" t="s">
        <v>12</v>
      </c>
      <c r="F218">
        <v>2024</v>
      </c>
      <c r="G218">
        <v>926</v>
      </c>
      <c r="H218">
        <v>2E-3</v>
      </c>
      <c r="I218">
        <v>-1</v>
      </c>
    </row>
    <row r="219" spans="1:9" hidden="1" x14ac:dyDescent="0.25">
      <c r="A219" t="s">
        <v>54</v>
      </c>
      <c r="B219" t="s">
        <v>6</v>
      </c>
      <c r="C219" t="s">
        <v>12</v>
      </c>
      <c r="D219" t="s">
        <v>6</v>
      </c>
      <c r="E219" t="s">
        <v>12</v>
      </c>
      <c r="F219">
        <v>2025</v>
      </c>
      <c r="G219">
        <v>947.21769670000003</v>
      </c>
      <c r="H219">
        <v>2E-3</v>
      </c>
      <c r="I219">
        <v>-1</v>
      </c>
    </row>
    <row r="220" spans="1:9" hidden="1" x14ac:dyDescent="0.25">
      <c r="A220" t="s">
        <v>54</v>
      </c>
      <c r="B220" t="s">
        <v>6</v>
      </c>
      <c r="C220" t="s">
        <v>12</v>
      </c>
      <c r="D220" t="s">
        <v>6</v>
      </c>
      <c r="E220" t="s">
        <v>12</v>
      </c>
      <c r="F220">
        <v>2026</v>
      </c>
      <c r="G220">
        <v>968.92156039999998</v>
      </c>
      <c r="H220">
        <v>2E-3</v>
      </c>
      <c r="I220">
        <v>-1</v>
      </c>
    </row>
    <row r="221" spans="1:9" hidden="1" x14ac:dyDescent="0.25">
      <c r="A221" t="s">
        <v>54</v>
      </c>
      <c r="B221" t="s">
        <v>6</v>
      </c>
      <c r="C221" t="s">
        <v>12</v>
      </c>
      <c r="D221" t="s">
        <v>6</v>
      </c>
      <c r="E221" t="s">
        <v>12</v>
      </c>
      <c r="F221">
        <v>2027</v>
      </c>
      <c r="G221">
        <v>991.1227308</v>
      </c>
      <c r="H221">
        <v>2E-3</v>
      </c>
      <c r="I221">
        <v>-1</v>
      </c>
    </row>
    <row r="222" spans="1:9" hidden="1" x14ac:dyDescent="0.25">
      <c r="A222" t="s">
        <v>54</v>
      </c>
      <c r="B222" t="s">
        <v>6</v>
      </c>
      <c r="C222" t="s">
        <v>12</v>
      </c>
      <c r="D222" t="s">
        <v>6</v>
      </c>
      <c r="E222" t="s">
        <v>12</v>
      </c>
      <c r="F222">
        <v>2028</v>
      </c>
      <c r="G222">
        <v>1013.8326029999999</v>
      </c>
      <c r="H222">
        <v>2E-3</v>
      </c>
      <c r="I222">
        <v>-1</v>
      </c>
    </row>
    <row r="223" spans="1:9" hidden="1" x14ac:dyDescent="0.25">
      <c r="A223" t="s">
        <v>54</v>
      </c>
      <c r="B223" t="s">
        <v>6</v>
      </c>
      <c r="C223" t="s">
        <v>12</v>
      </c>
      <c r="D223" t="s">
        <v>6</v>
      </c>
      <c r="E223" t="s">
        <v>12</v>
      </c>
      <c r="F223">
        <v>2029</v>
      </c>
      <c r="G223">
        <v>1037.062833</v>
      </c>
      <c r="H223">
        <v>2E-3</v>
      </c>
      <c r="I223">
        <v>-1</v>
      </c>
    </row>
    <row r="224" spans="1:9" hidden="1" x14ac:dyDescent="0.25">
      <c r="A224" t="s">
        <v>54</v>
      </c>
      <c r="B224" t="s">
        <v>6</v>
      </c>
      <c r="C224" t="s">
        <v>12</v>
      </c>
      <c r="D224" t="s">
        <v>6</v>
      </c>
      <c r="E224" t="s">
        <v>12</v>
      </c>
      <c r="F224">
        <v>2030</v>
      </c>
      <c r="G224">
        <v>1060.825343</v>
      </c>
      <c r="H224">
        <v>2E-3</v>
      </c>
      <c r="I224">
        <v>-1</v>
      </c>
    </row>
    <row r="225" spans="1:9" hidden="1" x14ac:dyDescent="0.25">
      <c r="A225" t="s">
        <v>54</v>
      </c>
      <c r="B225" t="s">
        <v>6</v>
      </c>
      <c r="C225" t="s">
        <v>12</v>
      </c>
      <c r="D225" t="s">
        <v>6</v>
      </c>
      <c r="E225" t="s">
        <v>12</v>
      </c>
      <c r="F225">
        <v>2031</v>
      </c>
      <c r="G225">
        <v>1085.1323299999999</v>
      </c>
      <c r="H225">
        <v>2E-3</v>
      </c>
      <c r="I225">
        <v>-1</v>
      </c>
    </row>
    <row r="226" spans="1:9" hidden="1" x14ac:dyDescent="0.25">
      <c r="A226" t="s">
        <v>54</v>
      </c>
      <c r="B226" t="s">
        <v>6</v>
      </c>
      <c r="C226" t="s">
        <v>12</v>
      </c>
      <c r="D226" t="s">
        <v>6</v>
      </c>
      <c r="E226" t="s">
        <v>12</v>
      </c>
      <c r="F226">
        <v>2032</v>
      </c>
      <c r="G226">
        <v>1109.996271</v>
      </c>
      <c r="H226">
        <v>2E-3</v>
      </c>
      <c r="I226">
        <v>-1</v>
      </c>
    </row>
    <row r="227" spans="1:9" hidden="1" x14ac:dyDescent="0.25">
      <c r="A227" t="s">
        <v>54</v>
      </c>
      <c r="B227" t="s">
        <v>6</v>
      </c>
      <c r="C227" t="s">
        <v>12</v>
      </c>
      <c r="D227" t="s">
        <v>6</v>
      </c>
      <c r="E227" t="s">
        <v>12</v>
      </c>
      <c r="F227">
        <v>2033</v>
      </c>
      <c r="G227">
        <v>1135.4299249999999</v>
      </c>
      <c r="H227">
        <v>2E-3</v>
      </c>
      <c r="I227">
        <v>-1</v>
      </c>
    </row>
    <row r="228" spans="1:9" hidden="1" x14ac:dyDescent="0.25">
      <c r="A228" t="s">
        <v>54</v>
      </c>
      <c r="B228" t="s">
        <v>6</v>
      </c>
      <c r="C228" t="s">
        <v>12</v>
      </c>
      <c r="D228" t="s">
        <v>6</v>
      </c>
      <c r="E228" t="s">
        <v>12</v>
      </c>
      <c r="F228">
        <v>2034</v>
      </c>
      <c r="G228">
        <v>1161.4463479999999</v>
      </c>
      <c r="H228">
        <v>2E-3</v>
      </c>
      <c r="I228">
        <v>-1</v>
      </c>
    </row>
    <row r="229" spans="1:9" hidden="1" x14ac:dyDescent="0.25">
      <c r="A229" t="s">
        <v>54</v>
      </c>
      <c r="B229" t="s">
        <v>6</v>
      </c>
      <c r="C229" t="s">
        <v>12</v>
      </c>
      <c r="D229" t="s">
        <v>6</v>
      </c>
      <c r="E229" t="s">
        <v>12</v>
      </c>
      <c r="F229">
        <v>2035</v>
      </c>
      <c r="G229">
        <v>1188.0588929999999</v>
      </c>
      <c r="H229">
        <v>2E-3</v>
      </c>
      <c r="I229">
        <v>-1</v>
      </c>
    </row>
    <row r="230" spans="1:9" hidden="1" x14ac:dyDescent="0.25">
      <c r="A230" t="s">
        <v>54</v>
      </c>
      <c r="B230" t="s">
        <v>6</v>
      </c>
      <c r="C230" t="s">
        <v>12</v>
      </c>
      <c r="D230" t="s">
        <v>6</v>
      </c>
      <c r="E230" t="s">
        <v>12</v>
      </c>
      <c r="F230">
        <v>2036</v>
      </c>
      <c r="G230">
        <v>1215.2812180000001</v>
      </c>
      <c r="H230">
        <v>2E-3</v>
      </c>
      <c r="I230">
        <v>-1</v>
      </c>
    </row>
    <row r="231" spans="1:9" hidden="1" x14ac:dyDescent="0.25">
      <c r="A231" t="s">
        <v>54</v>
      </c>
      <c r="B231" t="s">
        <v>6</v>
      </c>
      <c r="C231" t="s">
        <v>12</v>
      </c>
      <c r="D231" t="s">
        <v>6</v>
      </c>
      <c r="E231" t="s">
        <v>12</v>
      </c>
      <c r="F231">
        <v>2037</v>
      </c>
      <c r="G231">
        <v>1243.127297</v>
      </c>
      <c r="H231">
        <v>2E-3</v>
      </c>
      <c r="I231">
        <v>-1</v>
      </c>
    </row>
    <row r="232" spans="1:9" hidden="1" x14ac:dyDescent="0.25">
      <c r="A232" t="s">
        <v>54</v>
      </c>
      <c r="B232" t="s">
        <v>6</v>
      </c>
      <c r="C232" t="s">
        <v>12</v>
      </c>
      <c r="D232" t="s">
        <v>6</v>
      </c>
      <c r="E232" t="s">
        <v>12</v>
      </c>
      <c r="F232">
        <v>2038</v>
      </c>
      <c r="G232">
        <v>1271.61142</v>
      </c>
      <c r="H232">
        <v>2E-3</v>
      </c>
      <c r="I232">
        <v>-1</v>
      </c>
    </row>
    <row r="233" spans="1:9" hidden="1" x14ac:dyDescent="0.25">
      <c r="A233" t="s">
        <v>54</v>
      </c>
      <c r="B233" t="s">
        <v>6</v>
      </c>
      <c r="C233" t="s">
        <v>12</v>
      </c>
      <c r="D233" t="s">
        <v>6</v>
      </c>
      <c r="E233" t="s">
        <v>12</v>
      </c>
      <c r="F233">
        <v>2039</v>
      </c>
      <c r="G233">
        <v>1300.7482070000001</v>
      </c>
      <c r="H233">
        <v>2E-3</v>
      </c>
      <c r="I233">
        <v>-1</v>
      </c>
    </row>
    <row r="234" spans="1:9" hidden="1" x14ac:dyDescent="0.25">
      <c r="A234" t="s">
        <v>54</v>
      </c>
      <c r="B234" t="s">
        <v>6</v>
      </c>
      <c r="C234" t="s">
        <v>12</v>
      </c>
      <c r="D234" t="s">
        <v>6</v>
      </c>
      <c r="E234" t="s">
        <v>12</v>
      </c>
      <c r="F234">
        <v>2040</v>
      </c>
      <c r="G234">
        <v>1330.5526139999999</v>
      </c>
      <c r="H234">
        <v>2E-3</v>
      </c>
      <c r="I234">
        <v>-1</v>
      </c>
    </row>
    <row r="235" spans="1:9" hidden="1" x14ac:dyDescent="0.25">
      <c r="A235" t="s">
        <v>54</v>
      </c>
      <c r="B235" t="s">
        <v>6</v>
      </c>
      <c r="C235" t="s">
        <v>12</v>
      </c>
      <c r="D235" t="s">
        <v>6</v>
      </c>
      <c r="E235" t="s">
        <v>12</v>
      </c>
      <c r="F235">
        <v>2041</v>
      </c>
      <c r="G235">
        <v>1361.0399379999999</v>
      </c>
      <c r="H235">
        <v>2E-3</v>
      </c>
      <c r="I235">
        <v>-1</v>
      </c>
    </row>
    <row r="236" spans="1:9" hidden="1" x14ac:dyDescent="0.25">
      <c r="A236" t="s">
        <v>54</v>
      </c>
      <c r="B236" t="s">
        <v>6</v>
      </c>
      <c r="C236" t="s">
        <v>12</v>
      </c>
      <c r="D236" t="s">
        <v>6</v>
      </c>
      <c r="E236" t="s">
        <v>8</v>
      </c>
      <c r="F236">
        <v>2024</v>
      </c>
      <c r="G236">
        <v>3029.6</v>
      </c>
      <c r="H236">
        <v>8.0000000000000002E-3</v>
      </c>
      <c r="I236">
        <v>-1</v>
      </c>
    </row>
    <row r="237" spans="1:9" hidden="1" x14ac:dyDescent="0.25">
      <c r="A237" t="s">
        <v>54</v>
      </c>
      <c r="B237" t="s">
        <v>6</v>
      </c>
      <c r="C237" t="s">
        <v>12</v>
      </c>
      <c r="D237" t="s">
        <v>6</v>
      </c>
      <c r="E237" t="s">
        <v>8</v>
      </c>
      <c r="F237">
        <v>2025</v>
      </c>
      <c r="G237">
        <v>3039.5055139999999</v>
      </c>
      <c r="H237">
        <v>8.0000000000000002E-3</v>
      </c>
      <c r="I237">
        <v>-1</v>
      </c>
    </row>
    <row r="238" spans="1:9" hidden="1" x14ac:dyDescent="0.25">
      <c r="A238" t="s">
        <v>54</v>
      </c>
      <c r="B238" t="s">
        <v>6</v>
      </c>
      <c r="C238" t="s">
        <v>12</v>
      </c>
      <c r="D238" t="s">
        <v>6</v>
      </c>
      <c r="E238" t="s">
        <v>8</v>
      </c>
      <c r="F238">
        <v>2026</v>
      </c>
      <c r="G238">
        <v>3049.4434150000002</v>
      </c>
      <c r="H238">
        <v>8.0000000000000002E-3</v>
      </c>
      <c r="I238">
        <v>-1</v>
      </c>
    </row>
    <row r="239" spans="1:9" hidden="1" x14ac:dyDescent="0.25">
      <c r="A239" t="s">
        <v>54</v>
      </c>
      <c r="B239" t="s">
        <v>6</v>
      </c>
      <c r="C239" t="s">
        <v>12</v>
      </c>
      <c r="D239" t="s">
        <v>6</v>
      </c>
      <c r="E239" t="s">
        <v>8</v>
      </c>
      <c r="F239">
        <v>2027</v>
      </c>
      <c r="G239">
        <v>3059.4138090000001</v>
      </c>
      <c r="H239">
        <v>8.0000000000000002E-3</v>
      </c>
      <c r="I239">
        <v>-1</v>
      </c>
    </row>
    <row r="240" spans="1:9" hidden="1" x14ac:dyDescent="0.25">
      <c r="A240" t="s">
        <v>54</v>
      </c>
      <c r="B240" t="s">
        <v>6</v>
      </c>
      <c r="C240" t="s">
        <v>12</v>
      </c>
      <c r="D240" t="s">
        <v>6</v>
      </c>
      <c r="E240" t="s">
        <v>8</v>
      </c>
      <c r="F240">
        <v>2028</v>
      </c>
      <c r="G240">
        <v>3069.4168020000002</v>
      </c>
      <c r="H240">
        <v>8.0000000000000002E-3</v>
      </c>
      <c r="I240">
        <v>-1</v>
      </c>
    </row>
    <row r="241" spans="1:9" hidden="1" x14ac:dyDescent="0.25">
      <c r="A241" t="s">
        <v>54</v>
      </c>
      <c r="B241" t="s">
        <v>6</v>
      </c>
      <c r="C241" t="s">
        <v>12</v>
      </c>
      <c r="D241" t="s">
        <v>6</v>
      </c>
      <c r="E241" t="s">
        <v>8</v>
      </c>
      <c r="F241">
        <v>2029</v>
      </c>
      <c r="G241">
        <v>3079.4524999999999</v>
      </c>
      <c r="H241">
        <v>8.0000000000000002E-3</v>
      </c>
      <c r="I241">
        <v>-1</v>
      </c>
    </row>
    <row r="242" spans="1:9" hidden="1" x14ac:dyDescent="0.25">
      <c r="A242" t="s">
        <v>54</v>
      </c>
      <c r="B242" t="s">
        <v>6</v>
      </c>
      <c r="C242" t="s">
        <v>12</v>
      </c>
      <c r="D242" t="s">
        <v>6</v>
      </c>
      <c r="E242" t="s">
        <v>8</v>
      </c>
      <c r="F242">
        <v>2030</v>
      </c>
      <c r="G242">
        <v>3089.5210109999998</v>
      </c>
      <c r="H242">
        <v>8.0000000000000002E-3</v>
      </c>
      <c r="I242">
        <v>-1</v>
      </c>
    </row>
    <row r="243" spans="1:9" hidden="1" x14ac:dyDescent="0.25">
      <c r="A243" t="s">
        <v>54</v>
      </c>
      <c r="B243" t="s">
        <v>6</v>
      </c>
      <c r="C243" t="s">
        <v>12</v>
      </c>
      <c r="D243" t="s">
        <v>6</v>
      </c>
      <c r="E243" t="s">
        <v>8</v>
      </c>
      <c r="F243">
        <v>2031</v>
      </c>
      <c r="G243">
        <v>3099.6224419999999</v>
      </c>
      <c r="H243">
        <v>8.0000000000000002E-3</v>
      </c>
      <c r="I243">
        <v>-1</v>
      </c>
    </row>
    <row r="244" spans="1:9" hidden="1" x14ac:dyDescent="0.25">
      <c r="A244" t="s">
        <v>54</v>
      </c>
      <c r="B244" t="s">
        <v>6</v>
      </c>
      <c r="C244" t="s">
        <v>12</v>
      </c>
      <c r="D244" t="s">
        <v>6</v>
      </c>
      <c r="E244" t="s">
        <v>8</v>
      </c>
      <c r="F244">
        <v>2032</v>
      </c>
      <c r="G244">
        <v>3109.7568999999999</v>
      </c>
      <c r="H244">
        <v>8.0000000000000002E-3</v>
      </c>
      <c r="I244">
        <v>-1</v>
      </c>
    </row>
    <row r="245" spans="1:9" hidden="1" x14ac:dyDescent="0.25">
      <c r="A245" t="s">
        <v>54</v>
      </c>
      <c r="B245" t="s">
        <v>6</v>
      </c>
      <c r="C245" t="s">
        <v>12</v>
      </c>
      <c r="D245" t="s">
        <v>6</v>
      </c>
      <c r="E245" t="s">
        <v>8</v>
      </c>
      <c r="F245">
        <v>2033</v>
      </c>
      <c r="G245">
        <v>3119.9244939999999</v>
      </c>
      <c r="H245">
        <v>8.0000000000000002E-3</v>
      </c>
      <c r="I245">
        <v>-1</v>
      </c>
    </row>
    <row r="246" spans="1:9" hidden="1" x14ac:dyDescent="0.25">
      <c r="A246" t="s">
        <v>54</v>
      </c>
      <c r="B246" t="s">
        <v>6</v>
      </c>
      <c r="C246" t="s">
        <v>12</v>
      </c>
      <c r="D246" t="s">
        <v>6</v>
      </c>
      <c r="E246" t="s">
        <v>8</v>
      </c>
      <c r="F246">
        <v>2034</v>
      </c>
      <c r="G246">
        <v>3130.1253310000002</v>
      </c>
      <c r="H246">
        <v>8.0000000000000002E-3</v>
      </c>
      <c r="I246">
        <v>-1</v>
      </c>
    </row>
    <row r="247" spans="1:9" hidden="1" x14ac:dyDescent="0.25">
      <c r="A247" t="s">
        <v>54</v>
      </c>
      <c r="B247" t="s">
        <v>6</v>
      </c>
      <c r="C247" t="s">
        <v>12</v>
      </c>
      <c r="D247" t="s">
        <v>6</v>
      </c>
      <c r="E247" t="s">
        <v>8</v>
      </c>
      <c r="F247">
        <v>2035</v>
      </c>
      <c r="G247">
        <v>3140.35952</v>
      </c>
      <c r="H247">
        <v>8.0000000000000002E-3</v>
      </c>
      <c r="I247">
        <v>-1</v>
      </c>
    </row>
    <row r="248" spans="1:9" hidden="1" x14ac:dyDescent="0.25">
      <c r="A248" t="s">
        <v>54</v>
      </c>
      <c r="B248" t="s">
        <v>6</v>
      </c>
      <c r="C248" t="s">
        <v>12</v>
      </c>
      <c r="D248" t="s">
        <v>6</v>
      </c>
      <c r="E248" t="s">
        <v>8</v>
      </c>
      <c r="F248">
        <v>2036</v>
      </c>
      <c r="G248">
        <v>3150.627172</v>
      </c>
      <c r="H248">
        <v>8.0000000000000002E-3</v>
      </c>
      <c r="I248">
        <v>-1</v>
      </c>
    </row>
    <row r="249" spans="1:9" hidden="1" x14ac:dyDescent="0.25">
      <c r="A249" t="s">
        <v>54</v>
      </c>
      <c r="B249" t="s">
        <v>6</v>
      </c>
      <c r="C249" t="s">
        <v>12</v>
      </c>
      <c r="D249" t="s">
        <v>6</v>
      </c>
      <c r="E249" t="s">
        <v>8</v>
      </c>
      <c r="F249">
        <v>2037</v>
      </c>
      <c r="G249">
        <v>3160.928394</v>
      </c>
      <c r="H249">
        <v>8.0000000000000002E-3</v>
      </c>
      <c r="I249">
        <v>-1</v>
      </c>
    </row>
    <row r="250" spans="1:9" hidden="1" x14ac:dyDescent="0.25">
      <c r="A250" t="s">
        <v>54</v>
      </c>
      <c r="B250" t="s">
        <v>6</v>
      </c>
      <c r="C250" t="s">
        <v>12</v>
      </c>
      <c r="D250" t="s">
        <v>6</v>
      </c>
      <c r="E250" t="s">
        <v>8</v>
      </c>
      <c r="F250">
        <v>2038</v>
      </c>
      <c r="G250">
        <v>3171.2632960000001</v>
      </c>
      <c r="H250">
        <v>8.0000000000000002E-3</v>
      </c>
      <c r="I250">
        <v>-1</v>
      </c>
    </row>
    <row r="251" spans="1:9" hidden="1" x14ac:dyDescent="0.25">
      <c r="A251" t="s">
        <v>54</v>
      </c>
      <c r="B251" t="s">
        <v>6</v>
      </c>
      <c r="C251" t="s">
        <v>12</v>
      </c>
      <c r="D251" t="s">
        <v>6</v>
      </c>
      <c r="E251" t="s">
        <v>8</v>
      </c>
      <c r="F251">
        <v>2039</v>
      </c>
      <c r="G251">
        <v>3181.6319899999999</v>
      </c>
      <c r="H251">
        <v>8.0000000000000002E-3</v>
      </c>
      <c r="I251">
        <v>-1</v>
      </c>
    </row>
    <row r="252" spans="1:9" hidden="1" x14ac:dyDescent="0.25">
      <c r="A252" t="s">
        <v>54</v>
      </c>
      <c r="B252" t="s">
        <v>6</v>
      </c>
      <c r="C252" t="s">
        <v>12</v>
      </c>
      <c r="D252" t="s">
        <v>6</v>
      </c>
      <c r="E252" t="s">
        <v>8</v>
      </c>
      <c r="F252">
        <v>2040</v>
      </c>
      <c r="G252">
        <v>3192.0345849999999</v>
      </c>
      <c r="H252">
        <v>8.0000000000000002E-3</v>
      </c>
      <c r="I252">
        <v>-1</v>
      </c>
    </row>
    <row r="253" spans="1:9" hidden="1" x14ac:dyDescent="0.25">
      <c r="A253" t="s">
        <v>54</v>
      </c>
      <c r="B253" t="s">
        <v>6</v>
      </c>
      <c r="C253" t="s">
        <v>12</v>
      </c>
      <c r="D253" t="s">
        <v>6</v>
      </c>
      <c r="E253" t="s">
        <v>8</v>
      </c>
      <c r="F253">
        <v>2041</v>
      </c>
      <c r="G253">
        <v>3202.4711910000001</v>
      </c>
      <c r="H253">
        <v>8.0000000000000002E-3</v>
      </c>
      <c r="I253">
        <v>-1</v>
      </c>
    </row>
    <row r="254" spans="1:9" hidden="1" x14ac:dyDescent="0.25">
      <c r="A254" t="s">
        <v>54</v>
      </c>
      <c r="B254" t="s">
        <v>6</v>
      </c>
      <c r="C254" t="s">
        <v>12</v>
      </c>
      <c r="D254" t="s">
        <v>6</v>
      </c>
      <c r="E254" t="s">
        <v>9</v>
      </c>
      <c r="F254">
        <v>2024</v>
      </c>
      <c r="G254">
        <v>3174</v>
      </c>
      <c r="H254">
        <v>8.0000000000000002E-3</v>
      </c>
      <c r="I254">
        <v>-1</v>
      </c>
    </row>
    <row r="255" spans="1:9" hidden="1" x14ac:dyDescent="0.25">
      <c r="A255" t="s">
        <v>54</v>
      </c>
      <c r="B255" t="s">
        <v>6</v>
      </c>
      <c r="C255" t="s">
        <v>12</v>
      </c>
      <c r="D255" t="s">
        <v>6</v>
      </c>
      <c r="E255" t="s">
        <v>9</v>
      </c>
      <c r="F255">
        <v>2025</v>
      </c>
      <c r="G255">
        <v>3282.7291890000001</v>
      </c>
      <c r="H255">
        <v>8.0000000000000002E-3</v>
      </c>
      <c r="I255">
        <v>-1</v>
      </c>
    </row>
    <row r="256" spans="1:9" hidden="1" x14ac:dyDescent="0.25">
      <c r="A256" t="s">
        <v>54</v>
      </c>
      <c r="B256" t="s">
        <v>6</v>
      </c>
      <c r="C256" t="s">
        <v>12</v>
      </c>
      <c r="D256" t="s">
        <v>6</v>
      </c>
      <c r="E256" t="s">
        <v>9</v>
      </c>
      <c r="F256">
        <v>2026</v>
      </c>
      <c r="G256">
        <v>3395.183027</v>
      </c>
      <c r="H256">
        <v>8.0000000000000002E-3</v>
      </c>
      <c r="I256">
        <v>-1</v>
      </c>
    </row>
    <row r="257" spans="1:9" hidden="1" x14ac:dyDescent="0.25">
      <c r="A257" t="s">
        <v>54</v>
      </c>
      <c r="B257" t="s">
        <v>6</v>
      </c>
      <c r="C257" t="s">
        <v>12</v>
      </c>
      <c r="D257" t="s">
        <v>6</v>
      </c>
      <c r="E257" t="s">
        <v>9</v>
      </c>
      <c r="F257">
        <v>2027</v>
      </c>
      <c r="G257">
        <v>3511.4891069999999</v>
      </c>
      <c r="H257">
        <v>8.0000000000000002E-3</v>
      </c>
      <c r="I257">
        <v>-1</v>
      </c>
    </row>
    <row r="258" spans="1:9" hidden="1" x14ac:dyDescent="0.25">
      <c r="A258" t="s">
        <v>54</v>
      </c>
      <c r="B258" t="s">
        <v>6</v>
      </c>
      <c r="C258" t="s">
        <v>12</v>
      </c>
      <c r="D258" t="s">
        <v>6</v>
      </c>
      <c r="E258" t="s">
        <v>9</v>
      </c>
      <c r="F258">
        <v>2028</v>
      </c>
      <c r="G258">
        <v>3631.779391</v>
      </c>
      <c r="H258">
        <v>8.0000000000000002E-3</v>
      </c>
      <c r="I258">
        <v>-1</v>
      </c>
    </row>
    <row r="259" spans="1:9" hidden="1" x14ac:dyDescent="0.25">
      <c r="A259" t="s">
        <v>54</v>
      </c>
      <c r="B259" t="s">
        <v>6</v>
      </c>
      <c r="C259" t="s">
        <v>12</v>
      </c>
      <c r="D259" t="s">
        <v>6</v>
      </c>
      <c r="E259" t="s">
        <v>9</v>
      </c>
      <c r="F259">
        <v>2029</v>
      </c>
      <c r="G259">
        <v>3756.190364</v>
      </c>
      <c r="H259">
        <v>8.0000000000000002E-3</v>
      </c>
      <c r="I259">
        <v>-1</v>
      </c>
    </row>
    <row r="260" spans="1:9" hidden="1" x14ac:dyDescent="0.25">
      <c r="A260" t="s">
        <v>54</v>
      </c>
      <c r="B260" t="s">
        <v>6</v>
      </c>
      <c r="C260" t="s">
        <v>12</v>
      </c>
      <c r="D260" t="s">
        <v>6</v>
      </c>
      <c r="E260" t="s">
        <v>9</v>
      </c>
      <c r="F260">
        <v>2030</v>
      </c>
      <c r="G260">
        <v>3884.8631839999998</v>
      </c>
      <c r="H260">
        <v>8.0000000000000002E-3</v>
      </c>
      <c r="I260">
        <v>-1</v>
      </c>
    </row>
    <row r="261" spans="1:9" hidden="1" x14ac:dyDescent="0.25">
      <c r="A261" t="s">
        <v>54</v>
      </c>
      <c r="B261" t="s">
        <v>6</v>
      </c>
      <c r="C261" t="s">
        <v>12</v>
      </c>
      <c r="D261" t="s">
        <v>6</v>
      </c>
      <c r="E261" t="s">
        <v>9</v>
      </c>
      <c r="F261">
        <v>2031</v>
      </c>
      <c r="G261">
        <v>4017.943847</v>
      </c>
      <c r="H261">
        <v>8.0000000000000002E-3</v>
      </c>
      <c r="I261">
        <v>-1</v>
      </c>
    </row>
    <row r="262" spans="1:9" hidden="1" x14ac:dyDescent="0.25">
      <c r="A262" t="s">
        <v>54</v>
      </c>
      <c r="B262" t="s">
        <v>6</v>
      </c>
      <c r="C262" t="s">
        <v>12</v>
      </c>
      <c r="D262" t="s">
        <v>6</v>
      </c>
      <c r="E262" t="s">
        <v>9</v>
      </c>
      <c r="F262">
        <v>2032</v>
      </c>
      <c r="G262">
        <v>4155.5833480000001</v>
      </c>
      <c r="H262">
        <v>8.0000000000000002E-3</v>
      </c>
      <c r="I262">
        <v>-1</v>
      </c>
    </row>
    <row r="263" spans="1:9" hidden="1" x14ac:dyDescent="0.25">
      <c r="A263" t="s">
        <v>54</v>
      </c>
      <c r="B263" t="s">
        <v>6</v>
      </c>
      <c r="C263" t="s">
        <v>12</v>
      </c>
      <c r="D263" t="s">
        <v>6</v>
      </c>
      <c r="E263" t="s">
        <v>9</v>
      </c>
      <c r="F263">
        <v>2033</v>
      </c>
      <c r="G263">
        <v>4297.9378559999996</v>
      </c>
      <c r="H263">
        <v>8.0000000000000002E-3</v>
      </c>
      <c r="I263">
        <v>-1</v>
      </c>
    </row>
    <row r="264" spans="1:9" hidden="1" x14ac:dyDescent="0.25">
      <c r="A264" t="s">
        <v>54</v>
      </c>
      <c r="B264" t="s">
        <v>6</v>
      </c>
      <c r="C264" t="s">
        <v>12</v>
      </c>
      <c r="D264" t="s">
        <v>6</v>
      </c>
      <c r="E264" t="s">
        <v>9</v>
      </c>
      <c r="F264">
        <v>2034</v>
      </c>
      <c r="G264">
        <v>4445.1688880000002</v>
      </c>
      <c r="H264">
        <v>8.0000000000000002E-3</v>
      </c>
      <c r="I264">
        <v>-1</v>
      </c>
    </row>
    <row r="265" spans="1:9" hidden="1" x14ac:dyDescent="0.25">
      <c r="A265" t="s">
        <v>54</v>
      </c>
      <c r="B265" t="s">
        <v>6</v>
      </c>
      <c r="C265" t="s">
        <v>12</v>
      </c>
      <c r="D265" t="s">
        <v>6</v>
      </c>
      <c r="E265" t="s">
        <v>9</v>
      </c>
      <c r="F265">
        <v>2035</v>
      </c>
      <c r="G265">
        <v>4597.4434970000002</v>
      </c>
      <c r="H265">
        <v>8.0000000000000002E-3</v>
      </c>
      <c r="I265">
        <v>-1</v>
      </c>
    </row>
    <row r="266" spans="1:9" hidden="1" x14ac:dyDescent="0.25">
      <c r="A266" t="s">
        <v>54</v>
      </c>
      <c r="B266" t="s">
        <v>6</v>
      </c>
      <c r="C266" t="s">
        <v>12</v>
      </c>
      <c r="D266" t="s">
        <v>6</v>
      </c>
      <c r="E266" t="s">
        <v>9</v>
      </c>
      <c r="F266">
        <v>2036</v>
      </c>
      <c r="G266">
        <v>4754.9344549999996</v>
      </c>
      <c r="H266">
        <v>8.0000000000000002E-3</v>
      </c>
      <c r="I266">
        <v>-1</v>
      </c>
    </row>
    <row r="267" spans="1:9" hidden="1" x14ac:dyDescent="0.25">
      <c r="A267" t="s">
        <v>54</v>
      </c>
      <c r="B267" t="s">
        <v>6</v>
      </c>
      <c r="C267" t="s">
        <v>12</v>
      </c>
      <c r="D267" t="s">
        <v>6</v>
      </c>
      <c r="E267" t="s">
        <v>9</v>
      </c>
      <c r="F267">
        <v>2037</v>
      </c>
      <c r="G267">
        <v>4917.8204560000004</v>
      </c>
      <c r="H267">
        <v>8.0000000000000002E-3</v>
      </c>
      <c r="I267">
        <v>-1</v>
      </c>
    </row>
    <row r="268" spans="1:9" hidden="1" x14ac:dyDescent="0.25">
      <c r="A268" t="s">
        <v>54</v>
      </c>
      <c r="B268" t="s">
        <v>6</v>
      </c>
      <c r="C268" t="s">
        <v>12</v>
      </c>
      <c r="D268" t="s">
        <v>6</v>
      </c>
      <c r="E268" t="s">
        <v>9</v>
      </c>
      <c r="F268">
        <v>2038</v>
      </c>
      <c r="G268">
        <v>5086.2863129999996</v>
      </c>
      <c r="H268">
        <v>8.0000000000000002E-3</v>
      </c>
      <c r="I268">
        <v>-1</v>
      </c>
    </row>
    <row r="269" spans="1:9" hidden="1" x14ac:dyDescent="0.25">
      <c r="A269" t="s">
        <v>54</v>
      </c>
      <c r="B269" t="s">
        <v>6</v>
      </c>
      <c r="C269" t="s">
        <v>12</v>
      </c>
      <c r="D269" t="s">
        <v>6</v>
      </c>
      <c r="E269" t="s">
        <v>9</v>
      </c>
      <c r="F269">
        <v>2039</v>
      </c>
      <c r="G269">
        <v>5260.5231709999998</v>
      </c>
      <c r="H269">
        <v>8.0000000000000002E-3</v>
      </c>
      <c r="I269">
        <v>-1</v>
      </c>
    </row>
    <row r="270" spans="1:9" hidden="1" x14ac:dyDescent="0.25">
      <c r="A270" t="s">
        <v>54</v>
      </c>
      <c r="B270" t="s">
        <v>6</v>
      </c>
      <c r="C270" t="s">
        <v>12</v>
      </c>
      <c r="D270" t="s">
        <v>6</v>
      </c>
      <c r="E270" t="s">
        <v>9</v>
      </c>
      <c r="F270">
        <v>2040</v>
      </c>
      <c r="G270">
        <v>5440.7287210000004</v>
      </c>
      <c r="H270">
        <v>8.0000000000000002E-3</v>
      </c>
      <c r="I270">
        <v>-1</v>
      </c>
    </row>
    <row r="271" spans="1:9" hidden="1" x14ac:dyDescent="0.25">
      <c r="A271" t="s">
        <v>54</v>
      </c>
      <c r="B271" t="s">
        <v>6</v>
      </c>
      <c r="C271" t="s">
        <v>12</v>
      </c>
      <c r="D271" t="s">
        <v>6</v>
      </c>
      <c r="E271" t="s">
        <v>9</v>
      </c>
      <c r="F271">
        <v>2041</v>
      </c>
      <c r="G271">
        <v>5627.10743</v>
      </c>
      <c r="H271">
        <v>8.0000000000000002E-3</v>
      </c>
      <c r="I271">
        <v>-1</v>
      </c>
    </row>
    <row r="272" spans="1:9" hidden="1" x14ac:dyDescent="0.25">
      <c r="A272" t="s">
        <v>54</v>
      </c>
      <c r="B272" t="s">
        <v>6</v>
      </c>
      <c r="C272" t="s">
        <v>8</v>
      </c>
      <c r="D272" t="s">
        <v>6</v>
      </c>
      <c r="E272" t="s">
        <v>10</v>
      </c>
      <c r="F272">
        <v>2024</v>
      </c>
      <c r="G272">
        <v>2776.7</v>
      </c>
      <c r="H272">
        <v>8.0000000000000002E-3</v>
      </c>
      <c r="I272">
        <v>-1</v>
      </c>
    </row>
    <row r="273" spans="1:9" hidden="1" x14ac:dyDescent="0.25">
      <c r="A273" t="s">
        <v>54</v>
      </c>
      <c r="B273" t="s">
        <v>6</v>
      </c>
      <c r="C273" t="s">
        <v>8</v>
      </c>
      <c r="D273" t="s">
        <v>6</v>
      </c>
      <c r="E273" t="s">
        <v>10</v>
      </c>
      <c r="F273">
        <v>2025</v>
      </c>
      <c r="G273">
        <v>2785.7786379999998</v>
      </c>
      <c r="H273">
        <v>8.0000000000000002E-3</v>
      </c>
      <c r="I273">
        <v>-1</v>
      </c>
    </row>
    <row r="274" spans="1:9" hidden="1" x14ac:dyDescent="0.25">
      <c r="A274" t="s">
        <v>54</v>
      </c>
      <c r="B274" t="s">
        <v>6</v>
      </c>
      <c r="C274" t="s">
        <v>8</v>
      </c>
      <c r="D274" t="s">
        <v>6</v>
      </c>
      <c r="E274" t="s">
        <v>10</v>
      </c>
      <c r="F274">
        <v>2026</v>
      </c>
      <c r="G274">
        <v>2794.8869589999999</v>
      </c>
      <c r="H274">
        <v>8.0000000000000002E-3</v>
      </c>
      <c r="I274">
        <v>-1</v>
      </c>
    </row>
    <row r="275" spans="1:9" hidden="1" x14ac:dyDescent="0.25">
      <c r="A275" t="s">
        <v>54</v>
      </c>
      <c r="B275" t="s">
        <v>6</v>
      </c>
      <c r="C275" t="s">
        <v>8</v>
      </c>
      <c r="D275" t="s">
        <v>6</v>
      </c>
      <c r="E275" t="s">
        <v>10</v>
      </c>
      <c r="F275">
        <v>2027</v>
      </c>
      <c r="G275">
        <v>2804.0250609999998</v>
      </c>
      <c r="H275">
        <v>8.0000000000000002E-3</v>
      </c>
      <c r="I275">
        <v>-1</v>
      </c>
    </row>
    <row r="276" spans="1:9" hidden="1" x14ac:dyDescent="0.25">
      <c r="A276" t="s">
        <v>54</v>
      </c>
      <c r="B276" t="s">
        <v>6</v>
      </c>
      <c r="C276" t="s">
        <v>8</v>
      </c>
      <c r="D276" t="s">
        <v>6</v>
      </c>
      <c r="E276" t="s">
        <v>10</v>
      </c>
      <c r="F276">
        <v>2028</v>
      </c>
      <c r="G276">
        <v>2813.1930400000001</v>
      </c>
      <c r="H276">
        <v>8.0000000000000002E-3</v>
      </c>
      <c r="I276">
        <v>-1</v>
      </c>
    </row>
    <row r="277" spans="1:9" hidden="1" x14ac:dyDescent="0.25">
      <c r="A277" t="s">
        <v>54</v>
      </c>
      <c r="B277" t="s">
        <v>6</v>
      </c>
      <c r="C277" t="s">
        <v>8</v>
      </c>
      <c r="D277" t="s">
        <v>6</v>
      </c>
      <c r="E277" t="s">
        <v>10</v>
      </c>
      <c r="F277">
        <v>2029</v>
      </c>
      <c r="G277">
        <v>2822.3909950000002</v>
      </c>
      <c r="H277">
        <v>8.0000000000000002E-3</v>
      </c>
      <c r="I277">
        <v>-1</v>
      </c>
    </row>
    <row r="278" spans="1:9" hidden="1" x14ac:dyDescent="0.25">
      <c r="A278" t="s">
        <v>54</v>
      </c>
      <c r="B278" t="s">
        <v>6</v>
      </c>
      <c r="C278" t="s">
        <v>8</v>
      </c>
      <c r="D278" t="s">
        <v>6</v>
      </c>
      <c r="E278" t="s">
        <v>10</v>
      </c>
      <c r="F278">
        <v>2030</v>
      </c>
      <c r="G278">
        <v>2831.6190230000002</v>
      </c>
      <c r="H278">
        <v>8.0000000000000002E-3</v>
      </c>
      <c r="I278">
        <v>-1</v>
      </c>
    </row>
    <row r="279" spans="1:9" hidden="1" x14ac:dyDescent="0.25">
      <c r="A279" t="s">
        <v>54</v>
      </c>
      <c r="B279" t="s">
        <v>6</v>
      </c>
      <c r="C279" t="s">
        <v>8</v>
      </c>
      <c r="D279" t="s">
        <v>6</v>
      </c>
      <c r="E279" t="s">
        <v>10</v>
      </c>
      <c r="F279">
        <v>2031</v>
      </c>
      <c r="G279">
        <v>2840.877223</v>
      </c>
      <c r="H279">
        <v>8.0000000000000002E-3</v>
      </c>
      <c r="I279">
        <v>-1</v>
      </c>
    </row>
    <row r="280" spans="1:9" hidden="1" x14ac:dyDescent="0.25">
      <c r="A280" t="s">
        <v>54</v>
      </c>
      <c r="B280" t="s">
        <v>6</v>
      </c>
      <c r="C280" t="s">
        <v>8</v>
      </c>
      <c r="D280" t="s">
        <v>6</v>
      </c>
      <c r="E280" t="s">
        <v>10</v>
      </c>
      <c r="F280">
        <v>2032</v>
      </c>
      <c r="G280">
        <v>2850.1656929999999</v>
      </c>
      <c r="H280">
        <v>8.0000000000000002E-3</v>
      </c>
      <c r="I280">
        <v>-1</v>
      </c>
    </row>
    <row r="281" spans="1:9" hidden="1" x14ac:dyDescent="0.25">
      <c r="A281" t="s">
        <v>54</v>
      </c>
      <c r="B281" t="s">
        <v>6</v>
      </c>
      <c r="C281" t="s">
        <v>8</v>
      </c>
      <c r="D281" t="s">
        <v>6</v>
      </c>
      <c r="E281" t="s">
        <v>10</v>
      </c>
      <c r="F281">
        <v>2033</v>
      </c>
      <c r="G281">
        <v>2859.4845329999998</v>
      </c>
      <c r="H281">
        <v>8.0000000000000002E-3</v>
      </c>
      <c r="I281">
        <v>-1</v>
      </c>
    </row>
    <row r="282" spans="1:9" hidden="1" x14ac:dyDescent="0.25">
      <c r="A282" t="s">
        <v>54</v>
      </c>
      <c r="B282" t="s">
        <v>6</v>
      </c>
      <c r="C282" t="s">
        <v>8</v>
      </c>
      <c r="D282" t="s">
        <v>6</v>
      </c>
      <c r="E282" t="s">
        <v>10</v>
      </c>
      <c r="F282">
        <v>2034</v>
      </c>
      <c r="G282">
        <v>2868.8338410000001</v>
      </c>
      <c r="H282">
        <v>8.0000000000000002E-3</v>
      </c>
      <c r="I282">
        <v>-1</v>
      </c>
    </row>
    <row r="283" spans="1:9" hidden="1" x14ac:dyDescent="0.25">
      <c r="A283" t="s">
        <v>54</v>
      </c>
      <c r="B283" t="s">
        <v>6</v>
      </c>
      <c r="C283" t="s">
        <v>8</v>
      </c>
      <c r="D283" t="s">
        <v>6</v>
      </c>
      <c r="E283" t="s">
        <v>10</v>
      </c>
      <c r="F283">
        <v>2035</v>
      </c>
      <c r="G283">
        <v>2878.213718</v>
      </c>
      <c r="H283">
        <v>8.0000000000000002E-3</v>
      </c>
      <c r="I283">
        <v>-1</v>
      </c>
    </row>
    <row r="284" spans="1:9" hidden="1" x14ac:dyDescent="0.25">
      <c r="A284" t="s">
        <v>54</v>
      </c>
      <c r="B284" t="s">
        <v>6</v>
      </c>
      <c r="C284" t="s">
        <v>8</v>
      </c>
      <c r="D284" t="s">
        <v>6</v>
      </c>
      <c r="E284" t="s">
        <v>10</v>
      </c>
      <c r="F284">
        <v>2036</v>
      </c>
      <c r="G284">
        <v>2887.6242630000002</v>
      </c>
      <c r="H284">
        <v>8.0000000000000002E-3</v>
      </c>
      <c r="I284">
        <v>-1</v>
      </c>
    </row>
    <row r="285" spans="1:9" hidden="1" x14ac:dyDescent="0.25">
      <c r="A285" t="s">
        <v>54</v>
      </c>
      <c r="B285" t="s">
        <v>6</v>
      </c>
      <c r="C285" t="s">
        <v>8</v>
      </c>
      <c r="D285" t="s">
        <v>6</v>
      </c>
      <c r="E285" t="s">
        <v>10</v>
      </c>
      <c r="F285">
        <v>2037</v>
      </c>
      <c r="G285">
        <v>2897.065576</v>
      </c>
      <c r="H285">
        <v>8.0000000000000002E-3</v>
      </c>
      <c r="I285">
        <v>-1</v>
      </c>
    </row>
    <row r="286" spans="1:9" hidden="1" x14ac:dyDescent="0.25">
      <c r="A286" t="s">
        <v>54</v>
      </c>
      <c r="B286" t="s">
        <v>6</v>
      </c>
      <c r="C286" t="s">
        <v>8</v>
      </c>
      <c r="D286" t="s">
        <v>6</v>
      </c>
      <c r="E286" t="s">
        <v>10</v>
      </c>
      <c r="F286">
        <v>2038</v>
      </c>
      <c r="G286">
        <v>2906.5377589999998</v>
      </c>
      <c r="H286">
        <v>8.0000000000000002E-3</v>
      </c>
      <c r="I286">
        <v>-1</v>
      </c>
    </row>
    <row r="287" spans="1:9" hidden="1" x14ac:dyDescent="0.25">
      <c r="A287" t="s">
        <v>54</v>
      </c>
      <c r="B287" t="s">
        <v>6</v>
      </c>
      <c r="C287" t="s">
        <v>8</v>
      </c>
      <c r="D287" t="s">
        <v>6</v>
      </c>
      <c r="E287" t="s">
        <v>10</v>
      </c>
      <c r="F287">
        <v>2039</v>
      </c>
      <c r="G287">
        <v>2916.0409119999999</v>
      </c>
      <c r="H287">
        <v>8.0000000000000002E-3</v>
      </c>
      <c r="I287">
        <v>-1</v>
      </c>
    </row>
    <row r="288" spans="1:9" hidden="1" x14ac:dyDescent="0.25">
      <c r="A288" t="s">
        <v>54</v>
      </c>
      <c r="B288" t="s">
        <v>6</v>
      </c>
      <c r="C288" t="s">
        <v>8</v>
      </c>
      <c r="D288" t="s">
        <v>6</v>
      </c>
      <c r="E288" t="s">
        <v>10</v>
      </c>
      <c r="F288">
        <v>2040</v>
      </c>
      <c r="G288">
        <v>2925.5751359999999</v>
      </c>
      <c r="H288">
        <v>8.0000000000000002E-3</v>
      </c>
      <c r="I288">
        <v>-1</v>
      </c>
    </row>
    <row r="289" spans="1:9" hidden="1" x14ac:dyDescent="0.25">
      <c r="A289" t="s">
        <v>54</v>
      </c>
      <c r="B289" t="s">
        <v>6</v>
      </c>
      <c r="C289" t="s">
        <v>8</v>
      </c>
      <c r="D289" t="s">
        <v>6</v>
      </c>
      <c r="E289" t="s">
        <v>10</v>
      </c>
      <c r="F289">
        <v>2041</v>
      </c>
      <c r="G289">
        <v>2935.1405319999999</v>
      </c>
      <c r="H289">
        <v>8.0000000000000002E-3</v>
      </c>
      <c r="I289">
        <v>-1</v>
      </c>
    </row>
    <row r="290" spans="1:9" hidden="1" x14ac:dyDescent="0.25">
      <c r="A290" t="s">
        <v>54</v>
      </c>
      <c r="B290" t="s">
        <v>6</v>
      </c>
      <c r="C290" t="s">
        <v>8</v>
      </c>
      <c r="D290" t="s">
        <v>6</v>
      </c>
      <c r="E290" t="s">
        <v>11</v>
      </c>
      <c r="F290">
        <v>2024</v>
      </c>
      <c r="G290">
        <v>2160.3000000000002</v>
      </c>
      <c r="H290">
        <v>8.0000000000000002E-3</v>
      </c>
      <c r="I290">
        <v>-1</v>
      </c>
    </row>
    <row r="291" spans="1:9" hidden="1" x14ac:dyDescent="0.25">
      <c r="A291" t="s">
        <v>54</v>
      </c>
      <c r="B291" t="s">
        <v>6</v>
      </c>
      <c r="C291" t="s">
        <v>8</v>
      </c>
      <c r="D291" t="s">
        <v>6</v>
      </c>
      <c r="E291" t="s">
        <v>11</v>
      </c>
      <c r="F291">
        <v>2025</v>
      </c>
      <c r="G291">
        <v>2160.3000000000002</v>
      </c>
      <c r="H291">
        <v>8.0000000000000002E-3</v>
      </c>
      <c r="I291">
        <v>-1</v>
      </c>
    </row>
    <row r="292" spans="1:9" hidden="1" x14ac:dyDescent="0.25">
      <c r="A292" t="s">
        <v>54</v>
      </c>
      <c r="B292" t="s">
        <v>6</v>
      </c>
      <c r="C292" t="s">
        <v>8</v>
      </c>
      <c r="D292" t="s">
        <v>6</v>
      </c>
      <c r="E292" t="s">
        <v>11</v>
      </c>
      <c r="F292">
        <v>2026</v>
      </c>
      <c r="G292">
        <v>2160.3000000000002</v>
      </c>
      <c r="H292">
        <v>8.0000000000000002E-3</v>
      </c>
      <c r="I292">
        <v>-1</v>
      </c>
    </row>
    <row r="293" spans="1:9" hidden="1" x14ac:dyDescent="0.25">
      <c r="A293" t="s">
        <v>54</v>
      </c>
      <c r="B293" t="s">
        <v>6</v>
      </c>
      <c r="C293" t="s">
        <v>8</v>
      </c>
      <c r="D293" t="s">
        <v>6</v>
      </c>
      <c r="E293" t="s">
        <v>11</v>
      </c>
      <c r="F293">
        <v>2027</v>
      </c>
      <c r="G293">
        <v>2160.3000000000002</v>
      </c>
      <c r="H293">
        <v>8.0000000000000002E-3</v>
      </c>
      <c r="I293">
        <v>-1</v>
      </c>
    </row>
    <row r="294" spans="1:9" hidden="1" x14ac:dyDescent="0.25">
      <c r="A294" t="s">
        <v>54</v>
      </c>
      <c r="B294" t="s">
        <v>6</v>
      </c>
      <c r="C294" t="s">
        <v>8</v>
      </c>
      <c r="D294" t="s">
        <v>6</v>
      </c>
      <c r="E294" t="s">
        <v>11</v>
      </c>
      <c r="F294">
        <v>2028</v>
      </c>
      <c r="G294">
        <v>2160.3000000000002</v>
      </c>
      <c r="H294">
        <v>8.0000000000000002E-3</v>
      </c>
      <c r="I294">
        <v>-1</v>
      </c>
    </row>
    <row r="295" spans="1:9" hidden="1" x14ac:dyDescent="0.25">
      <c r="A295" t="s">
        <v>54</v>
      </c>
      <c r="B295" t="s">
        <v>6</v>
      </c>
      <c r="C295" t="s">
        <v>8</v>
      </c>
      <c r="D295" t="s">
        <v>6</v>
      </c>
      <c r="E295" t="s">
        <v>11</v>
      </c>
      <c r="F295">
        <v>2029</v>
      </c>
      <c r="G295">
        <v>2160.3000000000002</v>
      </c>
      <c r="H295">
        <v>8.0000000000000002E-3</v>
      </c>
      <c r="I295">
        <v>-1</v>
      </c>
    </row>
    <row r="296" spans="1:9" hidden="1" x14ac:dyDescent="0.25">
      <c r="A296" t="s">
        <v>54</v>
      </c>
      <c r="B296" t="s">
        <v>6</v>
      </c>
      <c r="C296" t="s">
        <v>8</v>
      </c>
      <c r="D296" t="s">
        <v>6</v>
      </c>
      <c r="E296" t="s">
        <v>11</v>
      </c>
      <c r="F296">
        <v>2030</v>
      </c>
      <c r="G296">
        <v>2160.3000000000002</v>
      </c>
      <c r="H296">
        <v>8.0000000000000002E-3</v>
      </c>
      <c r="I296">
        <v>-1</v>
      </c>
    </row>
    <row r="297" spans="1:9" hidden="1" x14ac:dyDescent="0.25">
      <c r="A297" t="s">
        <v>54</v>
      </c>
      <c r="B297" t="s">
        <v>6</v>
      </c>
      <c r="C297" t="s">
        <v>8</v>
      </c>
      <c r="D297" t="s">
        <v>6</v>
      </c>
      <c r="E297" t="s">
        <v>11</v>
      </c>
      <c r="F297">
        <v>2031</v>
      </c>
      <c r="G297">
        <v>2160.3000000000002</v>
      </c>
      <c r="H297">
        <v>8.0000000000000002E-3</v>
      </c>
      <c r="I297">
        <v>-1</v>
      </c>
    </row>
    <row r="298" spans="1:9" hidden="1" x14ac:dyDescent="0.25">
      <c r="A298" t="s">
        <v>54</v>
      </c>
      <c r="B298" t="s">
        <v>6</v>
      </c>
      <c r="C298" t="s">
        <v>8</v>
      </c>
      <c r="D298" t="s">
        <v>6</v>
      </c>
      <c r="E298" t="s">
        <v>11</v>
      </c>
      <c r="F298">
        <v>2032</v>
      </c>
      <c r="G298">
        <v>2160.3000000000002</v>
      </c>
      <c r="H298">
        <v>8.0000000000000002E-3</v>
      </c>
      <c r="I298">
        <v>-1</v>
      </c>
    </row>
    <row r="299" spans="1:9" hidden="1" x14ac:dyDescent="0.25">
      <c r="A299" t="s">
        <v>54</v>
      </c>
      <c r="B299" t="s">
        <v>6</v>
      </c>
      <c r="C299" t="s">
        <v>8</v>
      </c>
      <c r="D299" t="s">
        <v>6</v>
      </c>
      <c r="E299" t="s">
        <v>11</v>
      </c>
      <c r="F299">
        <v>2033</v>
      </c>
      <c r="G299">
        <v>2160.3000000000002</v>
      </c>
      <c r="H299">
        <v>8.0000000000000002E-3</v>
      </c>
      <c r="I299">
        <v>-1</v>
      </c>
    </row>
    <row r="300" spans="1:9" hidden="1" x14ac:dyDescent="0.25">
      <c r="A300" t="s">
        <v>54</v>
      </c>
      <c r="B300" t="s">
        <v>6</v>
      </c>
      <c r="C300" t="s">
        <v>8</v>
      </c>
      <c r="D300" t="s">
        <v>6</v>
      </c>
      <c r="E300" t="s">
        <v>11</v>
      </c>
      <c r="F300">
        <v>2034</v>
      </c>
      <c r="G300">
        <v>2160.3000000000002</v>
      </c>
      <c r="H300">
        <v>8.0000000000000002E-3</v>
      </c>
      <c r="I300">
        <v>-1</v>
      </c>
    </row>
    <row r="301" spans="1:9" hidden="1" x14ac:dyDescent="0.25">
      <c r="A301" t="s">
        <v>54</v>
      </c>
      <c r="B301" t="s">
        <v>6</v>
      </c>
      <c r="C301" t="s">
        <v>8</v>
      </c>
      <c r="D301" t="s">
        <v>6</v>
      </c>
      <c r="E301" t="s">
        <v>11</v>
      </c>
      <c r="F301">
        <v>2035</v>
      </c>
      <c r="G301">
        <v>2160.3000000000002</v>
      </c>
      <c r="H301">
        <v>8.0000000000000002E-3</v>
      </c>
      <c r="I301">
        <v>-1</v>
      </c>
    </row>
    <row r="302" spans="1:9" hidden="1" x14ac:dyDescent="0.25">
      <c r="A302" t="s">
        <v>54</v>
      </c>
      <c r="B302" t="s">
        <v>6</v>
      </c>
      <c r="C302" t="s">
        <v>8</v>
      </c>
      <c r="D302" t="s">
        <v>6</v>
      </c>
      <c r="E302" t="s">
        <v>11</v>
      </c>
      <c r="F302">
        <v>2036</v>
      </c>
      <c r="G302">
        <v>2160.3000000000002</v>
      </c>
      <c r="H302">
        <v>8.0000000000000002E-3</v>
      </c>
      <c r="I302">
        <v>-1</v>
      </c>
    </row>
    <row r="303" spans="1:9" hidden="1" x14ac:dyDescent="0.25">
      <c r="A303" t="s">
        <v>54</v>
      </c>
      <c r="B303" t="s">
        <v>6</v>
      </c>
      <c r="C303" t="s">
        <v>8</v>
      </c>
      <c r="D303" t="s">
        <v>6</v>
      </c>
      <c r="E303" t="s">
        <v>11</v>
      </c>
      <c r="F303">
        <v>2037</v>
      </c>
      <c r="G303">
        <v>2160.3000000000002</v>
      </c>
      <c r="H303">
        <v>8.0000000000000002E-3</v>
      </c>
      <c r="I303">
        <v>-1</v>
      </c>
    </row>
    <row r="304" spans="1:9" hidden="1" x14ac:dyDescent="0.25">
      <c r="A304" t="s">
        <v>54</v>
      </c>
      <c r="B304" t="s">
        <v>6</v>
      </c>
      <c r="C304" t="s">
        <v>8</v>
      </c>
      <c r="D304" t="s">
        <v>6</v>
      </c>
      <c r="E304" t="s">
        <v>11</v>
      </c>
      <c r="F304">
        <v>2038</v>
      </c>
      <c r="G304">
        <v>2160.3000000000002</v>
      </c>
      <c r="H304">
        <v>8.0000000000000002E-3</v>
      </c>
      <c r="I304">
        <v>-1</v>
      </c>
    </row>
    <row r="305" spans="1:9" hidden="1" x14ac:dyDescent="0.25">
      <c r="A305" t="s">
        <v>54</v>
      </c>
      <c r="B305" t="s">
        <v>6</v>
      </c>
      <c r="C305" t="s">
        <v>8</v>
      </c>
      <c r="D305" t="s">
        <v>6</v>
      </c>
      <c r="E305" t="s">
        <v>11</v>
      </c>
      <c r="F305">
        <v>2039</v>
      </c>
      <c r="G305">
        <v>2160.3000000000002</v>
      </c>
      <c r="H305">
        <v>8.0000000000000002E-3</v>
      </c>
      <c r="I305">
        <v>-1</v>
      </c>
    </row>
    <row r="306" spans="1:9" hidden="1" x14ac:dyDescent="0.25">
      <c r="A306" t="s">
        <v>54</v>
      </c>
      <c r="B306" t="s">
        <v>6</v>
      </c>
      <c r="C306" t="s">
        <v>8</v>
      </c>
      <c r="D306" t="s">
        <v>6</v>
      </c>
      <c r="E306" t="s">
        <v>11</v>
      </c>
      <c r="F306">
        <v>2040</v>
      </c>
      <c r="G306">
        <v>2160.3000000000002</v>
      </c>
      <c r="H306">
        <v>8.0000000000000002E-3</v>
      </c>
      <c r="I306">
        <v>-1</v>
      </c>
    </row>
    <row r="307" spans="1:9" hidden="1" x14ac:dyDescent="0.25">
      <c r="A307" t="s">
        <v>54</v>
      </c>
      <c r="B307" t="s">
        <v>6</v>
      </c>
      <c r="C307" t="s">
        <v>8</v>
      </c>
      <c r="D307" t="s">
        <v>6</v>
      </c>
      <c r="E307" t="s">
        <v>11</v>
      </c>
      <c r="F307">
        <v>2041</v>
      </c>
      <c r="G307">
        <v>2160.3000000000002</v>
      </c>
      <c r="H307">
        <v>8.0000000000000002E-3</v>
      </c>
      <c r="I307">
        <v>-1</v>
      </c>
    </row>
    <row r="308" spans="1:9" hidden="1" x14ac:dyDescent="0.25">
      <c r="A308" t="s">
        <v>54</v>
      </c>
      <c r="B308" t="s">
        <v>6</v>
      </c>
      <c r="C308" t="s">
        <v>8</v>
      </c>
      <c r="D308" t="s">
        <v>6</v>
      </c>
      <c r="E308" t="s">
        <v>12</v>
      </c>
      <c r="F308">
        <v>2024</v>
      </c>
      <c r="G308">
        <v>3029.6</v>
      </c>
      <c r="H308">
        <v>8.0000000000000002E-3</v>
      </c>
      <c r="I308">
        <v>-1</v>
      </c>
    </row>
    <row r="309" spans="1:9" hidden="1" x14ac:dyDescent="0.25">
      <c r="A309" t="s">
        <v>54</v>
      </c>
      <c r="B309" t="s">
        <v>6</v>
      </c>
      <c r="C309" t="s">
        <v>8</v>
      </c>
      <c r="D309" t="s">
        <v>6</v>
      </c>
      <c r="E309" t="s">
        <v>12</v>
      </c>
      <c r="F309">
        <v>2025</v>
      </c>
      <c r="G309">
        <v>3039.5055139999999</v>
      </c>
      <c r="H309">
        <v>8.0000000000000002E-3</v>
      </c>
      <c r="I309">
        <v>-1</v>
      </c>
    </row>
    <row r="310" spans="1:9" hidden="1" x14ac:dyDescent="0.25">
      <c r="A310" t="s">
        <v>54</v>
      </c>
      <c r="B310" t="s">
        <v>6</v>
      </c>
      <c r="C310" t="s">
        <v>8</v>
      </c>
      <c r="D310" t="s">
        <v>6</v>
      </c>
      <c r="E310" t="s">
        <v>12</v>
      </c>
      <c r="F310">
        <v>2026</v>
      </c>
      <c r="G310">
        <v>3049.4434150000002</v>
      </c>
      <c r="H310">
        <v>8.0000000000000002E-3</v>
      </c>
      <c r="I310">
        <v>-1</v>
      </c>
    </row>
    <row r="311" spans="1:9" hidden="1" x14ac:dyDescent="0.25">
      <c r="A311" t="s">
        <v>54</v>
      </c>
      <c r="B311" t="s">
        <v>6</v>
      </c>
      <c r="C311" t="s">
        <v>8</v>
      </c>
      <c r="D311" t="s">
        <v>6</v>
      </c>
      <c r="E311" t="s">
        <v>12</v>
      </c>
      <c r="F311">
        <v>2027</v>
      </c>
      <c r="G311">
        <v>3059.4138090000001</v>
      </c>
      <c r="H311">
        <v>8.0000000000000002E-3</v>
      </c>
      <c r="I311">
        <v>-1</v>
      </c>
    </row>
    <row r="312" spans="1:9" hidden="1" x14ac:dyDescent="0.25">
      <c r="A312" t="s">
        <v>54</v>
      </c>
      <c r="B312" t="s">
        <v>6</v>
      </c>
      <c r="C312" t="s">
        <v>8</v>
      </c>
      <c r="D312" t="s">
        <v>6</v>
      </c>
      <c r="E312" t="s">
        <v>12</v>
      </c>
      <c r="F312">
        <v>2028</v>
      </c>
      <c r="G312">
        <v>3069.4168020000002</v>
      </c>
      <c r="H312">
        <v>8.0000000000000002E-3</v>
      </c>
      <c r="I312">
        <v>-1</v>
      </c>
    </row>
    <row r="313" spans="1:9" hidden="1" x14ac:dyDescent="0.25">
      <c r="A313" t="s">
        <v>54</v>
      </c>
      <c r="B313" t="s">
        <v>6</v>
      </c>
      <c r="C313" t="s">
        <v>8</v>
      </c>
      <c r="D313" t="s">
        <v>6</v>
      </c>
      <c r="E313" t="s">
        <v>12</v>
      </c>
      <c r="F313">
        <v>2029</v>
      </c>
      <c r="G313">
        <v>3079.4524999999999</v>
      </c>
      <c r="H313">
        <v>8.0000000000000002E-3</v>
      </c>
      <c r="I313">
        <v>-1</v>
      </c>
    </row>
    <row r="314" spans="1:9" hidden="1" x14ac:dyDescent="0.25">
      <c r="A314" t="s">
        <v>54</v>
      </c>
      <c r="B314" t="s">
        <v>6</v>
      </c>
      <c r="C314" t="s">
        <v>8</v>
      </c>
      <c r="D314" t="s">
        <v>6</v>
      </c>
      <c r="E314" t="s">
        <v>12</v>
      </c>
      <c r="F314">
        <v>2030</v>
      </c>
      <c r="G314">
        <v>3089.5210109999998</v>
      </c>
      <c r="H314">
        <v>8.0000000000000002E-3</v>
      </c>
      <c r="I314">
        <v>-1</v>
      </c>
    </row>
    <row r="315" spans="1:9" hidden="1" x14ac:dyDescent="0.25">
      <c r="A315" t="s">
        <v>54</v>
      </c>
      <c r="B315" t="s">
        <v>6</v>
      </c>
      <c r="C315" t="s">
        <v>8</v>
      </c>
      <c r="D315" t="s">
        <v>6</v>
      </c>
      <c r="E315" t="s">
        <v>12</v>
      </c>
      <c r="F315">
        <v>2031</v>
      </c>
      <c r="G315">
        <v>3099.6224419999999</v>
      </c>
      <c r="H315">
        <v>8.0000000000000002E-3</v>
      </c>
      <c r="I315">
        <v>-1</v>
      </c>
    </row>
    <row r="316" spans="1:9" hidden="1" x14ac:dyDescent="0.25">
      <c r="A316" t="s">
        <v>54</v>
      </c>
      <c r="B316" t="s">
        <v>6</v>
      </c>
      <c r="C316" t="s">
        <v>8</v>
      </c>
      <c r="D316" t="s">
        <v>6</v>
      </c>
      <c r="E316" t="s">
        <v>12</v>
      </c>
      <c r="F316">
        <v>2032</v>
      </c>
      <c r="G316">
        <v>3109.7568999999999</v>
      </c>
      <c r="H316">
        <v>8.0000000000000002E-3</v>
      </c>
      <c r="I316">
        <v>-1</v>
      </c>
    </row>
    <row r="317" spans="1:9" hidden="1" x14ac:dyDescent="0.25">
      <c r="A317" t="s">
        <v>54</v>
      </c>
      <c r="B317" t="s">
        <v>6</v>
      </c>
      <c r="C317" t="s">
        <v>8</v>
      </c>
      <c r="D317" t="s">
        <v>6</v>
      </c>
      <c r="E317" t="s">
        <v>12</v>
      </c>
      <c r="F317">
        <v>2033</v>
      </c>
      <c r="G317">
        <v>3119.9244939999999</v>
      </c>
      <c r="H317">
        <v>8.0000000000000002E-3</v>
      </c>
      <c r="I317">
        <v>-1</v>
      </c>
    </row>
    <row r="318" spans="1:9" hidden="1" x14ac:dyDescent="0.25">
      <c r="A318" t="s">
        <v>54</v>
      </c>
      <c r="B318" t="s">
        <v>6</v>
      </c>
      <c r="C318" t="s">
        <v>8</v>
      </c>
      <c r="D318" t="s">
        <v>6</v>
      </c>
      <c r="E318" t="s">
        <v>12</v>
      </c>
      <c r="F318">
        <v>2034</v>
      </c>
      <c r="G318">
        <v>3130.1253310000002</v>
      </c>
      <c r="H318">
        <v>8.0000000000000002E-3</v>
      </c>
      <c r="I318">
        <v>-1</v>
      </c>
    </row>
    <row r="319" spans="1:9" hidden="1" x14ac:dyDescent="0.25">
      <c r="A319" t="s">
        <v>54</v>
      </c>
      <c r="B319" t="s">
        <v>6</v>
      </c>
      <c r="C319" t="s">
        <v>8</v>
      </c>
      <c r="D319" t="s">
        <v>6</v>
      </c>
      <c r="E319" t="s">
        <v>12</v>
      </c>
      <c r="F319">
        <v>2035</v>
      </c>
      <c r="G319">
        <v>3140.35952</v>
      </c>
      <c r="H319">
        <v>8.0000000000000002E-3</v>
      </c>
      <c r="I319">
        <v>-1</v>
      </c>
    </row>
    <row r="320" spans="1:9" hidden="1" x14ac:dyDescent="0.25">
      <c r="A320" t="s">
        <v>54</v>
      </c>
      <c r="B320" t="s">
        <v>6</v>
      </c>
      <c r="C320" t="s">
        <v>8</v>
      </c>
      <c r="D320" t="s">
        <v>6</v>
      </c>
      <c r="E320" t="s">
        <v>12</v>
      </c>
      <c r="F320">
        <v>2036</v>
      </c>
      <c r="G320">
        <v>3150.627172</v>
      </c>
      <c r="H320">
        <v>8.0000000000000002E-3</v>
      </c>
      <c r="I320">
        <v>-1</v>
      </c>
    </row>
    <row r="321" spans="1:9" hidden="1" x14ac:dyDescent="0.25">
      <c r="A321" t="s">
        <v>54</v>
      </c>
      <c r="B321" t="s">
        <v>6</v>
      </c>
      <c r="C321" t="s">
        <v>8</v>
      </c>
      <c r="D321" t="s">
        <v>6</v>
      </c>
      <c r="E321" t="s">
        <v>12</v>
      </c>
      <c r="F321">
        <v>2037</v>
      </c>
      <c r="G321">
        <v>3160.928394</v>
      </c>
      <c r="H321">
        <v>8.0000000000000002E-3</v>
      </c>
      <c r="I321">
        <v>-1</v>
      </c>
    </row>
    <row r="322" spans="1:9" hidden="1" x14ac:dyDescent="0.25">
      <c r="A322" t="s">
        <v>54</v>
      </c>
      <c r="B322" t="s">
        <v>6</v>
      </c>
      <c r="C322" t="s">
        <v>8</v>
      </c>
      <c r="D322" t="s">
        <v>6</v>
      </c>
      <c r="E322" t="s">
        <v>12</v>
      </c>
      <c r="F322">
        <v>2038</v>
      </c>
      <c r="G322">
        <v>3171.2632960000001</v>
      </c>
      <c r="H322">
        <v>8.0000000000000002E-3</v>
      </c>
      <c r="I322">
        <v>-1</v>
      </c>
    </row>
    <row r="323" spans="1:9" hidden="1" x14ac:dyDescent="0.25">
      <c r="A323" t="s">
        <v>54</v>
      </c>
      <c r="B323" t="s">
        <v>6</v>
      </c>
      <c r="C323" t="s">
        <v>8</v>
      </c>
      <c r="D323" t="s">
        <v>6</v>
      </c>
      <c r="E323" t="s">
        <v>12</v>
      </c>
      <c r="F323">
        <v>2039</v>
      </c>
      <c r="G323">
        <v>3181.6319899999999</v>
      </c>
      <c r="H323">
        <v>8.0000000000000002E-3</v>
      </c>
      <c r="I323">
        <v>-1</v>
      </c>
    </row>
    <row r="324" spans="1:9" hidden="1" x14ac:dyDescent="0.25">
      <c r="A324" t="s">
        <v>54</v>
      </c>
      <c r="B324" t="s">
        <v>6</v>
      </c>
      <c r="C324" t="s">
        <v>8</v>
      </c>
      <c r="D324" t="s">
        <v>6</v>
      </c>
      <c r="E324" t="s">
        <v>12</v>
      </c>
      <c r="F324">
        <v>2040</v>
      </c>
      <c r="G324">
        <v>3192.0345849999999</v>
      </c>
      <c r="H324">
        <v>8.0000000000000002E-3</v>
      </c>
      <c r="I324">
        <v>-1</v>
      </c>
    </row>
    <row r="325" spans="1:9" hidden="1" x14ac:dyDescent="0.25">
      <c r="A325" t="s">
        <v>54</v>
      </c>
      <c r="B325" t="s">
        <v>6</v>
      </c>
      <c r="C325" t="s">
        <v>8</v>
      </c>
      <c r="D325" t="s">
        <v>6</v>
      </c>
      <c r="E325" t="s">
        <v>12</v>
      </c>
      <c r="F325">
        <v>2041</v>
      </c>
      <c r="G325">
        <v>3202.4711910000001</v>
      </c>
      <c r="H325">
        <v>8.0000000000000002E-3</v>
      </c>
      <c r="I325">
        <v>-1</v>
      </c>
    </row>
    <row r="326" spans="1:9" hidden="1" x14ac:dyDescent="0.25">
      <c r="A326" t="s">
        <v>54</v>
      </c>
      <c r="B326" t="s">
        <v>6</v>
      </c>
      <c r="C326" t="s">
        <v>8</v>
      </c>
      <c r="D326" t="s">
        <v>6</v>
      </c>
      <c r="E326" t="s">
        <v>8</v>
      </c>
      <c r="F326">
        <v>2024</v>
      </c>
      <c r="G326">
        <v>926</v>
      </c>
      <c r="H326">
        <v>2E-3</v>
      </c>
      <c r="I326">
        <v>-1</v>
      </c>
    </row>
    <row r="327" spans="1:9" hidden="1" x14ac:dyDescent="0.25">
      <c r="A327" t="s">
        <v>54</v>
      </c>
      <c r="B327" t="s">
        <v>6</v>
      </c>
      <c r="C327" t="s">
        <v>8</v>
      </c>
      <c r="D327" t="s">
        <v>6</v>
      </c>
      <c r="E327" t="s">
        <v>8</v>
      </c>
      <c r="F327">
        <v>2025</v>
      </c>
      <c r="G327">
        <v>947.21769670000003</v>
      </c>
      <c r="H327">
        <v>2E-3</v>
      </c>
      <c r="I327">
        <v>-1</v>
      </c>
    </row>
    <row r="328" spans="1:9" hidden="1" x14ac:dyDescent="0.25">
      <c r="A328" t="s">
        <v>54</v>
      </c>
      <c r="B328" t="s">
        <v>6</v>
      </c>
      <c r="C328" t="s">
        <v>8</v>
      </c>
      <c r="D328" t="s">
        <v>6</v>
      </c>
      <c r="E328" t="s">
        <v>8</v>
      </c>
      <c r="F328">
        <v>2026</v>
      </c>
      <c r="G328">
        <v>968.92156039999998</v>
      </c>
      <c r="H328">
        <v>2E-3</v>
      </c>
      <c r="I328">
        <v>-1</v>
      </c>
    </row>
    <row r="329" spans="1:9" hidden="1" x14ac:dyDescent="0.25">
      <c r="A329" t="s">
        <v>54</v>
      </c>
      <c r="B329" t="s">
        <v>6</v>
      </c>
      <c r="C329" t="s">
        <v>8</v>
      </c>
      <c r="D329" t="s">
        <v>6</v>
      </c>
      <c r="E329" t="s">
        <v>8</v>
      </c>
      <c r="F329">
        <v>2027</v>
      </c>
      <c r="G329">
        <v>991.1227308</v>
      </c>
      <c r="H329">
        <v>2E-3</v>
      </c>
      <c r="I329">
        <v>-1</v>
      </c>
    </row>
    <row r="330" spans="1:9" hidden="1" x14ac:dyDescent="0.25">
      <c r="A330" t="s">
        <v>54</v>
      </c>
      <c r="B330" t="s">
        <v>6</v>
      </c>
      <c r="C330" t="s">
        <v>8</v>
      </c>
      <c r="D330" t="s">
        <v>6</v>
      </c>
      <c r="E330" t="s">
        <v>8</v>
      </c>
      <c r="F330">
        <v>2028</v>
      </c>
      <c r="G330">
        <v>1013.8326029999999</v>
      </c>
      <c r="H330">
        <v>2E-3</v>
      </c>
      <c r="I330">
        <v>-1</v>
      </c>
    </row>
    <row r="331" spans="1:9" hidden="1" x14ac:dyDescent="0.25">
      <c r="A331" t="s">
        <v>54</v>
      </c>
      <c r="B331" t="s">
        <v>6</v>
      </c>
      <c r="C331" t="s">
        <v>8</v>
      </c>
      <c r="D331" t="s">
        <v>6</v>
      </c>
      <c r="E331" t="s">
        <v>8</v>
      </c>
      <c r="F331">
        <v>2029</v>
      </c>
      <c r="G331">
        <v>1037.062833</v>
      </c>
      <c r="H331">
        <v>2E-3</v>
      </c>
      <c r="I331">
        <v>-1</v>
      </c>
    </row>
    <row r="332" spans="1:9" hidden="1" x14ac:dyDescent="0.25">
      <c r="A332" t="s">
        <v>54</v>
      </c>
      <c r="B332" t="s">
        <v>6</v>
      </c>
      <c r="C332" t="s">
        <v>8</v>
      </c>
      <c r="D332" t="s">
        <v>6</v>
      </c>
      <c r="E332" t="s">
        <v>8</v>
      </c>
      <c r="F332">
        <v>2030</v>
      </c>
      <c r="G332">
        <v>1060.825343</v>
      </c>
      <c r="H332">
        <v>2E-3</v>
      </c>
      <c r="I332">
        <v>-1</v>
      </c>
    </row>
    <row r="333" spans="1:9" hidden="1" x14ac:dyDescent="0.25">
      <c r="A333" t="s">
        <v>54</v>
      </c>
      <c r="B333" t="s">
        <v>6</v>
      </c>
      <c r="C333" t="s">
        <v>8</v>
      </c>
      <c r="D333" t="s">
        <v>6</v>
      </c>
      <c r="E333" t="s">
        <v>8</v>
      </c>
      <c r="F333">
        <v>2031</v>
      </c>
      <c r="G333">
        <v>1085.1323299999999</v>
      </c>
      <c r="H333">
        <v>2E-3</v>
      </c>
      <c r="I333">
        <v>-1</v>
      </c>
    </row>
    <row r="334" spans="1:9" hidden="1" x14ac:dyDescent="0.25">
      <c r="A334" t="s">
        <v>54</v>
      </c>
      <c r="B334" t="s">
        <v>6</v>
      </c>
      <c r="C334" t="s">
        <v>8</v>
      </c>
      <c r="D334" t="s">
        <v>6</v>
      </c>
      <c r="E334" t="s">
        <v>8</v>
      </c>
      <c r="F334">
        <v>2032</v>
      </c>
      <c r="G334">
        <v>1109.996271</v>
      </c>
      <c r="H334">
        <v>2E-3</v>
      </c>
      <c r="I334">
        <v>-1</v>
      </c>
    </row>
    <row r="335" spans="1:9" hidden="1" x14ac:dyDescent="0.25">
      <c r="A335" t="s">
        <v>54</v>
      </c>
      <c r="B335" t="s">
        <v>6</v>
      </c>
      <c r="C335" t="s">
        <v>8</v>
      </c>
      <c r="D335" t="s">
        <v>6</v>
      </c>
      <c r="E335" t="s">
        <v>8</v>
      </c>
      <c r="F335">
        <v>2033</v>
      </c>
      <c r="G335">
        <v>1135.4299249999999</v>
      </c>
      <c r="H335">
        <v>2E-3</v>
      </c>
      <c r="I335">
        <v>-1</v>
      </c>
    </row>
    <row r="336" spans="1:9" hidden="1" x14ac:dyDescent="0.25">
      <c r="A336" t="s">
        <v>54</v>
      </c>
      <c r="B336" t="s">
        <v>6</v>
      </c>
      <c r="C336" t="s">
        <v>8</v>
      </c>
      <c r="D336" t="s">
        <v>6</v>
      </c>
      <c r="E336" t="s">
        <v>8</v>
      </c>
      <c r="F336">
        <v>2034</v>
      </c>
      <c r="G336">
        <v>1161.4463479999999</v>
      </c>
      <c r="H336">
        <v>2E-3</v>
      </c>
      <c r="I336">
        <v>-1</v>
      </c>
    </row>
    <row r="337" spans="1:9" hidden="1" x14ac:dyDescent="0.25">
      <c r="A337" t="s">
        <v>54</v>
      </c>
      <c r="B337" t="s">
        <v>6</v>
      </c>
      <c r="C337" t="s">
        <v>8</v>
      </c>
      <c r="D337" t="s">
        <v>6</v>
      </c>
      <c r="E337" t="s">
        <v>8</v>
      </c>
      <c r="F337">
        <v>2035</v>
      </c>
      <c r="G337">
        <v>1188.0588929999999</v>
      </c>
      <c r="H337">
        <v>2E-3</v>
      </c>
      <c r="I337">
        <v>-1</v>
      </c>
    </row>
    <row r="338" spans="1:9" hidden="1" x14ac:dyDescent="0.25">
      <c r="A338" t="s">
        <v>54</v>
      </c>
      <c r="B338" t="s">
        <v>6</v>
      </c>
      <c r="C338" t="s">
        <v>8</v>
      </c>
      <c r="D338" t="s">
        <v>6</v>
      </c>
      <c r="E338" t="s">
        <v>8</v>
      </c>
      <c r="F338">
        <v>2036</v>
      </c>
      <c r="G338">
        <v>1215.2812180000001</v>
      </c>
      <c r="H338">
        <v>2E-3</v>
      </c>
      <c r="I338">
        <v>-1</v>
      </c>
    </row>
    <row r="339" spans="1:9" hidden="1" x14ac:dyDescent="0.25">
      <c r="A339" t="s">
        <v>54</v>
      </c>
      <c r="B339" t="s">
        <v>6</v>
      </c>
      <c r="C339" t="s">
        <v>8</v>
      </c>
      <c r="D339" t="s">
        <v>6</v>
      </c>
      <c r="E339" t="s">
        <v>8</v>
      </c>
      <c r="F339">
        <v>2037</v>
      </c>
      <c r="G339">
        <v>1243.127297</v>
      </c>
      <c r="H339">
        <v>2E-3</v>
      </c>
      <c r="I339">
        <v>-1</v>
      </c>
    </row>
    <row r="340" spans="1:9" hidden="1" x14ac:dyDescent="0.25">
      <c r="A340" t="s">
        <v>54</v>
      </c>
      <c r="B340" t="s">
        <v>6</v>
      </c>
      <c r="C340" t="s">
        <v>8</v>
      </c>
      <c r="D340" t="s">
        <v>6</v>
      </c>
      <c r="E340" t="s">
        <v>8</v>
      </c>
      <c r="F340">
        <v>2038</v>
      </c>
      <c r="G340">
        <v>1271.61142</v>
      </c>
      <c r="H340">
        <v>2E-3</v>
      </c>
      <c r="I340">
        <v>-1</v>
      </c>
    </row>
    <row r="341" spans="1:9" hidden="1" x14ac:dyDescent="0.25">
      <c r="A341" t="s">
        <v>54</v>
      </c>
      <c r="B341" t="s">
        <v>6</v>
      </c>
      <c r="C341" t="s">
        <v>8</v>
      </c>
      <c r="D341" t="s">
        <v>6</v>
      </c>
      <c r="E341" t="s">
        <v>8</v>
      </c>
      <c r="F341">
        <v>2039</v>
      </c>
      <c r="G341">
        <v>1300.7482070000001</v>
      </c>
      <c r="H341">
        <v>2E-3</v>
      </c>
      <c r="I341">
        <v>-1</v>
      </c>
    </row>
    <row r="342" spans="1:9" hidden="1" x14ac:dyDescent="0.25">
      <c r="A342" t="s">
        <v>54</v>
      </c>
      <c r="B342" t="s">
        <v>6</v>
      </c>
      <c r="C342" t="s">
        <v>8</v>
      </c>
      <c r="D342" t="s">
        <v>6</v>
      </c>
      <c r="E342" t="s">
        <v>8</v>
      </c>
      <c r="F342">
        <v>2040</v>
      </c>
      <c r="G342">
        <v>1330.5526139999999</v>
      </c>
      <c r="H342">
        <v>2E-3</v>
      </c>
      <c r="I342">
        <v>-1</v>
      </c>
    </row>
    <row r="343" spans="1:9" hidden="1" x14ac:dyDescent="0.25">
      <c r="A343" t="s">
        <v>54</v>
      </c>
      <c r="B343" t="s">
        <v>6</v>
      </c>
      <c r="C343" t="s">
        <v>8</v>
      </c>
      <c r="D343" t="s">
        <v>6</v>
      </c>
      <c r="E343" t="s">
        <v>8</v>
      </c>
      <c r="F343">
        <v>2041</v>
      </c>
      <c r="G343">
        <v>1361.0399379999999</v>
      </c>
      <c r="H343">
        <v>2E-3</v>
      </c>
      <c r="I343">
        <v>-1</v>
      </c>
    </row>
    <row r="344" spans="1:9" hidden="1" x14ac:dyDescent="0.25">
      <c r="A344" t="s">
        <v>54</v>
      </c>
      <c r="B344" t="s">
        <v>6</v>
      </c>
      <c r="C344" t="s">
        <v>8</v>
      </c>
      <c r="D344" t="s">
        <v>6</v>
      </c>
      <c r="E344" t="s">
        <v>9</v>
      </c>
      <c r="F344">
        <v>2024</v>
      </c>
      <c r="G344">
        <v>3787.9</v>
      </c>
      <c r="H344">
        <v>8.0000000000000002E-3</v>
      </c>
      <c r="I344">
        <v>-1</v>
      </c>
    </row>
    <row r="345" spans="1:9" hidden="1" x14ac:dyDescent="0.25">
      <c r="A345" t="s">
        <v>54</v>
      </c>
      <c r="B345" t="s">
        <v>6</v>
      </c>
      <c r="C345" t="s">
        <v>8</v>
      </c>
      <c r="D345" t="s">
        <v>6</v>
      </c>
      <c r="E345" t="s">
        <v>9</v>
      </c>
      <c r="F345">
        <v>2025</v>
      </c>
      <c r="G345">
        <v>3917.6590719999999</v>
      </c>
      <c r="H345">
        <v>8.0000000000000002E-3</v>
      </c>
      <c r="I345">
        <v>-1</v>
      </c>
    </row>
    <row r="346" spans="1:9" hidden="1" x14ac:dyDescent="0.25">
      <c r="A346" t="s">
        <v>54</v>
      </c>
      <c r="B346" t="s">
        <v>6</v>
      </c>
      <c r="C346" t="s">
        <v>8</v>
      </c>
      <c r="D346" t="s">
        <v>6</v>
      </c>
      <c r="E346" t="s">
        <v>9</v>
      </c>
      <c r="F346">
        <v>2026</v>
      </c>
      <c r="G346">
        <v>4051.8631970000001</v>
      </c>
      <c r="H346">
        <v>8.0000000000000002E-3</v>
      </c>
      <c r="I346">
        <v>-1</v>
      </c>
    </row>
    <row r="347" spans="1:9" hidden="1" x14ac:dyDescent="0.25">
      <c r="A347" t="s">
        <v>54</v>
      </c>
      <c r="B347" t="s">
        <v>6</v>
      </c>
      <c r="C347" t="s">
        <v>8</v>
      </c>
      <c r="D347" t="s">
        <v>6</v>
      </c>
      <c r="E347" t="s">
        <v>9</v>
      </c>
      <c r="F347">
        <v>2027</v>
      </c>
      <c r="G347">
        <v>4190.6646460000002</v>
      </c>
      <c r="H347">
        <v>8.0000000000000002E-3</v>
      </c>
      <c r="I347">
        <v>-1</v>
      </c>
    </row>
    <row r="348" spans="1:9" hidden="1" x14ac:dyDescent="0.25">
      <c r="A348" t="s">
        <v>54</v>
      </c>
      <c r="B348" t="s">
        <v>6</v>
      </c>
      <c r="C348" t="s">
        <v>8</v>
      </c>
      <c r="D348" t="s">
        <v>6</v>
      </c>
      <c r="E348" t="s">
        <v>9</v>
      </c>
      <c r="F348">
        <v>2028</v>
      </c>
      <c r="G348">
        <v>4334.2209059999996</v>
      </c>
      <c r="H348">
        <v>8.0000000000000002E-3</v>
      </c>
      <c r="I348">
        <v>-1</v>
      </c>
    </row>
    <row r="349" spans="1:9" hidden="1" x14ac:dyDescent="0.25">
      <c r="A349" t="s">
        <v>54</v>
      </c>
      <c r="B349" t="s">
        <v>6</v>
      </c>
      <c r="C349" t="s">
        <v>8</v>
      </c>
      <c r="D349" t="s">
        <v>6</v>
      </c>
      <c r="E349" t="s">
        <v>9</v>
      </c>
      <c r="F349">
        <v>2029</v>
      </c>
      <c r="G349">
        <v>4482.6948579999998</v>
      </c>
      <c r="H349">
        <v>8.0000000000000002E-3</v>
      </c>
      <c r="I349">
        <v>-1</v>
      </c>
    </row>
    <row r="350" spans="1:9" hidden="1" x14ac:dyDescent="0.25">
      <c r="A350" t="s">
        <v>54</v>
      </c>
      <c r="B350" t="s">
        <v>6</v>
      </c>
      <c r="C350" t="s">
        <v>8</v>
      </c>
      <c r="D350" t="s">
        <v>6</v>
      </c>
      <c r="E350" t="s">
        <v>9</v>
      </c>
      <c r="F350">
        <v>2030</v>
      </c>
      <c r="G350">
        <v>4636.2549639999997</v>
      </c>
      <c r="H350">
        <v>8.0000000000000002E-3</v>
      </c>
      <c r="I350">
        <v>-1</v>
      </c>
    </row>
    <row r="351" spans="1:9" hidden="1" x14ac:dyDescent="0.25">
      <c r="A351" t="s">
        <v>54</v>
      </c>
      <c r="B351" t="s">
        <v>6</v>
      </c>
      <c r="C351" t="s">
        <v>8</v>
      </c>
      <c r="D351" t="s">
        <v>6</v>
      </c>
      <c r="E351" t="s">
        <v>9</v>
      </c>
      <c r="F351">
        <v>2031</v>
      </c>
      <c r="G351">
        <v>4795.0754559999996</v>
      </c>
      <c r="H351">
        <v>8.0000000000000002E-3</v>
      </c>
      <c r="I351">
        <v>-1</v>
      </c>
    </row>
    <row r="352" spans="1:9" hidden="1" x14ac:dyDescent="0.25">
      <c r="A352" t="s">
        <v>54</v>
      </c>
      <c r="B352" t="s">
        <v>6</v>
      </c>
      <c r="C352" t="s">
        <v>8</v>
      </c>
      <c r="D352" t="s">
        <v>6</v>
      </c>
      <c r="E352" t="s">
        <v>9</v>
      </c>
      <c r="F352">
        <v>2032</v>
      </c>
      <c r="G352">
        <v>4959.3365350000004</v>
      </c>
      <c r="H352">
        <v>8.0000000000000002E-3</v>
      </c>
      <c r="I352">
        <v>-1</v>
      </c>
    </row>
    <row r="353" spans="1:9" hidden="1" x14ac:dyDescent="0.25">
      <c r="A353" t="s">
        <v>54</v>
      </c>
      <c r="B353" t="s">
        <v>6</v>
      </c>
      <c r="C353" t="s">
        <v>8</v>
      </c>
      <c r="D353" t="s">
        <v>6</v>
      </c>
      <c r="E353" t="s">
        <v>9</v>
      </c>
      <c r="F353">
        <v>2033</v>
      </c>
      <c r="G353">
        <v>5129.2245759999996</v>
      </c>
      <c r="H353">
        <v>8.0000000000000002E-3</v>
      </c>
      <c r="I353">
        <v>-1</v>
      </c>
    </row>
    <row r="354" spans="1:9" hidden="1" x14ac:dyDescent="0.25">
      <c r="A354" t="s">
        <v>54</v>
      </c>
      <c r="B354" t="s">
        <v>6</v>
      </c>
      <c r="C354" t="s">
        <v>8</v>
      </c>
      <c r="D354" t="s">
        <v>6</v>
      </c>
      <c r="E354" t="s">
        <v>9</v>
      </c>
      <c r="F354">
        <v>2034</v>
      </c>
      <c r="G354">
        <v>5304.9323350000004</v>
      </c>
      <c r="H354">
        <v>8.0000000000000002E-3</v>
      </c>
      <c r="I354">
        <v>-1</v>
      </c>
    </row>
    <row r="355" spans="1:9" hidden="1" x14ac:dyDescent="0.25">
      <c r="A355" t="s">
        <v>54</v>
      </c>
      <c r="B355" t="s">
        <v>6</v>
      </c>
      <c r="C355" t="s">
        <v>8</v>
      </c>
      <c r="D355" t="s">
        <v>6</v>
      </c>
      <c r="E355" t="s">
        <v>9</v>
      </c>
      <c r="F355">
        <v>2035</v>
      </c>
      <c r="G355">
        <v>5486.6591749999998</v>
      </c>
      <c r="H355">
        <v>8.0000000000000002E-3</v>
      </c>
      <c r="I355">
        <v>-1</v>
      </c>
    </row>
    <row r="356" spans="1:9" hidden="1" x14ac:dyDescent="0.25">
      <c r="A356" t="s">
        <v>54</v>
      </c>
      <c r="B356" t="s">
        <v>6</v>
      </c>
      <c r="C356" t="s">
        <v>8</v>
      </c>
      <c r="D356" t="s">
        <v>6</v>
      </c>
      <c r="E356" t="s">
        <v>9</v>
      </c>
      <c r="F356">
        <v>2036</v>
      </c>
      <c r="G356">
        <v>5674.6112869999997</v>
      </c>
      <c r="H356">
        <v>8.0000000000000002E-3</v>
      </c>
      <c r="I356">
        <v>-1</v>
      </c>
    </row>
    <row r="357" spans="1:9" hidden="1" x14ac:dyDescent="0.25">
      <c r="A357" t="s">
        <v>54</v>
      </c>
      <c r="B357" t="s">
        <v>6</v>
      </c>
      <c r="C357" t="s">
        <v>8</v>
      </c>
      <c r="D357" t="s">
        <v>6</v>
      </c>
      <c r="E357" t="s">
        <v>9</v>
      </c>
      <c r="F357">
        <v>2037</v>
      </c>
      <c r="G357">
        <v>5869.0019240000001</v>
      </c>
      <c r="H357">
        <v>8.0000000000000002E-3</v>
      </c>
      <c r="I357">
        <v>-1</v>
      </c>
    </row>
    <row r="358" spans="1:9" hidden="1" x14ac:dyDescent="0.25">
      <c r="A358" t="s">
        <v>54</v>
      </c>
      <c r="B358" t="s">
        <v>6</v>
      </c>
      <c r="C358" t="s">
        <v>8</v>
      </c>
      <c r="D358" t="s">
        <v>6</v>
      </c>
      <c r="E358" t="s">
        <v>9</v>
      </c>
      <c r="F358">
        <v>2038</v>
      </c>
      <c r="G358">
        <v>6070.0516459999999</v>
      </c>
      <c r="H358">
        <v>8.0000000000000002E-3</v>
      </c>
      <c r="I358">
        <v>-1</v>
      </c>
    </row>
    <row r="359" spans="1:9" hidden="1" x14ac:dyDescent="0.25">
      <c r="A359" t="s">
        <v>54</v>
      </c>
      <c r="B359" t="s">
        <v>6</v>
      </c>
      <c r="C359" t="s">
        <v>8</v>
      </c>
      <c r="D359" t="s">
        <v>6</v>
      </c>
      <c r="E359" t="s">
        <v>9</v>
      </c>
      <c r="F359">
        <v>2039</v>
      </c>
      <c r="G359">
        <v>6277.9885690000001</v>
      </c>
      <c r="H359">
        <v>8.0000000000000002E-3</v>
      </c>
      <c r="I359">
        <v>-1</v>
      </c>
    </row>
    <row r="360" spans="1:9" hidden="1" x14ac:dyDescent="0.25">
      <c r="A360" t="s">
        <v>54</v>
      </c>
      <c r="B360" t="s">
        <v>6</v>
      </c>
      <c r="C360" t="s">
        <v>8</v>
      </c>
      <c r="D360" t="s">
        <v>6</v>
      </c>
      <c r="E360" t="s">
        <v>9</v>
      </c>
      <c r="F360">
        <v>2040</v>
      </c>
      <c r="G360">
        <v>6493.0486209999999</v>
      </c>
      <c r="H360">
        <v>8.0000000000000002E-3</v>
      </c>
      <c r="I360">
        <v>-1</v>
      </c>
    </row>
    <row r="361" spans="1:9" hidden="1" x14ac:dyDescent="0.25">
      <c r="A361" t="s">
        <v>54</v>
      </c>
      <c r="B361" t="s">
        <v>6</v>
      </c>
      <c r="C361" t="s">
        <v>8</v>
      </c>
      <c r="D361" t="s">
        <v>6</v>
      </c>
      <c r="E361" t="s">
        <v>9</v>
      </c>
      <c r="F361">
        <v>2041</v>
      </c>
      <c r="G361">
        <v>6715.4758140000004</v>
      </c>
      <c r="H361">
        <v>8.0000000000000002E-3</v>
      </c>
      <c r="I361">
        <v>-1</v>
      </c>
    </row>
    <row r="362" spans="1:9" hidden="1" x14ac:dyDescent="0.25">
      <c r="A362" t="s">
        <v>54</v>
      </c>
      <c r="B362" t="s">
        <v>6</v>
      </c>
      <c r="C362" t="s">
        <v>9</v>
      </c>
      <c r="D362" t="s">
        <v>6</v>
      </c>
      <c r="E362" t="s">
        <v>10</v>
      </c>
      <c r="F362">
        <v>2024</v>
      </c>
      <c r="G362">
        <v>2497.6</v>
      </c>
      <c r="H362">
        <v>8.0000000000000002E-3</v>
      </c>
      <c r="I362">
        <v>-1</v>
      </c>
    </row>
    <row r="363" spans="1:9" hidden="1" x14ac:dyDescent="0.25">
      <c r="A363" t="s">
        <v>54</v>
      </c>
      <c r="B363" t="s">
        <v>6</v>
      </c>
      <c r="C363" t="s">
        <v>9</v>
      </c>
      <c r="D363" t="s">
        <v>6</v>
      </c>
      <c r="E363" t="s">
        <v>10</v>
      </c>
      <c r="F363">
        <v>2025</v>
      </c>
      <c r="G363">
        <v>2497.6</v>
      </c>
      <c r="H363">
        <v>8.0000000000000002E-3</v>
      </c>
      <c r="I363">
        <v>-1</v>
      </c>
    </row>
    <row r="364" spans="1:9" hidden="1" x14ac:dyDescent="0.25">
      <c r="A364" t="s">
        <v>54</v>
      </c>
      <c r="B364" t="s">
        <v>6</v>
      </c>
      <c r="C364" t="s">
        <v>9</v>
      </c>
      <c r="D364" t="s">
        <v>6</v>
      </c>
      <c r="E364" t="s">
        <v>10</v>
      </c>
      <c r="F364">
        <v>2026</v>
      </c>
      <c r="G364">
        <v>2497.6</v>
      </c>
      <c r="H364">
        <v>8.0000000000000002E-3</v>
      </c>
      <c r="I364">
        <v>-1</v>
      </c>
    </row>
    <row r="365" spans="1:9" hidden="1" x14ac:dyDescent="0.25">
      <c r="A365" t="s">
        <v>54</v>
      </c>
      <c r="B365" t="s">
        <v>6</v>
      </c>
      <c r="C365" t="s">
        <v>9</v>
      </c>
      <c r="D365" t="s">
        <v>6</v>
      </c>
      <c r="E365" t="s">
        <v>10</v>
      </c>
      <c r="F365">
        <v>2027</v>
      </c>
      <c r="G365">
        <v>2497.6</v>
      </c>
      <c r="H365">
        <v>8.0000000000000002E-3</v>
      </c>
      <c r="I365">
        <v>-1</v>
      </c>
    </row>
    <row r="366" spans="1:9" hidden="1" x14ac:dyDescent="0.25">
      <c r="A366" t="s">
        <v>54</v>
      </c>
      <c r="B366" t="s">
        <v>6</v>
      </c>
      <c r="C366" t="s">
        <v>9</v>
      </c>
      <c r="D366" t="s">
        <v>6</v>
      </c>
      <c r="E366" t="s">
        <v>10</v>
      </c>
      <c r="F366">
        <v>2028</v>
      </c>
      <c r="G366">
        <v>2497.6</v>
      </c>
      <c r="H366">
        <v>8.0000000000000002E-3</v>
      </c>
      <c r="I366">
        <v>-1</v>
      </c>
    </row>
    <row r="367" spans="1:9" hidden="1" x14ac:dyDescent="0.25">
      <c r="A367" t="s">
        <v>54</v>
      </c>
      <c r="B367" t="s">
        <v>6</v>
      </c>
      <c r="C367" t="s">
        <v>9</v>
      </c>
      <c r="D367" t="s">
        <v>6</v>
      </c>
      <c r="E367" t="s">
        <v>10</v>
      </c>
      <c r="F367">
        <v>2029</v>
      </c>
      <c r="G367">
        <v>2497.6</v>
      </c>
      <c r="H367">
        <v>8.0000000000000002E-3</v>
      </c>
      <c r="I367">
        <v>-1</v>
      </c>
    </row>
    <row r="368" spans="1:9" hidden="1" x14ac:dyDescent="0.25">
      <c r="A368" t="s">
        <v>54</v>
      </c>
      <c r="B368" t="s">
        <v>6</v>
      </c>
      <c r="C368" t="s">
        <v>9</v>
      </c>
      <c r="D368" t="s">
        <v>6</v>
      </c>
      <c r="E368" t="s">
        <v>10</v>
      </c>
      <c r="F368">
        <v>2030</v>
      </c>
      <c r="G368">
        <v>2497.6</v>
      </c>
      <c r="H368">
        <v>8.0000000000000002E-3</v>
      </c>
      <c r="I368">
        <v>-1</v>
      </c>
    </row>
    <row r="369" spans="1:9" hidden="1" x14ac:dyDescent="0.25">
      <c r="A369" t="s">
        <v>54</v>
      </c>
      <c r="B369" t="s">
        <v>6</v>
      </c>
      <c r="C369" t="s">
        <v>9</v>
      </c>
      <c r="D369" t="s">
        <v>6</v>
      </c>
      <c r="E369" t="s">
        <v>10</v>
      </c>
      <c r="F369">
        <v>2031</v>
      </c>
      <c r="G369">
        <v>2497.6</v>
      </c>
      <c r="H369">
        <v>8.0000000000000002E-3</v>
      </c>
      <c r="I369">
        <v>-1</v>
      </c>
    </row>
    <row r="370" spans="1:9" hidden="1" x14ac:dyDescent="0.25">
      <c r="A370" t="s">
        <v>54</v>
      </c>
      <c r="B370" t="s">
        <v>6</v>
      </c>
      <c r="C370" t="s">
        <v>9</v>
      </c>
      <c r="D370" t="s">
        <v>6</v>
      </c>
      <c r="E370" t="s">
        <v>10</v>
      </c>
      <c r="F370">
        <v>2032</v>
      </c>
      <c r="G370">
        <v>2497.6</v>
      </c>
      <c r="H370">
        <v>8.0000000000000002E-3</v>
      </c>
      <c r="I370">
        <v>-1</v>
      </c>
    </row>
    <row r="371" spans="1:9" hidden="1" x14ac:dyDescent="0.25">
      <c r="A371" t="s">
        <v>54</v>
      </c>
      <c r="B371" t="s">
        <v>6</v>
      </c>
      <c r="C371" t="s">
        <v>9</v>
      </c>
      <c r="D371" t="s">
        <v>6</v>
      </c>
      <c r="E371" t="s">
        <v>10</v>
      </c>
      <c r="F371">
        <v>2033</v>
      </c>
      <c r="G371">
        <v>2497.6</v>
      </c>
      <c r="H371">
        <v>8.0000000000000002E-3</v>
      </c>
      <c r="I371">
        <v>-1</v>
      </c>
    </row>
    <row r="372" spans="1:9" hidden="1" x14ac:dyDescent="0.25">
      <c r="A372" t="s">
        <v>54</v>
      </c>
      <c r="B372" t="s">
        <v>6</v>
      </c>
      <c r="C372" t="s">
        <v>9</v>
      </c>
      <c r="D372" t="s">
        <v>6</v>
      </c>
      <c r="E372" t="s">
        <v>10</v>
      </c>
      <c r="F372">
        <v>2034</v>
      </c>
      <c r="G372">
        <v>2497.6</v>
      </c>
      <c r="H372">
        <v>8.0000000000000002E-3</v>
      </c>
      <c r="I372">
        <v>-1</v>
      </c>
    </row>
    <row r="373" spans="1:9" hidden="1" x14ac:dyDescent="0.25">
      <c r="A373" t="s">
        <v>54</v>
      </c>
      <c r="B373" t="s">
        <v>6</v>
      </c>
      <c r="C373" t="s">
        <v>9</v>
      </c>
      <c r="D373" t="s">
        <v>6</v>
      </c>
      <c r="E373" t="s">
        <v>10</v>
      </c>
      <c r="F373">
        <v>2035</v>
      </c>
      <c r="G373">
        <v>2497.6</v>
      </c>
      <c r="H373">
        <v>8.0000000000000002E-3</v>
      </c>
      <c r="I373">
        <v>-1</v>
      </c>
    </row>
    <row r="374" spans="1:9" hidden="1" x14ac:dyDescent="0.25">
      <c r="A374" t="s">
        <v>54</v>
      </c>
      <c r="B374" t="s">
        <v>6</v>
      </c>
      <c r="C374" t="s">
        <v>9</v>
      </c>
      <c r="D374" t="s">
        <v>6</v>
      </c>
      <c r="E374" t="s">
        <v>10</v>
      </c>
      <c r="F374">
        <v>2036</v>
      </c>
      <c r="G374">
        <v>2497.6</v>
      </c>
      <c r="H374">
        <v>8.0000000000000002E-3</v>
      </c>
      <c r="I374">
        <v>-1</v>
      </c>
    </row>
    <row r="375" spans="1:9" hidden="1" x14ac:dyDescent="0.25">
      <c r="A375" t="s">
        <v>54</v>
      </c>
      <c r="B375" t="s">
        <v>6</v>
      </c>
      <c r="C375" t="s">
        <v>9</v>
      </c>
      <c r="D375" t="s">
        <v>6</v>
      </c>
      <c r="E375" t="s">
        <v>10</v>
      </c>
      <c r="F375">
        <v>2037</v>
      </c>
      <c r="G375">
        <v>2497.6</v>
      </c>
      <c r="H375">
        <v>8.0000000000000002E-3</v>
      </c>
      <c r="I375">
        <v>-1</v>
      </c>
    </row>
    <row r="376" spans="1:9" hidden="1" x14ac:dyDescent="0.25">
      <c r="A376" t="s">
        <v>54</v>
      </c>
      <c r="B376" t="s">
        <v>6</v>
      </c>
      <c r="C376" t="s">
        <v>9</v>
      </c>
      <c r="D376" t="s">
        <v>6</v>
      </c>
      <c r="E376" t="s">
        <v>10</v>
      </c>
      <c r="F376">
        <v>2038</v>
      </c>
      <c r="G376">
        <v>2497.6</v>
      </c>
      <c r="H376">
        <v>8.0000000000000002E-3</v>
      </c>
      <c r="I376">
        <v>-1</v>
      </c>
    </row>
    <row r="377" spans="1:9" hidden="1" x14ac:dyDescent="0.25">
      <c r="A377" t="s">
        <v>54</v>
      </c>
      <c r="B377" t="s">
        <v>6</v>
      </c>
      <c r="C377" t="s">
        <v>9</v>
      </c>
      <c r="D377" t="s">
        <v>6</v>
      </c>
      <c r="E377" t="s">
        <v>10</v>
      </c>
      <c r="F377">
        <v>2039</v>
      </c>
      <c r="G377">
        <v>2497.6</v>
      </c>
      <c r="H377">
        <v>8.0000000000000002E-3</v>
      </c>
      <c r="I377">
        <v>-1</v>
      </c>
    </row>
    <row r="378" spans="1:9" hidden="1" x14ac:dyDescent="0.25">
      <c r="A378" t="s">
        <v>54</v>
      </c>
      <c r="B378" t="s">
        <v>6</v>
      </c>
      <c r="C378" t="s">
        <v>9</v>
      </c>
      <c r="D378" t="s">
        <v>6</v>
      </c>
      <c r="E378" t="s">
        <v>10</v>
      </c>
      <c r="F378">
        <v>2040</v>
      </c>
      <c r="G378">
        <v>2497.6</v>
      </c>
      <c r="H378">
        <v>8.0000000000000002E-3</v>
      </c>
      <c r="I378">
        <v>-1</v>
      </c>
    </row>
    <row r="379" spans="1:9" hidden="1" x14ac:dyDescent="0.25">
      <c r="A379" t="s">
        <v>54</v>
      </c>
      <c r="B379" t="s">
        <v>6</v>
      </c>
      <c r="C379" t="s">
        <v>9</v>
      </c>
      <c r="D379" t="s">
        <v>6</v>
      </c>
      <c r="E379" t="s">
        <v>10</v>
      </c>
      <c r="F379">
        <v>2041</v>
      </c>
      <c r="G379">
        <v>2497.6</v>
      </c>
      <c r="H379">
        <v>8.0000000000000002E-3</v>
      </c>
      <c r="I379">
        <v>-1</v>
      </c>
    </row>
    <row r="380" spans="1:9" hidden="1" x14ac:dyDescent="0.25">
      <c r="A380" t="s">
        <v>54</v>
      </c>
      <c r="B380" t="s">
        <v>6</v>
      </c>
      <c r="C380" t="s">
        <v>9</v>
      </c>
      <c r="D380" t="s">
        <v>6</v>
      </c>
      <c r="E380" t="s">
        <v>11</v>
      </c>
      <c r="F380">
        <v>2024</v>
      </c>
      <c r="G380">
        <v>3354.5</v>
      </c>
      <c r="H380">
        <v>8.0000000000000002E-3</v>
      </c>
      <c r="I380">
        <v>-1</v>
      </c>
    </row>
    <row r="381" spans="1:9" hidden="1" x14ac:dyDescent="0.25">
      <c r="A381" t="s">
        <v>54</v>
      </c>
      <c r="B381" t="s">
        <v>6</v>
      </c>
      <c r="C381" t="s">
        <v>9</v>
      </c>
      <c r="D381" t="s">
        <v>6</v>
      </c>
      <c r="E381" t="s">
        <v>11</v>
      </c>
      <c r="F381">
        <v>2025</v>
      </c>
      <c r="G381">
        <v>3469.4124339999998</v>
      </c>
      <c r="H381">
        <v>8.0000000000000002E-3</v>
      </c>
      <c r="I381">
        <v>-1</v>
      </c>
    </row>
    <row r="382" spans="1:9" hidden="1" x14ac:dyDescent="0.25">
      <c r="A382" t="s">
        <v>54</v>
      </c>
      <c r="B382" t="s">
        <v>6</v>
      </c>
      <c r="C382" t="s">
        <v>9</v>
      </c>
      <c r="D382" t="s">
        <v>6</v>
      </c>
      <c r="E382" t="s">
        <v>11</v>
      </c>
      <c r="F382">
        <v>2026</v>
      </c>
      <c r="G382">
        <v>3588.2613310000002</v>
      </c>
      <c r="H382">
        <v>8.0000000000000002E-3</v>
      </c>
      <c r="I382">
        <v>-1</v>
      </c>
    </row>
    <row r="383" spans="1:9" hidden="1" x14ac:dyDescent="0.25">
      <c r="A383" t="s">
        <v>54</v>
      </c>
      <c r="B383" t="s">
        <v>6</v>
      </c>
      <c r="C383" t="s">
        <v>9</v>
      </c>
      <c r="D383" t="s">
        <v>6</v>
      </c>
      <c r="E383" t="s">
        <v>11</v>
      </c>
      <c r="F383">
        <v>2027</v>
      </c>
      <c r="G383">
        <v>3711.18154</v>
      </c>
      <c r="H383">
        <v>8.0000000000000002E-3</v>
      </c>
      <c r="I383">
        <v>-1</v>
      </c>
    </row>
    <row r="384" spans="1:9" hidden="1" x14ac:dyDescent="0.25">
      <c r="A384" t="s">
        <v>54</v>
      </c>
      <c r="B384" t="s">
        <v>6</v>
      </c>
      <c r="C384" t="s">
        <v>9</v>
      </c>
      <c r="D384" t="s">
        <v>6</v>
      </c>
      <c r="E384" t="s">
        <v>11</v>
      </c>
      <c r="F384">
        <v>2028</v>
      </c>
      <c r="G384">
        <v>3838.3125289999998</v>
      </c>
      <c r="H384">
        <v>8.0000000000000002E-3</v>
      </c>
      <c r="I384">
        <v>-1</v>
      </c>
    </row>
    <row r="385" spans="1:9" hidden="1" x14ac:dyDescent="0.25">
      <c r="A385" t="s">
        <v>54</v>
      </c>
      <c r="B385" t="s">
        <v>6</v>
      </c>
      <c r="C385" t="s">
        <v>9</v>
      </c>
      <c r="D385" t="s">
        <v>6</v>
      </c>
      <c r="E385" t="s">
        <v>11</v>
      </c>
      <c r="F385">
        <v>2029</v>
      </c>
      <c r="G385">
        <v>3969.7985429999999</v>
      </c>
      <c r="H385">
        <v>8.0000000000000002E-3</v>
      </c>
      <c r="I385">
        <v>-1</v>
      </c>
    </row>
    <row r="386" spans="1:9" hidden="1" x14ac:dyDescent="0.25">
      <c r="A386" t="s">
        <v>54</v>
      </c>
      <c r="B386" t="s">
        <v>6</v>
      </c>
      <c r="C386" t="s">
        <v>9</v>
      </c>
      <c r="D386" t="s">
        <v>6</v>
      </c>
      <c r="E386" t="s">
        <v>11</v>
      </c>
      <c r="F386">
        <v>2030</v>
      </c>
      <c r="G386">
        <v>4105.7887689999998</v>
      </c>
      <c r="H386">
        <v>8.0000000000000002E-3</v>
      </c>
      <c r="I386">
        <v>-1</v>
      </c>
    </row>
    <row r="387" spans="1:9" hidden="1" x14ac:dyDescent="0.25">
      <c r="A387" t="s">
        <v>54</v>
      </c>
      <c r="B387" t="s">
        <v>6</v>
      </c>
      <c r="C387" t="s">
        <v>9</v>
      </c>
      <c r="D387" t="s">
        <v>6</v>
      </c>
      <c r="E387" t="s">
        <v>11</v>
      </c>
      <c r="F387">
        <v>2031</v>
      </c>
      <c r="G387">
        <v>4246.4375030000001</v>
      </c>
      <c r="H387">
        <v>8.0000000000000002E-3</v>
      </c>
      <c r="I387">
        <v>-1</v>
      </c>
    </row>
    <row r="388" spans="1:9" hidden="1" x14ac:dyDescent="0.25">
      <c r="A388" t="s">
        <v>54</v>
      </c>
      <c r="B388" t="s">
        <v>6</v>
      </c>
      <c r="C388" t="s">
        <v>9</v>
      </c>
      <c r="D388" t="s">
        <v>6</v>
      </c>
      <c r="E388" t="s">
        <v>11</v>
      </c>
      <c r="F388">
        <v>2032</v>
      </c>
      <c r="G388">
        <v>4391.904329</v>
      </c>
      <c r="H388">
        <v>8.0000000000000002E-3</v>
      </c>
      <c r="I388">
        <v>-1</v>
      </c>
    </row>
    <row r="389" spans="1:9" hidden="1" x14ac:dyDescent="0.25">
      <c r="A389" t="s">
        <v>54</v>
      </c>
      <c r="B389" t="s">
        <v>6</v>
      </c>
      <c r="C389" t="s">
        <v>9</v>
      </c>
      <c r="D389" t="s">
        <v>6</v>
      </c>
      <c r="E389" t="s">
        <v>11</v>
      </c>
      <c r="F389">
        <v>2033</v>
      </c>
      <c r="G389">
        <v>4542.3542960000004</v>
      </c>
      <c r="H389">
        <v>8.0000000000000002E-3</v>
      </c>
      <c r="I389">
        <v>-1</v>
      </c>
    </row>
    <row r="390" spans="1:9" hidden="1" x14ac:dyDescent="0.25">
      <c r="A390" t="s">
        <v>54</v>
      </c>
      <c r="B390" t="s">
        <v>6</v>
      </c>
      <c r="C390" t="s">
        <v>9</v>
      </c>
      <c r="D390" t="s">
        <v>6</v>
      </c>
      <c r="E390" t="s">
        <v>11</v>
      </c>
      <c r="F390">
        <v>2034</v>
      </c>
      <c r="G390">
        <v>4697.9581079999998</v>
      </c>
      <c r="H390">
        <v>8.0000000000000002E-3</v>
      </c>
      <c r="I390">
        <v>-1</v>
      </c>
    </row>
    <row r="391" spans="1:9" hidden="1" x14ac:dyDescent="0.25">
      <c r="A391" t="s">
        <v>54</v>
      </c>
      <c r="B391" t="s">
        <v>6</v>
      </c>
      <c r="C391" t="s">
        <v>9</v>
      </c>
      <c r="D391" t="s">
        <v>6</v>
      </c>
      <c r="E391" t="s">
        <v>11</v>
      </c>
      <c r="F391">
        <v>2035</v>
      </c>
      <c r="G391">
        <v>4858.8923160000004</v>
      </c>
      <c r="H391">
        <v>8.0000000000000002E-3</v>
      </c>
      <c r="I391">
        <v>-1</v>
      </c>
    </row>
    <row r="392" spans="1:9" hidden="1" x14ac:dyDescent="0.25">
      <c r="A392" t="s">
        <v>54</v>
      </c>
      <c r="B392" t="s">
        <v>6</v>
      </c>
      <c r="C392" t="s">
        <v>9</v>
      </c>
      <c r="D392" t="s">
        <v>6</v>
      </c>
      <c r="E392" t="s">
        <v>11</v>
      </c>
      <c r="F392">
        <v>2036</v>
      </c>
      <c r="G392">
        <v>5025.3395179999998</v>
      </c>
      <c r="H392">
        <v>8.0000000000000002E-3</v>
      </c>
      <c r="I392">
        <v>-1</v>
      </c>
    </row>
    <row r="393" spans="1:9" hidden="1" x14ac:dyDescent="0.25">
      <c r="A393" t="s">
        <v>54</v>
      </c>
      <c r="B393" t="s">
        <v>6</v>
      </c>
      <c r="C393" t="s">
        <v>9</v>
      </c>
      <c r="D393" t="s">
        <v>6</v>
      </c>
      <c r="E393" t="s">
        <v>11</v>
      </c>
      <c r="F393">
        <v>2037</v>
      </c>
      <c r="G393">
        <v>5197.4885700000004</v>
      </c>
      <c r="H393">
        <v>8.0000000000000002E-3</v>
      </c>
      <c r="I393">
        <v>-1</v>
      </c>
    </row>
    <row r="394" spans="1:9" hidden="1" x14ac:dyDescent="0.25">
      <c r="A394" t="s">
        <v>54</v>
      </c>
      <c r="B394" t="s">
        <v>6</v>
      </c>
      <c r="C394" t="s">
        <v>9</v>
      </c>
      <c r="D394" t="s">
        <v>6</v>
      </c>
      <c r="E394" t="s">
        <v>11</v>
      </c>
      <c r="F394">
        <v>2038</v>
      </c>
      <c r="G394">
        <v>5375.5347940000001</v>
      </c>
      <c r="H394">
        <v>8.0000000000000002E-3</v>
      </c>
      <c r="I394">
        <v>-1</v>
      </c>
    </row>
    <row r="395" spans="1:9" hidden="1" x14ac:dyDescent="0.25">
      <c r="A395" t="s">
        <v>54</v>
      </c>
      <c r="B395" t="s">
        <v>6</v>
      </c>
      <c r="C395" t="s">
        <v>9</v>
      </c>
      <c r="D395" t="s">
        <v>6</v>
      </c>
      <c r="E395" t="s">
        <v>11</v>
      </c>
      <c r="F395">
        <v>2039</v>
      </c>
      <c r="G395">
        <v>5559.6802070000003</v>
      </c>
      <c r="H395">
        <v>8.0000000000000002E-3</v>
      </c>
      <c r="I395">
        <v>-1</v>
      </c>
    </row>
    <row r="396" spans="1:9" hidden="1" x14ac:dyDescent="0.25">
      <c r="A396" t="s">
        <v>54</v>
      </c>
      <c r="B396" t="s">
        <v>6</v>
      </c>
      <c r="C396" t="s">
        <v>9</v>
      </c>
      <c r="D396" t="s">
        <v>6</v>
      </c>
      <c r="E396" t="s">
        <v>11</v>
      </c>
      <c r="F396">
        <v>2040</v>
      </c>
      <c r="G396">
        <v>5750.133742</v>
      </c>
      <c r="H396">
        <v>8.0000000000000002E-3</v>
      </c>
      <c r="I396">
        <v>-1</v>
      </c>
    </row>
    <row r="397" spans="1:9" hidden="1" x14ac:dyDescent="0.25">
      <c r="A397" t="s">
        <v>54</v>
      </c>
      <c r="B397" t="s">
        <v>6</v>
      </c>
      <c r="C397" t="s">
        <v>9</v>
      </c>
      <c r="D397" t="s">
        <v>6</v>
      </c>
      <c r="E397" t="s">
        <v>11</v>
      </c>
      <c r="F397">
        <v>2041</v>
      </c>
      <c r="G397">
        <v>5947.111492</v>
      </c>
      <c r="H397">
        <v>8.0000000000000002E-3</v>
      </c>
      <c r="I397">
        <v>-1</v>
      </c>
    </row>
    <row r="398" spans="1:9" hidden="1" x14ac:dyDescent="0.25">
      <c r="A398" t="s">
        <v>54</v>
      </c>
      <c r="B398" t="s">
        <v>6</v>
      </c>
      <c r="C398" t="s">
        <v>9</v>
      </c>
      <c r="D398" t="s">
        <v>6</v>
      </c>
      <c r="E398" t="s">
        <v>12</v>
      </c>
      <c r="F398">
        <v>2024</v>
      </c>
      <c r="G398">
        <v>3174</v>
      </c>
      <c r="H398">
        <v>8.0000000000000002E-3</v>
      </c>
      <c r="I398">
        <v>-1</v>
      </c>
    </row>
    <row r="399" spans="1:9" hidden="1" x14ac:dyDescent="0.25">
      <c r="A399" t="s">
        <v>54</v>
      </c>
      <c r="B399" t="s">
        <v>6</v>
      </c>
      <c r="C399" t="s">
        <v>9</v>
      </c>
      <c r="D399" t="s">
        <v>6</v>
      </c>
      <c r="E399" t="s">
        <v>12</v>
      </c>
      <c r="F399">
        <v>2025</v>
      </c>
      <c r="G399">
        <v>3282.7291890000001</v>
      </c>
      <c r="H399">
        <v>8.0000000000000002E-3</v>
      </c>
      <c r="I399">
        <v>-1</v>
      </c>
    </row>
    <row r="400" spans="1:9" hidden="1" x14ac:dyDescent="0.25">
      <c r="A400" t="s">
        <v>54</v>
      </c>
      <c r="B400" t="s">
        <v>6</v>
      </c>
      <c r="C400" t="s">
        <v>9</v>
      </c>
      <c r="D400" t="s">
        <v>6</v>
      </c>
      <c r="E400" t="s">
        <v>12</v>
      </c>
      <c r="F400">
        <v>2026</v>
      </c>
      <c r="G400">
        <v>3395.183027</v>
      </c>
      <c r="H400">
        <v>8.0000000000000002E-3</v>
      </c>
      <c r="I400">
        <v>-1</v>
      </c>
    </row>
    <row r="401" spans="1:9" hidden="1" x14ac:dyDescent="0.25">
      <c r="A401" t="s">
        <v>54</v>
      </c>
      <c r="B401" t="s">
        <v>6</v>
      </c>
      <c r="C401" t="s">
        <v>9</v>
      </c>
      <c r="D401" t="s">
        <v>6</v>
      </c>
      <c r="E401" t="s">
        <v>12</v>
      </c>
      <c r="F401">
        <v>2027</v>
      </c>
      <c r="G401">
        <v>3511.4891069999999</v>
      </c>
      <c r="H401">
        <v>8.0000000000000002E-3</v>
      </c>
      <c r="I401">
        <v>-1</v>
      </c>
    </row>
    <row r="402" spans="1:9" hidden="1" x14ac:dyDescent="0.25">
      <c r="A402" t="s">
        <v>54</v>
      </c>
      <c r="B402" t="s">
        <v>6</v>
      </c>
      <c r="C402" t="s">
        <v>9</v>
      </c>
      <c r="D402" t="s">
        <v>6</v>
      </c>
      <c r="E402" t="s">
        <v>12</v>
      </c>
      <c r="F402">
        <v>2028</v>
      </c>
      <c r="G402">
        <v>3631.779391</v>
      </c>
      <c r="H402">
        <v>8.0000000000000002E-3</v>
      </c>
      <c r="I402">
        <v>-1</v>
      </c>
    </row>
    <row r="403" spans="1:9" hidden="1" x14ac:dyDescent="0.25">
      <c r="A403" t="s">
        <v>54</v>
      </c>
      <c r="B403" t="s">
        <v>6</v>
      </c>
      <c r="C403" t="s">
        <v>9</v>
      </c>
      <c r="D403" t="s">
        <v>6</v>
      </c>
      <c r="E403" t="s">
        <v>12</v>
      </c>
      <c r="F403">
        <v>2029</v>
      </c>
      <c r="G403">
        <v>3756.190364</v>
      </c>
      <c r="H403">
        <v>8.0000000000000002E-3</v>
      </c>
      <c r="I403">
        <v>-1</v>
      </c>
    </row>
    <row r="404" spans="1:9" hidden="1" x14ac:dyDescent="0.25">
      <c r="A404" t="s">
        <v>54</v>
      </c>
      <c r="B404" t="s">
        <v>6</v>
      </c>
      <c r="C404" t="s">
        <v>9</v>
      </c>
      <c r="D404" t="s">
        <v>6</v>
      </c>
      <c r="E404" t="s">
        <v>12</v>
      </c>
      <c r="F404">
        <v>2030</v>
      </c>
      <c r="G404">
        <v>3884.8631839999998</v>
      </c>
      <c r="H404">
        <v>8.0000000000000002E-3</v>
      </c>
      <c r="I404">
        <v>-1</v>
      </c>
    </row>
    <row r="405" spans="1:9" hidden="1" x14ac:dyDescent="0.25">
      <c r="A405" t="s">
        <v>54</v>
      </c>
      <c r="B405" t="s">
        <v>6</v>
      </c>
      <c r="C405" t="s">
        <v>9</v>
      </c>
      <c r="D405" t="s">
        <v>6</v>
      </c>
      <c r="E405" t="s">
        <v>12</v>
      </c>
      <c r="F405">
        <v>2031</v>
      </c>
      <c r="G405">
        <v>4017.943847</v>
      </c>
      <c r="H405">
        <v>8.0000000000000002E-3</v>
      </c>
      <c r="I405">
        <v>-1</v>
      </c>
    </row>
    <row r="406" spans="1:9" hidden="1" x14ac:dyDescent="0.25">
      <c r="A406" t="s">
        <v>54</v>
      </c>
      <c r="B406" t="s">
        <v>6</v>
      </c>
      <c r="C406" t="s">
        <v>9</v>
      </c>
      <c r="D406" t="s">
        <v>6</v>
      </c>
      <c r="E406" t="s">
        <v>12</v>
      </c>
      <c r="F406">
        <v>2032</v>
      </c>
      <c r="G406">
        <v>4155.5833480000001</v>
      </c>
      <c r="H406">
        <v>8.0000000000000002E-3</v>
      </c>
      <c r="I406">
        <v>-1</v>
      </c>
    </row>
    <row r="407" spans="1:9" hidden="1" x14ac:dyDescent="0.25">
      <c r="A407" t="s">
        <v>54</v>
      </c>
      <c r="B407" t="s">
        <v>6</v>
      </c>
      <c r="C407" t="s">
        <v>9</v>
      </c>
      <c r="D407" t="s">
        <v>6</v>
      </c>
      <c r="E407" t="s">
        <v>12</v>
      </c>
      <c r="F407">
        <v>2033</v>
      </c>
      <c r="G407">
        <v>4297.9378559999996</v>
      </c>
      <c r="H407">
        <v>8.0000000000000002E-3</v>
      </c>
      <c r="I407">
        <v>-1</v>
      </c>
    </row>
    <row r="408" spans="1:9" hidden="1" x14ac:dyDescent="0.25">
      <c r="A408" t="s">
        <v>54</v>
      </c>
      <c r="B408" t="s">
        <v>6</v>
      </c>
      <c r="C408" t="s">
        <v>9</v>
      </c>
      <c r="D408" t="s">
        <v>6</v>
      </c>
      <c r="E408" t="s">
        <v>12</v>
      </c>
      <c r="F408">
        <v>2034</v>
      </c>
      <c r="G408">
        <v>4445.1688880000002</v>
      </c>
      <c r="H408">
        <v>8.0000000000000002E-3</v>
      </c>
      <c r="I408">
        <v>-1</v>
      </c>
    </row>
    <row r="409" spans="1:9" hidden="1" x14ac:dyDescent="0.25">
      <c r="A409" t="s">
        <v>54</v>
      </c>
      <c r="B409" t="s">
        <v>6</v>
      </c>
      <c r="C409" t="s">
        <v>9</v>
      </c>
      <c r="D409" t="s">
        <v>6</v>
      </c>
      <c r="E409" t="s">
        <v>12</v>
      </c>
      <c r="F409">
        <v>2035</v>
      </c>
      <c r="G409">
        <v>4597.4434970000002</v>
      </c>
      <c r="H409">
        <v>8.0000000000000002E-3</v>
      </c>
      <c r="I409">
        <v>-1</v>
      </c>
    </row>
    <row r="410" spans="1:9" hidden="1" x14ac:dyDescent="0.25">
      <c r="A410" t="s">
        <v>54</v>
      </c>
      <c r="B410" t="s">
        <v>6</v>
      </c>
      <c r="C410" t="s">
        <v>9</v>
      </c>
      <c r="D410" t="s">
        <v>6</v>
      </c>
      <c r="E410" t="s">
        <v>12</v>
      </c>
      <c r="F410">
        <v>2036</v>
      </c>
      <c r="G410">
        <v>4754.9344549999996</v>
      </c>
      <c r="H410">
        <v>8.0000000000000002E-3</v>
      </c>
      <c r="I410">
        <v>-1</v>
      </c>
    </row>
    <row r="411" spans="1:9" hidden="1" x14ac:dyDescent="0.25">
      <c r="A411" t="s">
        <v>54</v>
      </c>
      <c r="B411" t="s">
        <v>6</v>
      </c>
      <c r="C411" t="s">
        <v>9</v>
      </c>
      <c r="D411" t="s">
        <v>6</v>
      </c>
      <c r="E411" t="s">
        <v>12</v>
      </c>
      <c r="F411">
        <v>2037</v>
      </c>
      <c r="G411">
        <v>4917.8204560000004</v>
      </c>
      <c r="H411">
        <v>8.0000000000000002E-3</v>
      </c>
      <c r="I411">
        <v>-1</v>
      </c>
    </row>
    <row r="412" spans="1:9" hidden="1" x14ac:dyDescent="0.25">
      <c r="A412" t="s">
        <v>54</v>
      </c>
      <c r="B412" t="s">
        <v>6</v>
      </c>
      <c r="C412" t="s">
        <v>9</v>
      </c>
      <c r="D412" t="s">
        <v>6</v>
      </c>
      <c r="E412" t="s">
        <v>12</v>
      </c>
      <c r="F412">
        <v>2038</v>
      </c>
      <c r="G412">
        <v>5086.2863129999996</v>
      </c>
      <c r="H412">
        <v>8.0000000000000002E-3</v>
      </c>
      <c r="I412">
        <v>-1</v>
      </c>
    </row>
    <row r="413" spans="1:9" hidden="1" x14ac:dyDescent="0.25">
      <c r="A413" t="s">
        <v>54</v>
      </c>
      <c r="B413" t="s">
        <v>6</v>
      </c>
      <c r="C413" t="s">
        <v>9</v>
      </c>
      <c r="D413" t="s">
        <v>6</v>
      </c>
      <c r="E413" t="s">
        <v>12</v>
      </c>
      <c r="F413">
        <v>2039</v>
      </c>
      <c r="G413">
        <v>5260.5231709999998</v>
      </c>
      <c r="H413">
        <v>8.0000000000000002E-3</v>
      </c>
      <c r="I413">
        <v>-1</v>
      </c>
    </row>
    <row r="414" spans="1:9" hidden="1" x14ac:dyDescent="0.25">
      <c r="A414" t="s">
        <v>54</v>
      </c>
      <c r="B414" t="s">
        <v>6</v>
      </c>
      <c r="C414" t="s">
        <v>9</v>
      </c>
      <c r="D414" t="s">
        <v>6</v>
      </c>
      <c r="E414" t="s">
        <v>12</v>
      </c>
      <c r="F414">
        <v>2040</v>
      </c>
      <c r="G414">
        <v>5440.7287210000004</v>
      </c>
      <c r="H414">
        <v>8.0000000000000002E-3</v>
      </c>
      <c r="I414">
        <v>-1</v>
      </c>
    </row>
    <row r="415" spans="1:9" hidden="1" x14ac:dyDescent="0.25">
      <c r="A415" t="s">
        <v>54</v>
      </c>
      <c r="B415" t="s">
        <v>6</v>
      </c>
      <c r="C415" t="s">
        <v>9</v>
      </c>
      <c r="D415" t="s">
        <v>6</v>
      </c>
      <c r="E415" t="s">
        <v>12</v>
      </c>
      <c r="F415">
        <v>2041</v>
      </c>
      <c r="G415">
        <v>5627.10743</v>
      </c>
      <c r="H415">
        <v>8.0000000000000002E-3</v>
      </c>
      <c r="I415">
        <v>-1</v>
      </c>
    </row>
    <row r="416" spans="1:9" hidden="1" x14ac:dyDescent="0.25">
      <c r="A416" t="s">
        <v>54</v>
      </c>
      <c r="B416" t="s">
        <v>6</v>
      </c>
      <c r="C416" t="s">
        <v>9</v>
      </c>
      <c r="D416" t="s">
        <v>6</v>
      </c>
      <c r="E416" t="s">
        <v>8</v>
      </c>
      <c r="F416">
        <v>2024</v>
      </c>
      <c r="G416">
        <v>3787.9</v>
      </c>
      <c r="H416">
        <v>8.0000000000000002E-3</v>
      </c>
      <c r="I416">
        <v>-1</v>
      </c>
    </row>
    <row r="417" spans="1:9" hidden="1" x14ac:dyDescent="0.25">
      <c r="A417" t="s">
        <v>54</v>
      </c>
      <c r="B417" t="s">
        <v>6</v>
      </c>
      <c r="C417" t="s">
        <v>9</v>
      </c>
      <c r="D417" t="s">
        <v>6</v>
      </c>
      <c r="E417" t="s">
        <v>8</v>
      </c>
      <c r="F417">
        <v>2025</v>
      </c>
      <c r="G417">
        <v>3917.6590719999999</v>
      </c>
      <c r="H417">
        <v>8.0000000000000002E-3</v>
      </c>
      <c r="I417">
        <v>-1</v>
      </c>
    </row>
    <row r="418" spans="1:9" hidden="1" x14ac:dyDescent="0.25">
      <c r="A418" t="s">
        <v>54</v>
      </c>
      <c r="B418" t="s">
        <v>6</v>
      </c>
      <c r="C418" t="s">
        <v>9</v>
      </c>
      <c r="D418" t="s">
        <v>6</v>
      </c>
      <c r="E418" t="s">
        <v>8</v>
      </c>
      <c r="F418">
        <v>2026</v>
      </c>
      <c r="G418">
        <v>4051.8631970000001</v>
      </c>
      <c r="H418">
        <v>8.0000000000000002E-3</v>
      </c>
      <c r="I418">
        <v>-1</v>
      </c>
    </row>
    <row r="419" spans="1:9" hidden="1" x14ac:dyDescent="0.25">
      <c r="A419" t="s">
        <v>54</v>
      </c>
      <c r="B419" t="s">
        <v>6</v>
      </c>
      <c r="C419" t="s">
        <v>9</v>
      </c>
      <c r="D419" t="s">
        <v>6</v>
      </c>
      <c r="E419" t="s">
        <v>8</v>
      </c>
      <c r="F419">
        <v>2027</v>
      </c>
      <c r="G419">
        <v>4190.6646460000002</v>
      </c>
      <c r="H419">
        <v>8.0000000000000002E-3</v>
      </c>
      <c r="I419">
        <v>-1</v>
      </c>
    </row>
    <row r="420" spans="1:9" hidden="1" x14ac:dyDescent="0.25">
      <c r="A420" t="s">
        <v>54</v>
      </c>
      <c r="B420" t="s">
        <v>6</v>
      </c>
      <c r="C420" t="s">
        <v>9</v>
      </c>
      <c r="D420" t="s">
        <v>6</v>
      </c>
      <c r="E420" t="s">
        <v>8</v>
      </c>
      <c r="F420">
        <v>2028</v>
      </c>
      <c r="G420">
        <v>4334.2209059999996</v>
      </c>
      <c r="H420">
        <v>8.0000000000000002E-3</v>
      </c>
      <c r="I420">
        <v>-1</v>
      </c>
    </row>
    <row r="421" spans="1:9" hidden="1" x14ac:dyDescent="0.25">
      <c r="A421" t="s">
        <v>54</v>
      </c>
      <c r="B421" t="s">
        <v>6</v>
      </c>
      <c r="C421" t="s">
        <v>9</v>
      </c>
      <c r="D421" t="s">
        <v>6</v>
      </c>
      <c r="E421" t="s">
        <v>8</v>
      </c>
      <c r="F421">
        <v>2029</v>
      </c>
      <c r="G421">
        <v>4482.6948579999998</v>
      </c>
      <c r="H421">
        <v>8.0000000000000002E-3</v>
      </c>
      <c r="I421">
        <v>-1</v>
      </c>
    </row>
    <row r="422" spans="1:9" hidden="1" x14ac:dyDescent="0.25">
      <c r="A422" t="s">
        <v>54</v>
      </c>
      <c r="B422" t="s">
        <v>6</v>
      </c>
      <c r="C422" t="s">
        <v>9</v>
      </c>
      <c r="D422" t="s">
        <v>6</v>
      </c>
      <c r="E422" t="s">
        <v>8</v>
      </c>
      <c r="F422">
        <v>2030</v>
      </c>
      <c r="G422">
        <v>4636.2549639999997</v>
      </c>
      <c r="H422">
        <v>8.0000000000000002E-3</v>
      </c>
      <c r="I422">
        <v>-1</v>
      </c>
    </row>
    <row r="423" spans="1:9" hidden="1" x14ac:dyDescent="0.25">
      <c r="A423" t="s">
        <v>54</v>
      </c>
      <c r="B423" t="s">
        <v>6</v>
      </c>
      <c r="C423" t="s">
        <v>9</v>
      </c>
      <c r="D423" t="s">
        <v>6</v>
      </c>
      <c r="E423" t="s">
        <v>8</v>
      </c>
      <c r="F423">
        <v>2031</v>
      </c>
      <c r="G423">
        <v>4795.0754559999996</v>
      </c>
      <c r="H423">
        <v>8.0000000000000002E-3</v>
      </c>
      <c r="I423">
        <v>-1</v>
      </c>
    </row>
    <row r="424" spans="1:9" hidden="1" x14ac:dyDescent="0.25">
      <c r="A424" t="s">
        <v>54</v>
      </c>
      <c r="B424" t="s">
        <v>6</v>
      </c>
      <c r="C424" t="s">
        <v>9</v>
      </c>
      <c r="D424" t="s">
        <v>6</v>
      </c>
      <c r="E424" t="s">
        <v>8</v>
      </c>
      <c r="F424">
        <v>2032</v>
      </c>
      <c r="G424">
        <v>4959.3365350000004</v>
      </c>
      <c r="H424">
        <v>8.0000000000000002E-3</v>
      </c>
      <c r="I424">
        <v>-1</v>
      </c>
    </row>
    <row r="425" spans="1:9" hidden="1" x14ac:dyDescent="0.25">
      <c r="A425" t="s">
        <v>54</v>
      </c>
      <c r="B425" t="s">
        <v>6</v>
      </c>
      <c r="C425" t="s">
        <v>9</v>
      </c>
      <c r="D425" t="s">
        <v>6</v>
      </c>
      <c r="E425" t="s">
        <v>8</v>
      </c>
      <c r="F425">
        <v>2033</v>
      </c>
      <c r="G425">
        <v>5129.2245759999996</v>
      </c>
      <c r="H425">
        <v>8.0000000000000002E-3</v>
      </c>
      <c r="I425">
        <v>-1</v>
      </c>
    </row>
    <row r="426" spans="1:9" hidden="1" x14ac:dyDescent="0.25">
      <c r="A426" t="s">
        <v>54</v>
      </c>
      <c r="B426" t="s">
        <v>6</v>
      </c>
      <c r="C426" t="s">
        <v>9</v>
      </c>
      <c r="D426" t="s">
        <v>6</v>
      </c>
      <c r="E426" t="s">
        <v>8</v>
      </c>
      <c r="F426">
        <v>2034</v>
      </c>
      <c r="G426">
        <v>5304.9323350000004</v>
      </c>
      <c r="H426">
        <v>8.0000000000000002E-3</v>
      </c>
      <c r="I426">
        <v>-1</v>
      </c>
    </row>
    <row r="427" spans="1:9" hidden="1" x14ac:dyDescent="0.25">
      <c r="A427" t="s">
        <v>54</v>
      </c>
      <c r="B427" t="s">
        <v>6</v>
      </c>
      <c r="C427" t="s">
        <v>9</v>
      </c>
      <c r="D427" t="s">
        <v>6</v>
      </c>
      <c r="E427" t="s">
        <v>8</v>
      </c>
      <c r="F427">
        <v>2035</v>
      </c>
      <c r="G427">
        <v>5486.6591749999998</v>
      </c>
      <c r="H427">
        <v>8.0000000000000002E-3</v>
      </c>
      <c r="I427">
        <v>-1</v>
      </c>
    </row>
    <row r="428" spans="1:9" hidden="1" x14ac:dyDescent="0.25">
      <c r="A428" t="s">
        <v>54</v>
      </c>
      <c r="B428" t="s">
        <v>6</v>
      </c>
      <c r="C428" t="s">
        <v>9</v>
      </c>
      <c r="D428" t="s">
        <v>6</v>
      </c>
      <c r="E428" t="s">
        <v>8</v>
      </c>
      <c r="F428">
        <v>2036</v>
      </c>
      <c r="G428">
        <v>5674.6112869999997</v>
      </c>
      <c r="H428">
        <v>8.0000000000000002E-3</v>
      </c>
      <c r="I428">
        <v>-1</v>
      </c>
    </row>
    <row r="429" spans="1:9" hidden="1" x14ac:dyDescent="0.25">
      <c r="A429" t="s">
        <v>54</v>
      </c>
      <c r="B429" t="s">
        <v>6</v>
      </c>
      <c r="C429" t="s">
        <v>9</v>
      </c>
      <c r="D429" t="s">
        <v>6</v>
      </c>
      <c r="E429" t="s">
        <v>8</v>
      </c>
      <c r="F429">
        <v>2037</v>
      </c>
      <c r="G429">
        <v>5869.0019240000001</v>
      </c>
      <c r="H429">
        <v>8.0000000000000002E-3</v>
      </c>
      <c r="I429">
        <v>-1</v>
      </c>
    </row>
    <row r="430" spans="1:9" hidden="1" x14ac:dyDescent="0.25">
      <c r="A430" t="s">
        <v>54</v>
      </c>
      <c r="B430" t="s">
        <v>6</v>
      </c>
      <c r="C430" t="s">
        <v>9</v>
      </c>
      <c r="D430" t="s">
        <v>6</v>
      </c>
      <c r="E430" t="s">
        <v>8</v>
      </c>
      <c r="F430">
        <v>2038</v>
      </c>
      <c r="G430">
        <v>6070.0516459999999</v>
      </c>
      <c r="H430">
        <v>8.0000000000000002E-3</v>
      </c>
      <c r="I430">
        <v>-1</v>
      </c>
    </row>
    <row r="431" spans="1:9" hidden="1" x14ac:dyDescent="0.25">
      <c r="A431" t="s">
        <v>54</v>
      </c>
      <c r="B431" t="s">
        <v>6</v>
      </c>
      <c r="C431" t="s">
        <v>9</v>
      </c>
      <c r="D431" t="s">
        <v>6</v>
      </c>
      <c r="E431" t="s">
        <v>8</v>
      </c>
      <c r="F431">
        <v>2039</v>
      </c>
      <c r="G431">
        <v>6277.9885690000001</v>
      </c>
      <c r="H431">
        <v>8.0000000000000002E-3</v>
      </c>
      <c r="I431">
        <v>-1</v>
      </c>
    </row>
    <row r="432" spans="1:9" hidden="1" x14ac:dyDescent="0.25">
      <c r="A432" t="s">
        <v>54</v>
      </c>
      <c r="B432" t="s">
        <v>6</v>
      </c>
      <c r="C432" t="s">
        <v>9</v>
      </c>
      <c r="D432" t="s">
        <v>6</v>
      </c>
      <c r="E432" t="s">
        <v>8</v>
      </c>
      <c r="F432">
        <v>2040</v>
      </c>
      <c r="G432">
        <v>6493.0486209999999</v>
      </c>
      <c r="H432">
        <v>8.0000000000000002E-3</v>
      </c>
      <c r="I432">
        <v>-1</v>
      </c>
    </row>
    <row r="433" spans="1:9" hidden="1" x14ac:dyDescent="0.25">
      <c r="A433" t="s">
        <v>54</v>
      </c>
      <c r="B433" t="s">
        <v>6</v>
      </c>
      <c r="C433" t="s">
        <v>9</v>
      </c>
      <c r="D433" t="s">
        <v>6</v>
      </c>
      <c r="E433" t="s">
        <v>8</v>
      </c>
      <c r="F433">
        <v>2041</v>
      </c>
      <c r="G433">
        <v>6715.4758140000004</v>
      </c>
      <c r="H433">
        <v>8.0000000000000002E-3</v>
      </c>
      <c r="I433">
        <v>-1</v>
      </c>
    </row>
    <row r="434" spans="1:9" hidden="1" x14ac:dyDescent="0.25">
      <c r="A434" t="s">
        <v>54</v>
      </c>
      <c r="B434" t="s">
        <v>6</v>
      </c>
      <c r="C434" t="s">
        <v>9</v>
      </c>
      <c r="D434" t="s">
        <v>6</v>
      </c>
      <c r="E434" t="s">
        <v>9</v>
      </c>
      <c r="F434">
        <v>2024</v>
      </c>
      <c r="G434">
        <v>797.2</v>
      </c>
      <c r="H434">
        <v>2E-3</v>
      </c>
      <c r="I434">
        <v>-1</v>
      </c>
    </row>
    <row r="435" spans="1:9" hidden="1" x14ac:dyDescent="0.25">
      <c r="A435" t="s">
        <v>54</v>
      </c>
      <c r="B435" t="s">
        <v>6</v>
      </c>
      <c r="C435" t="s">
        <v>9</v>
      </c>
      <c r="D435" t="s">
        <v>6</v>
      </c>
      <c r="E435" t="s">
        <v>9</v>
      </c>
      <c r="F435">
        <v>2025</v>
      </c>
      <c r="G435">
        <v>815.46646629999998</v>
      </c>
      <c r="H435">
        <v>2E-3</v>
      </c>
      <c r="I435">
        <v>-1</v>
      </c>
    </row>
    <row r="436" spans="1:9" hidden="1" x14ac:dyDescent="0.25">
      <c r="A436" t="s">
        <v>54</v>
      </c>
      <c r="B436" t="s">
        <v>6</v>
      </c>
      <c r="C436" t="s">
        <v>9</v>
      </c>
      <c r="D436" t="s">
        <v>6</v>
      </c>
      <c r="E436" t="s">
        <v>9</v>
      </c>
      <c r="F436">
        <v>2026</v>
      </c>
      <c r="G436">
        <v>834.15147730000001</v>
      </c>
      <c r="H436">
        <v>2E-3</v>
      </c>
      <c r="I436">
        <v>-1</v>
      </c>
    </row>
    <row r="437" spans="1:9" hidden="1" x14ac:dyDescent="0.25">
      <c r="A437" t="s">
        <v>54</v>
      </c>
      <c r="B437" t="s">
        <v>6</v>
      </c>
      <c r="C437" t="s">
        <v>9</v>
      </c>
      <c r="D437" t="s">
        <v>6</v>
      </c>
      <c r="E437" t="s">
        <v>9</v>
      </c>
      <c r="F437">
        <v>2027</v>
      </c>
      <c r="G437">
        <v>853.26462309999999</v>
      </c>
      <c r="H437">
        <v>2E-3</v>
      </c>
      <c r="I437">
        <v>-1</v>
      </c>
    </row>
    <row r="438" spans="1:9" hidden="1" x14ac:dyDescent="0.25">
      <c r="A438" t="s">
        <v>54</v>
      </c>
      <c r="B438" t="s">
        <v>6</v>
      </c>
      <c r="C438" t="s">
        <v>9</v>
      </c>
      <c r="D438" t="s">
        <v>6</v>
      </c>
      <c r="E438" t="s">
        <v>9</v>
      </c>
      <c r="F438">
        <v>2028</v>
      </c>
      <c r="G438">
        <v>872.81571380000003</v>
      </c>
      <c r="H438">
        <v>2E-3</v>
      </c>
      <c r="I438">
        <v>-1</v>
      </c>
    </row>
    <row r="439" spans="1:9" hidden="1" x14ac:dyDescent="0.25">
      <c r="A439" t="s">
        <v>54</v>
      </c>
      <c r="B439" t="s">
        <v>6</v>
      </c>
      <c r="C439" t="s">
        <v>9</v>
      </c>
      <c r="D439" t="s">
        <v>6</v>
      </c>
      <c r="E439" t="s">
        <v>9</v>
      </c>
      <c r="F439">
        <v>2029</v>
      </c>
      <c r="G439">
        <v>892.8147841</v>
      </c>
      <c r="H439">
        <v>2E-3</v>
      </c>
      <c r="I439">
        <v>-1</v>
      </c>
    </row>
    <row r="440" spans="1:9" hidden="1" x14ac:dyDescent="0.25">
      <c r="A440" t="s">
        <v>54</v>
      </c>
      <c r="B440" t="s">
        <v>6</v>
      </c>
      <c r="C440" t="s">
        <v>9</v>
      </c>
      <c r="D440" t="s">
        <v>6</v>
      </c>
      <c r="E440" t="s">
        <v>9</v>
      </c>
      <c r="F440">
        <v>2030</v>
      </c>
      <c r="G440">
        <v>913.27209870000002</v>
      </c>
      <c r="H440">
        <v>2E-3</v>
      </c>
      <c r="I440">
        <v>-1</v>
      </c>
    </row>
    <row r="441" spans="1:9" hidden="1" x14ac:dyDescent="0.25">
      <c r="A441" t="s">
        <v>54</v>
      </c>
      <c r="B441" t="s">
        <v>6</v>
      </c>
      <c r="C441" t="s">
        <v>9</v>
      </c>
      <c r="D441" t="s">
        <v>6</v>
      </c>
      <c r="E441" t="s">
        <v>9</v>
      </c>
      <c r="F441">
        <v>2031</v>
      </c>
      <c r="G441">
        <v>934.19815749999998</v>
      </c>
      <c r="H441">
        <v>2E-3</v>
      </c>
      <c r="I441">
        <v>-1</v>
      </c>
    </row>
    <row r="442" spans="1:9" hidden="1" x14ac:dyDescent="0.25">
      <c r="A442" t="s">
        <v>54</v>
      </c>
      <c r="B442" t="s">
        <v>6</v>
      </c>
      <c r="C442" t="s">
        <v>9</v>
      </c>
      <c r="D442" t="s">
        <v>6</v>
      </c>
      <c r="E442" t="s">
        <v>9</v>
      </c>
      <c r="F442">
        <v>2032</v>
      </c>
      <c r="G442">
        <v>955.60370090000004</v>
      </c>
      <c r="H442">
        <v>2E-3</v>
      </c>
      <c r="I442">
        <v>-1</v>
      </c>
    </row>
    <row r="443" spans="1:9" hidden="1" x14ac:dyDescent="0.25">
      <c r="A443" t="s">
        <v>54</v>
      </c>
      <c r="B443" t="s">
        <v>6</v>
      </c>
      <c r="C443" t="s">
        <v>9</v>
      </c>
      <c r="D443" t="s">
        <v>6</v>
      </c>
      <c r="E443" t="s">
        <v>9</v>
      </c>
      <c r="F443">
        <v>2033</v>
      </c>
      <c r="G443">
        <v>977.49971540000001</v>
      </c>
      <c r="H443">
        <v>2E-3</v>
      </c>
      <c r="I443">
        <v>-1</v>
      </c>
    </row>
    <row r="444" spans="1:9" hidden="1" x14ac:dyDescent="0.25">
      <c r="A444" t="s">
        <v>54</v>
      </c>
      <c r="B444" t="s">
        <v>6</v>
      </c>
      <c r="C444" t="s">
        <v>9</v>
      </c>
      <c r="D444" t="s">
        <v>6</v>
      </c>
      <c r="E444" t="s">
        <v>9</v>
      </c>
      <c r="F444">
        <v>2034</v>
      </c>
      <c r="G444">
        <v>999.89743950000002</v>
      </c>
      <c r="H444">
        <v>2E-3</v>
      </c>
      <c r="I444">
        <v>-1</v>
      </c>
    </row>
    <row r="445" spans="1:9" hidden="1" x14ac:dyDescent="0.25">
      <c r="A445" t="s">
        <v>54</v>
      </c>
      <c r="B445" t="s">
        <v>6</v>
      </c>
      <c r="C445" t="s">
        <v>9</v>
      </c>
      <c r="D445" t="s">
        <v>6</v>
      </c>
      <c r="E445" t="s">
        <v>9</v>
      </c>
      <c r="F445">
        <v>2035</v>
      </c>
      <c r="G445">
        <v>1022.808369</v>
      </c>
      <c r="H445">
        <v>2E-3</v>
      </c>
      <c r="I445">
        <v>-1</v>
      </c>
    </row>
    <row r="446" spans="1:9" hidden="1" x14ac:dyDescent="0.25">
      <c r="A446" t="s">
        <v>54</v>
      </c>
      <c r="B446" t="s">
        <v>6</v>
      </c>
      <c r="C446" t="s">
        <v>9</v>
      </c>
      <c r="D446" t="s">
        <v>6</v>
      </c>
      <c r="E446" t="s">
        <v>9</v>
      </c>
      <c r="F446">
        <v>2036</v>
      </c>
      <c r="G446">
        <v>1046.244263</v>
      </c>
      <c r="H446">
        <v>2E-3</v>
      </c>
      <c r="I446">
        <v>-1</v>
      </c>
    </row>
    <row r="447" spans="1:9" hidden="1" x14ac:dyDescent="0.25">
      <c r="A447" t="s">
        <v>54</v>
      </c>
      <c r="B447" t="s">
        <v>6</v>
      </c>
      <c r="C447" t="s">
        <v>9</v>
      </c>
      <c r="D447" t="s">
        <v>6</v>
      </c>
      <c r="E447" t="s">
        <v>9</v>
      </c>
      <c r="F447">
        <v>2037</v>
      </c>
      <c r="G447">
        <v>1070.2171499999999</v>
      </c>
      <c r="H447">
        <v>2E-3</v>
      </c>
      <c r="I447">
        <v>-1</v>
      </c>
    </row>
    <row r="448" spans="1:9" hidden="1" x14ac:dyDescent="0.25">
      <c r="A448" t="s">
        <v>54</v>
      </c>
      <c r="B448" t="s">
        <v>6</v>
      </c>
      <c r="C448" t="s">
        <v>9</v>
      </c>
      <c r="D448" t="s">
        <v>6</v>
      </c>
      <c r="E448" t="s">
        <v>9</v>
      </c>
      <c r="F448">
        <v>2038</v>
      </c>
      <c r="G448">
        <v>1094.7393340000001</v>
      </c>
      <c r="H448">
        <v>2E-3</v>
      </c>
      <c r="I448">
        <v>-1</v>
      </c>
    </row>
    <row r="449" spans="1:9" hidden="1" x14ac:dyDescent="0.25">
      <c r="A449" t="s">
        <v>54</v>
      </c>
      <c r="B449" t="s">
        <v>6</v>
      </c>
      <c r="C449" t="s">
        <v>9</v>
      </c>
      <c r="D449" t="s">
        <v>6</v>
      </c>
      <c r="E449" t="s">
        <v>9</v>
      </c>
      <c r="F449">
        <v>2039</v>
      </c>
      <c r="G449">
        <v>1119.8234030000001</v>
      </c>
      <c r="H449">
        <v>2E-3</v>
      </c>
      <c r="I449">
        <v>-1</v>
      </c>
    </row>
    <row r="450" spans="1:9" hidden="1" x14ac:dyDescent="0.25">
      <c r="A450" t="s">
        <v>54</v>
      </c>
      <c r="B450" t="s">
        <v>6</v>
      </c>
      <c r="C450" t="s">
        <v>9</v>
      </c>
      <c r="D450" t="s">
        <v>6</v>
      </c>
      <c r="E450" t="s">
        <v>9</v>
      </c>
      <c r="F450">
        <v>2040</v>
      </c>
      <c r="G450">
        <v>1145.482229</v>
      </c>
      <c r="H450">
        <v>2E-3</v>
      </c>
      <c r="I450">
        <v>-1</v>
      </c>
    </row>
    <row r="451" spans="1:9" hidden="1" x14ac:dyDescent="0.25">
      <c r="A451" t="s">
        <v>54</v>
      </c>
      <c r="B451" t="s">
        <v>6</v>
      </c>
      <c r="C451" t="s">
        <v>9</v>
      </c>
      <c r="D451" t="s">
        <v>6</v>
      </c>
      <c r="E451" t="s">
        <v>9</v>
      </c>
      <c r="F451">
        <v>2041</v>
      </c>
      <c r="G451">
        <v>1171.7289840000001</v>
      </c>
      <c r="H451">
        <v>2E-3</v>
      </c>
      <c r="I451">
        <v>-1</v>
      </c>
    </row>
    <row r="452" spans="1:9" x14ac:dyDescent="0.25">
      <c r="A452" t="s">
        <v>33</v>
      </c>
      <c r="B452" t="s">
        <v>6</v>
      </c>
      <c r="C452" t="s">
        <v>10</v>
      </c>
      <c r="D452" t="s">
        <v>6</v>
      </c>
      <c r="E452" t="s">
        <v>10</v>
      </c>
      <c r="F452">
        <v>2024</v>
      </c>
      <c r="G452">
        <v>926</v>
      </c>
      <c r="H452">
        <v>2E-3</v>
      </c>
      <c r="I452">
        <v>-1</v>
      </c>
    </row>
    <row r="453" spans="1:9" hidden="1" x14ac:dyDescent="0.25">
      <c r="A453" t="s">
        <v>33</v>
      </c>
      <c r="B453" t="s">
        <v>6</v>
      </c>
      <c r="C453" t="s">
        <v>10</v>
      </c>
      <c r="D453" t="s">
        <v>6</v>
      </c>
      <c r="E453" t="s">
        <v>10</v>
      </c>
      <c r="F453">
        <v>2025</v>
      </c>
      <c r="G453">
        <v>947.21769670000003</v>
      </c>
      <c r="H453">
        <v>2E-3</v>
      </c>
      <c r="I453">
        <v>-1</v>
      </c>
    </row>
    <row r="454" spans="1:9" hidden="1" x14ac:dyDescent="0.25">
      <c r="A454" t="s">
        <v>33</v>
      </c>
      <c r="B454" t="s">
        <v>6</v>
      </c>
      <c r="C454" t="s">
        <v>10</v>
      </c>
      <c r="D454" t="s">
        <v>6</v>
      </c>
      <c r="E454" t="s">
        <v>10</v>
      </c>
      <c r="F454">
        <v>2026</v>
      </c>
      <c r="G454">
        <v>968.92156039999998</v>
      </c>
      <c r="H454">
        <v>2E-3</v>
      </c>
      <c r="I454">
        <v>-1</v>
      </c>
    </row>
    <row r="455" spans="1:9" hidden="1" x14ac:dyDescent="0.25">
      <c r="A455" t="s">
        <v>33</v>
      </c>
      <c r="B455" t="s">
        <v>6</v>
      </c>
      <c r="C455" t="s">
        <v>10</v>
      </c>
      <c r="D455" t="s">
        <v>6</v>
      </c>
      <c r="E455" t="s">
        <v>10</v>
      </c>
      <c r="F455">
        <v>2027</v>
      </c>
      <c r="G455">
        <v>991.1227308</v>
      </c>
      <c r="H455">
        <v>2E-3</v>
      </c>
      <c r="I455">
        <v>-1</v>
      </c>
    </row>
    <row r="456" spans="1:9" hidden="1" x14ac:dyDescent="0.25">
      <c r="A456" t="s">
        <v>33</v>
      </c>
      <c r="B456" t="s">
        <v>6</v>
      </c>
      <c r="C456" t="s">
        <v>10</v>
      </c>
      <c r="D456" t="s">
        <v>6</v>
      </c>
      <c r="E456" t="s">
        <v>10</v>
      </c>
      <c r="F456">
        <v>2028</v>
      </c>
      <c r="G456">
        <v>1013.8326029999999</v>
      </c>
      <c r="H456">
        <v>2E-3</v>
      </c>
      <c r="I456">
        <v>-1</v>
      </c>
    </row>
    <row r="457" spans="1:9" hidden="1" x14ac:dyDescent="0.25">
      <c r="A457" t="s">
        <v>33</v>
      </c>
      <c r="B457" t="s">
        <v>6</v>
      </c>
      <c r="C457" t="s">
        <v>10</v>
      </c>
      <c r="D457" t="s">
        <v>6</v>
      </c>
      <c r="E457" t="s">
        <v>10</v>
      </c>
      <c r="F457">
        <v>2029</v>
      </c>
      <c r="G457">
        <v>1037.062833</v>
      </c>
      <c r="H457">
        <v>2E-3</v>
      </c>
      <c r="I457">
        <v>-1</v>
      </c>
    </row>
    <row r="458" spans="1:9" hidden="1" x14ac:dyDescent="0.25">
      <c r="A458" t="s">
        <v>33</v>
      </c>
      <c r="B458" t="s">
        <v>6</v>
      </c>
      <c r="C458" t="s">
        <v>10</v>
      </c>
      <c r="D458" t="s">
        <v>6</v>
      </c>
      <c r="E458" t="s">
        <v>10</v>
      </c>
      <c r="F458">
        <v>2030</v>
      </c>
      <c r="G458">
        <v>1060.825343</v>
      </c>
      <c r="H458">
        <v>2E-3</v>
      </c>
      <c r="I458">
        <v>-1</v>
      </c>
    </row>
    <row r="459" spans="1:9" hidden="1" x14ac:dyDescent="0.25">
      <c r="A459" t="s">
        <v>33</v>
      </c>
      <c r="B459" t="s">
        <v>6</v>
      </c>
      <c r="C459" t="s">
        <v>10</v>
      </c>
      <c r="D459" t="s">
        <v>6</v>
      </c>
      <c r="E459" t="s">
        <v>10</v>
      </c>
      <c r="F459">
        <v>2031</v>
      </c>
      <c r="G459">
        <v>1085.1323299999999</v>
      </c>
      <c r="H459">
        <v>2E-3</v>
      </c>
      <c r="I459">
        <v>-1</v>
      </c>
    </row>
    <row r="460" spans="1:9" hidden="1" x14ac:dyDescent="0.25">
      <c r="A460" t="s">
        <v>33</v>
      </c>
      <c r="B460" t="s">
        <v>6</v>
      </c>
      <c r="C460" t="s">
        <v>10</v>
      </c>
      <c r="D460" t="s">
        <v>6</v>
      </c>
      <c r="E460" t="s">
        <v>10</v>
      </c>
      <c r="F460">
        <v>2032</v>
      </c>
      <c r="G460">
        <v>1109.996271</v>
      </c>
      <c r="H460">
        <v>2E-3</v>
      </c>
      <c r="I460">
        <v>-1</v>
      </c>
    </row>
    <row r="461" spans="1:9" hidden="1" x14ac:dyDescent="0.25">
      <c r="A461" t="s">
        <v>33</v>
      </c>
      <c r="B461" t="s">
        <v>6</v>
      </c>
      <c r="C461" t="s">
        <v>10</v>
      </c>
      <c r="D461" t="s">
        <v>6</v>
      </c>
      <c r="E461" t="s">
        <v>10</v>
      </c>
      <c r="F461">
        <v>2033</v>
      </c>
      <c r="G461">
        <v>1135.4299249999999</v>
      </c>
      <c r="H461">
        <v>2E-3</v>
      </c>
      <c r="I461">
        <v>-1</v>
      </c>
    </row>
    <row r="462" spans="1:9" hidden="1" x14ac:dyDescent="0.25">
      <c r="A462" t="s">
        <v>33</v>
      </c>
      <c r="B462" t="s">
        <v>6</v>
      </c>
      <c r="C462" t="s">
        <v>10</v>
      </c>
      <c r="D462" t="s">
        <v>6</v>
      </c>
      <c r="E462" t="s">
        <v>10</v>
      </c>
      <c r="F462">
        <v>2034</v>
      </c>
      <c r="G462">
        <v>1161.4463479999999</v>
      </c>
      <c r="H462">
        <v>2E-3</v>
      </c>
      <c r="I462">
        <v>-1</v>
      </c>
    </row>
    <row r="463" spans="1:9" hidden="1" x14ac:dyDescent="0.25">
      <c r="A463" t="s">
        <v>33</v>
      </c>
      <c r="B463" t="s">
        <v>6</v>
      </c>
      <c r="C463" t="s">
        <v>10</v>
      </c>
      <c r="D463" t="s">
        <v>6</v>
      </c>
      <c r="E463" t="s">
        <v>10</v>
      </c>
      <c r="F463">
        <v>2035</v>
      </c>
      <c r="G463">
        <v>1188.0588929999999</v>
      </c>
      <c r="H463">
        <v>2E-3</v>
      </c>
      <c r="I463">
        <v>-1</v>
      </c>
    </row>
    <row r="464" spans="1:9" hidden="1" x14ac:dyDescent="0.25">
      <c r="A464" t="s">
        <v>33</v>
      </c>
      <c r="B464" t="s">
        <v>6</v>
      </c>
      <c r="C464" t="s">
        <v>10</v>
      </c>
      <c r="D464" t="s">
        <v>6</v>
      </c>
      <c r="E464" t="s">
        <v>10</v>
      </c>
      <c r="F464">
        <v>2036</v>
      </c>
      <c r="G464">
        <v>1215.2812180000001</v>
      </c>
      <c r="H464">
        <v>2E-3</v>
      </c>
      <c r="I464">
        <v>-1</v>
      </c>
    </row>
    <row r="465" spans="1:9" hidden="1" x14ac:dyDescent="0.25">
      <c r="A465" t="s">
        <v>33</v>
      </c>
      <c r="B465" t="s">
        <v>6</v>
      </c>
      <c r="C465" t="s">
        <v>10</v>
      </c>
      <c r="D465" t="s">
        <v>6</v>
      </c>
      <c r="E465" t="s">
        <v>10</v>
      </c>
      <c r="F465">
        <v>2037</v>
      </c>
      <c r="G465">
        <v>1243.127297</v>
      </c>
      <c r="H465">
        <v>2E-3</v>
      </c>
      <c r="I465">
        <v>-1</v>
      </c>
    </row>
    <row r="466" spans="1:9" hidden="1" x14ac:dyDescent="0.25">
      <c r="A466" t="s">
        <v>33</v>
      </c>
      <c r="B466" t="s">
        <v>6</v>
      </c>
      <c r="C466" t="s">
        <v>10</v>
      </c>
      <c r="D466" t="s">
        <v>6</v>
      </c>
      <c r="E466" t="s">
        <v>10</v>
      </c>
      <c r="F466">
        <v>2038</v>
      </c>
      <c r="G466">
        <v>1271.61142</v>
      </c>
      <c r="H466">
        <v>2E-3</v>
      </c>
      <c r="I466">
        <v>-1</v>
      </c>
    </row>
    <row r="467" spans="1:9" hidden="1" x14ac:dyDescent="0.25">
      <c r="A467" t="s">
        <v>33</v>
      </c>
      <c r="B467" t="s">
        <v>6</v>
      </c>
      <c r="C467" t="s">
        <v>10</v>
      </c>
      <c r="D467" t="s">
        <v>6</v>
      </c>
      <c r="E467" t="s">
        <v>10</v>
      </c>
      <c r="F467">
        <v>2039</v>
      </c>
      <c r="G467">
        <v>1300.7482070000001</v>
      </c>
      <c r="H467">
        <v>2E-3</v>
      </c>
      <c r="I467">
        <v>-1</v>
      </c>
    </row>
    <row r="468" spans="1:9" hidden="1" x14ac:dyDescent="0.25">
      <c r="A468" t="s">
        <v>33</v>
      </c>
      <c r="B468" t="s">
        <v>6</v>
      </c>
      <c r="C468" t="s">
        <v>10</v>
      </c>
      <c r="D468" t="s">
        <v>6</v>
      </c>
      <c r="E468" t="s">
        <v>10</v>
      </c>
      <c r="F468">
        <v>2040</v>
      </c>
      <c r="G468">
        <v>1330.5526139999999</v>
      </c>
      <c r="H468">
        <v>2E-3</v>
      </c>
      <c r="I468">
        <v>-1</v>
      </c>
    </row>
    <row r="469" spans="1:9" hidden="1" x14ac:dyDescent="0.25">
      <c r="A469" t="s">
        <v>33</v>
      </c>
      <c r="B469" t="s">
        <v>6</v>
      </c>
      <c r="C469" t="s">
        <v>10</v>
      </c>
      <c r="D469" t="s">
        <v>6</v>
      </c>
      <c r="E469" t="s">
        <v>10</v>
      </c>
      <c r="F469">
        <v>2041</v>
      </c>
      <c r="G469">
        <v>1361.0399379999999</v>
      </c>
      <c r="H469">
        <v>2E-3</v>
      </c>
      <c r="I469">
        <v>-1</v>
      </c>
    </row>
    <row r="470" spans="1:9" x14ac:dyDescent="0.25">
      <c r="A470" t="s">
        <v>33</v>
      </c>
      <c r="B470" t="s">
        <v>6</v>
      </c>
      <c r="C470" t="s">
        <v>11</v>
      </c>
      <c r="D470" t="s">
        <v>6</v>
      </c>
      <c r="E470" t="s">
        <v>11</v>
      </c>
      <c r="F470">
        <v>2024</v>
      </c>
      <c r="G470">
        <v>1054.7</v>
      </c>
      <c r="H470">
        <v>2E-3</v>
      </c>
      <c r="I470">
        <v>-1</v>
      </c>
    </row>
    <row r="471" spans="1:9" hidden="1" x14ac:dyDescent="0.25">
      <c r="A471" t="s">
        <v>33</v>
      </c>
      <c r="B471" t="s">
        <v>6</v>
      </c>
      <c r="C471" t="s">
        <v>10</v>
      </c>
      <c r="D471" t="s">
        <v>6</v>
      </c>
      <c r="E471" t="s">
        <v>11</v>
      </c>
      <c r="F471">
        <v>2025</v>
      </c>
      <c r="G471">
        <v>2399.6</v>
      </c>
      <c r="H471">
        <v>8.0000000000000002E-3</v>
      </c>
      <c r="I471">
        <v>-1</v>
      </c>
    </row>
    <row r="472" spans="1:9" hidden="1" x14ac:dyDescent="0.25">
      <c r="A472" t="s">
        <v>33</v>
      </c>
      <c r="B472" t="s">
        <v>6</v>
      </c>
      <c r="C472" t="s">
        <v>10</v>
      </c>
      <c r="D472" t="s">
        <v>6</v>
      </c>
      <c r="E472" t="s">
        <v>11</v>
      </c>
      <c r="F472">
        <v>2026</v>
      </c>
      <c r="G472">
        <v>2399.6</v>
      </c>
      <c r="H472">
        <v>8.0000000000000002E-3</v>
      </c>
      <c r="I472">
        <v>-1</v>
      </c>
    </row>
    <row r="473" spans="1:9" hidden="1" x14ac:dyDescent="0.25">
      <c r="A473" t="s">
        <v>33</v>
      </c>
      <c r="B473" t="s">
        <v>6</v>
      </c>
      <c r="C473" t="s">
        <v>10</v>
      </c>
      <c r="D473" t="s">
        <v>6</v>
      </c>
      <c r="E473" t="s">
        <v>11</v>
      </c>
      <c r="F473">
        <v>2027</v>
      </c>
      <c r="G473">
        <v>2399.6</v>
      </c>
      <c r="H473">
        <v>8.0000000000000002E-3</v>
      </c>
      <c r="I473">
        <v>-1</v>
      </c>
    </row>
    <row r="474" spans="1:9" hidden="1" x14ac:dyDescent="0.25">
      <c r="A474" t="s">
        <v>33</v>
      </c>
      <c r="B474" t="s">
        <v>6</v>
      </c>
      <c r="C474" t="s">
        <v>10</v>
      </c>
      <c r="D474" t="s">
        <v>6</v>
      </c>
      <c r="E474" t="s">
        <v>11</v>
      </c>
      <c r="F474">
        <v>2028</v>
      </c>
      <c r="G474">
        <v>2399.6</v>
      </c>
      <c r="H474">
        <v>8.0000000000000002E-3</v>
      </c>
      <c r="I474">
        <v>-1</v>
      </c>
    </row>
    <row r="475" spans="1:9" hidden="1" x14ac:dyDescent="0.25">
      <c r="A475" t="s">
        <v>33</v>
      </c>
      <c r="B475" t="s">
        <v>6</v>
      </c>
      <c r="C475" t="s">
        <v>10</v>
      </c>
      <c r="D475" t="s">
        <v>6</v>
      </c>
      <c r="E475" t="s">
        <v>11</v>
      </c>
      <c r="F475">
        <v>2029</v>
      </c>
      <c r="G475">
        <v>2399.6</v>
      </c>
      <c r="H475">
        <v>8.0000000000000002E-3</v>
      </c>
      <c r="I475">
        <v>-1</v>
      </c>
    </row>
    <row r="476" spans="1:9" hidden="1" x14ac:dyDescent="0.25">
      <c r="A476" t="s">
        <v>33</v>
      </c>
      <c r="B476" t="s">
        <v>6</v>
      </c>
      <c r="C476" t="s">
        <v>10</v>
      </c>
      <c r="D476" t="s">
        <v>6</v>
      </c>
      <c r="E476" t="s">
        <v>11</v>
      </c>
      <c r="F476">
        <v>2030</v>
      </c>
      <c r="G476">
        <v>2399.6</v>
      </c>
      <c r="H476">
        <v>8.0000000000000002E-3</v>
      </c>
      <c r="I476">
        <v>-1</v>
      </c>
    </row>
    <row r="477" spans="1:9" hidden="1" x14ac:dyDescent="0.25">
      <c r="A477" t="s">
        <v>33</v>
      </c>
      <c r="B477" t="s">
        <v>6</v>
      </c>
      <c r="C477" t="s">
        <v>10</v>
      </c>
      <c r="D477" t="s">
        <v>6</v>
      </c>
      <c r="E477" t="s">
        <v>11</v>
      </c>
      <c r="F477">
        <v>2031</v>
      </c>
      <c r="G477">
        <v>2399.6</v>
      </c>
      <c r="H477">
        <v>8.0000000000000002E-3</v>
      </c>
      <c r="I477">
        <v>-1</v>
      </c>
    </row>
    <row r="478" spans="1:9" hidden="1" x14ac:dyDescent="0.25">
      <c r="A478" t="s">
        <v>33</v>
      </c>
      <c r="B478" t="s">
        <v>6</v>
      </c>
      <c r="C478" t="s">
        <v>10</v>
      </c>
      <c r="D478" t="s">
        <v>6</v>
      </c>
      <c r="E478" t="s">
        <v>11</v>
      </c>
      <c r="F478">
        <v>2032</v>
      </c>
      <c r="G478">
        <v>2399.6</v>
      </c>
      <c r="H478">
        <v>8.0000000000000002E-3</v>
      </c>
      <c r="I478">
        <v>-1</v>
      </c>
    </row>
    <row r="479" spans="1:9" hidden="1" x14ac:dyDescent="0.25">
      <c r="A479" t="s">
        <v>33</v>
      </c>
      <c r="B479" t="s">
        <v>6</v>
      </c>
      <c r="C479" t="s">
        <v>10</v>
      </c>
      <c r="D479" t="s">
        <v>6</v>
      </c>
      <c r="E479" t="s">
        <v>11</v>
      </c>
      <c r="F479">
        <v>2033</v>
      </c>
      <c r="G479">
        <v>2399.6</v>
      </c>
      <c r="H479">
        <v>8.0000000000000002E-3</v>
      </c>
      <c r="I479">
        <v>-1</v>
      </c>
    </row>
    <row r="480" spans="1:9" hidden="1" x14ac:dyDescent="0.25">
      <c r="A480" t="s">
        <v>33</v>
      </c>
      <c r="B480" t="s">
        <v>6</v>
      </c>
      <c r="C480" t="s">
        <v>10</v>
      </c>
      <c r="D480" t="s">
        <v>6</v>
      </c>
      <c r="E480" t="s">
        <v>11</v>
      </c>
      <c r="F480">
        <v>2034</v>
      </c>
      <c r="G480">
        <v>2399.6</v>
      </c>
      <c r="H480">
        <v>8.0000000000000002E-3</v>
      </c>
      <c r="I480">
        <v>-1</v>
      </c>
    </row>
    <row r="481" spans="1:9" hidden="1" x14ac:dyDescent="0.25">
      <c r="A481" t="s">
        <v>33</v>
      </c>
      <c r="B481" t="s">
        <v>6</v>
      </c>
      <c r="C481" t="s">
        <v>10</v>
      </c>
      <c r="D481" t="s">
        <v>6</v>
      </c>
      <c r="E481" t="s">
        <v>11</v>
      </c>
      <c r="F481">
        <v>2035</v>
      </c>
      <c r="G481">
        <v>2399.6</v>
      </c>
      <c r="H481">
        <v>8.0000000000000002E-3</v>
      </c>
      <c r="I481">
        <v>-1</v>
      </c>
    </row>
    <row r="482" spans="1:9" hidden="1" x14ac:dyDescent="0.25">
      <c r="A482" t="s">
        <v>33</v>
      </c>
      <c r="B482" t="s">
        <v>6</v>
      </c>
      <c r="C482" t="s">
        <v>10</v>
      </c>
      <c r="D482" t="s">
        <v>6</v>
      </c>
      <c r="E482" t="s">
        <v>11</v>
      </c>
      <c r="F482">
        <v>2036</v>
      </c>
      <c r="G482">
        <v>2399.6</v>
      </c>
      <c r="H482">
        <v>8.0000000000000002E-3</v>
      </c>
      <c r="I482">
        <v>-1</v>
      </c>
    </row>
    <row r="483" spans="1:9" hidden="1" x14ac:dyDescent="0.25">
      <c r="A483" t="s">
        <v>33</v>
      </c>
      <c r="B483" t="s">
        <v>6</v>
      </c>
      <c r="C483" t="s">
        <v>10</v>
      </c>
      <c r="D483" t="s">
        <v>6</v>
      </c>
      <c r="E483" t="s">
        <v>11</v>
      </c>
      <c r="F483">
        <v>2037</v>
      </c>
      <c r="G483">
        <v>2399.6</v>
      </c>
      <c r="H483">
        <v>8.0000000000000002E-3</v>
      </c>
      <c r="I483">
        <v>-1</v>
      </c>
    </row>
    <row r="484" spans="1:9" hidden="1" x14ac:dyDescent="0.25">
      <c r="A484" t="s">
        <v>33</v>
      </c>
      <c r="B484" t="s">
        <v>6</v>
      </c>
      <c r="C484" t="s">
        <v>10</v>
      </c>
      <c r="D484" t="s">
        <v>6</v>
      </c>
      <c r="E484" t="s">
        <v>11</v>
      </c>
      <c r="F484">
        <v>2038</v>
      </c>
      <c r="G484">
        <v>2399.6</v>
      </c>
      <c r="H484">
        <v>8.0000000000000002E-3</v>
      </c>
      <c r="I484">
        <v>-1</v>
      </c>
    </row>
    <row r="485" spans="1:9" hidden="1" x14ac:dyDescent="0.25">
      <c r="A485" t="s">
        <v>33</v>
      </c>
      <c r="B485" t="s">
        <v>6</v>
      </c>
      <c r="C485" t="s">
        <v>10</v>
      </c>
      <c r="D485" t="s">
        <v>6</v>
      </c>
      <c r="E485" t="s">
        <v>11</v>
      </c>
      <c r="F485">
        <v>2039</v>
      </c>
      <c r="G485">
        <v>2399.6</v>
      </c>
      <c r="H485">
        <v>8.0000000000000002E-3</v>
      </c>
      <c r="I485">
        <v>-1</v>
      </c>
    </row>
    <row r="486" spans="1:9" hidden="1" x14ac:dyDescent="0.25">
      <c r="A486" t="s">
        <v>33</v>
      </c>
      <c r="B486" t="s">
        <v>6</v>
      </c>
      <c r="C486" t="s">
        <v>10</v>
      </c>
      <c r="D486" t="s">
        <v>6</v>
      </c>
      <c r="E486" t="s">
        <v>11</v>
      </c>
      <c r="F486">
        <v>2040</v>
      </c>
      <c r="G486">
        <v>2399.6</v>
      </c>
      <c r="H486">
        <v>8.0000000000000002E-3</v>
      </c>
      <c r="I486">
        <v>-1</v>
      </c>
    </row>
    <row r="487" spans="1:9" hidden="1" x14ac:dyDescent="0.25">
      <c r="A487" t="s">
        <v>33</v>
      </c>
      <c r="B487" t="s">
        <v>6</v>
      </c>
      <c r="C487" t="s">
        <v>10</v>
      </c>
      <c r="D487" t="s">
        <v>6</v>
      </c>
      <c r="E487" t="s">
        <v>11</v>
      </c>
      <c r="F487">
        <v>2041</v>
      </c>
      <c r="G487">
        <v>2399.6</v>
      </c>
      <c r="H487">
        <v>8.0000000000000002E-3</v>
      </c>
      <c r="I487">
        <v>-1</v>
      </c>
    </row>
    <row r="488" spans="1:9" x14ac:dyDescent="0.25">
      <c r="A488" t="s">
        <v>33</v>
      </c>
      <c r="B488" t="s">
        <v>6</v>
      </c>
      <c r="C488" t="s">
        <v>12</v>
      </c>
      <c r="D488" t="s">
        <v>6</v>
      </c>
      <c r="E488" t="s">
        <v>12</v>
      </c>
      <c r="F488">
        <v>2024</v>
      </c>
      <c r="G488">
        <v>926</v>
      </c>
      <c r="H488">
        <v>2E-3</v>
      </c>
      <c r="I488">
        <v>-1</v>
      </c>
    </row>
    <row r="489" spans="1:9" hidden="1" x14ac:dyDescent="0.25">
      <c r="A489" t="s">
        <v>33</v>
      </c>
      <c r="B489" t="s">
        <v>6</v>
      </c>
      <c r="C489" t="s">
        <v>10</v>
      </c>
      <c r="D489" t="s">
        <v>6</v>
      </c>
      <c r="E489" t="s">
        <v>12</v>
      </c>
      <c r="F489">
        <v>2025</v>
      </c>
      <c r="G489">
        <v>2497.6</v>
      </c>
      <c r="H489">
        <v>8.0000000000000002E-3</v>
      </c>
      <c r="I489">
        <v>-1</v>
      </c>
    </row>
    <row r="490" spans="1:9" hidden="1" x14ac:dyDescent="0.25">
      <c r="A490" t="s">
        <v>33</v>
      </c>
      <c r="B490" t="s">
        <v>6</v>
      </c>
      <c r="C490" t="s">
        <v>10</v>
      </c>
      <c r="D490" t="s">
        <v>6</v>
      </c>
      <c r="E490" t="s">
        <v>12</v>
      </c>
      <c r="F490">
        <v>2026</v>
      </c>
      <c r="G490">
        <v>2497.6</v>
      </c>
      <c r="H490">
        <v>8.0000000000000002E-3</v>
      </c>
      <c r="I490">
        <v>-1</v>
      </c>
    </row>
    <row r="491" spans="1:9" hidden="1" x14ac:dyDescent="0.25">
      <c r="A491" t="s">
        <v>33</v>
      </c>
      <c r="B491" t="s">
        <v>6</v>
      </c>
      <c r="C491" t="s">
        <v>10</v>
      </c>
      <c r="D491" t="s">
        <v>6</v>
      </c>
      <c r="E491" t="s">
        <v>12</v>
      </c>
      <c r="F491">
        <v>2027</v>
      </c>
      <c r="G491">
        <v>2497.6</v>
      </c>
      <c r="H491">
        <v>8.0000000000000002E-3</v>
      </c>
      <c r="I491">
        <v>-1</v>
      </c>
    </row>
    <row r="492" spans="1:9" hidden="1" x14ac:dyDescent="0.25">
      <c r="A492" t="s">
        <v>33</v>
      </c>
      <c r="B492" t="s">
        <v>6</v>
      </c>
      <c r="C492" t="s">
        <v>10</v>
      </c>
      <c r="D492" t="s">
        <v>6</v>
      </c>
      <c r="E492" t="s">
        <v>12</v>
      </c>
      <c r="F492">
        <v>2028</v>
      </c>
      <c r="G492">
        <v>2497.6</v>
      </c>
      <c r="H492">
        <v>8.0000000000000002E-3</v>
      </c>
      <c r="I492">
        <v>-1</v>
      </c>
    </row>
    <row r="493" spans="1:9" hidden="1" x14ac:dyDescent="0.25">
      <c r="A493" t="s">
        <v>33</v>
      </c>
      <c r="B493" t="s">
        <v>6</v>
      </c>
      <c r="C493" t="s">
        <v>10</v>
      </c>
      <c r="D493" t="s">
        <v>6</v>
      </c>
      <c r="E493" t="s">
        <v>12</v>
      </c>
      <c r="F493">
        <v>2029</v>
      </c>
      <c r="G493">
        <v>2497.6</v>
      </c>
      <c r="H493">
        <v>8.0000000000000002E-3</v>
      </c>
      <c r="I493">
        <v>-1</v>
      </c>
    </row>
    <row r="494" spans="1:9" hidden="1" x14ac:dyDescent="0.25">
      <c r="A494" t="s">
        <v>33</v>
      </c>
      <c r="B494" t="s">
        <v>6</v>
      </c>
      <c r="C494" t="s">
        <v>10</v>
      </c>
      <c r="D494" t="s">
        <v>6</v>
      </c>
      <c r="E494" t="s">
        <v>12</v>
      </c>
      <c r="F494">
        <v>2030</v>
      </c>
      <c r="G494">
        <v>2497.6</v>
      </c>
      <c r="H494">
        <v>8.0000000000000002E-3</v>
      </c>
      <c r="I494">
        <v>-1</v>
      </c>
    </row>
    <row r="495" spans="1:9" hidden="1" x14ac:dyDescent="0.25">
      <c r="A495" t="s">
        <v>33</v>
      </c>
      <c r="B495" t="s">
        <v>6</v>
      </c>
      <c r="C495" t="s">
        <v>10</v>
      </c>
      <c r="D495" t="s">
        <v>6</v>
      </c>
      <c r="E495" t="s">
        <v>12</v>
      </c>
      <c r="F495">
        <v>2031</v>
      </c>
      <c r="G495">
        <v>2497.6</v>
      </c>
      <c r="H495">
        <v>8.0000000000000002E-3</v>
      </c>
      <c r="I495">
        <v>-1</v>
      </c>
    </row>
    <row r="496" spans="1:9" hidden="1" x14ac:dyDescent="0.25">
      <c r="A496" t="s">
        <v>33</v>
      </c>
      <c r="B496" t="s">
        <v>6</v>
      </c>
      <c r="C496" t="s">
        <v>10</v>
      </c>
      <c r="D496" t="s">
        <v>6</v>
      </c>
      <c r="E496" t="s">
        <v>12</v>
      </c>
      <c r="F496">
        <v>2032</v>
      </c>
      <c r="G496">
        <v>2497.6</v>
      </c>
      <c r="H496">
        <v>8.0000000000000002E-3</v>
      </c>
      <c r="I496">
        <v>-1</v>
      </c>
    </row>
    <row r="497" spans="1:9" hidden="1" x14ac:dyDescent="0.25">
      <c r="A497" t="s">
        <v>33</v>
      </c>
      <c r="B497" t="s">
        <v>6</v>
      </c>
      <c r="C497" t="s">
        <v>10</v>
      </c>
      <c r="D497" t="s">
        <v>6</v>
      </c>
      <c r="E497" t="s">
        <v>12</v>
      </c>
      <c r="F497">
        <v>2033</v>
      </c>
      <c r="G497">
        <v>2497.6</v>
      </c>
      <c r="H497">
        <v>8.0000000000000002E-3</v>
      </c>
      <c r="I497">
        <v>-1</v>
      </c>
    </row>
    <row r="498" spans="1:9" hidden="1" x14ac:dyDescent="0.25">
      <c r="A498" t="s">
        <v>33</v>
      </c>
      <c r="B498" t="s">
        <v>6</v>
      </c>
      <c r="C498" t="s">
        <v>10</v>
      </c>
      <c r="D498" t="s">
        <v>6</v>
      </c>
      <c r="E498" t="s">
        <v>12</v>
      </c>
      <c r="F498">
        <v>2034</v>
      </c>
      <c r="G498">
        <v>2497.6</v>
      </c>
      <c r="H498">
        <v>8.0000000000000002E-3</v>
      </c>
      <c r="I498">
        <v>-1</v>
      </c>
    </row>
    <row r="499" spans="1:9" hidden="1" x14ac:dyDescent="0.25">
      <c r="A499" t="s">
        <v>33</v>
      </c>
      <c r="B499" t="s">
        <v>6</v>
      </c>
      <c r="C499" t="s">
        <v>10</v>
      </c>
      <c r="D499" t="s">
        <v>6</v>
      </c>
      <c r="E499" t="s">
        <v>12</v>
      </c>
      <c r="F499">
        <v>2035</v>
      </c>
      <c r="G499">
        <v>2497.6</v>
      </c>
      <c r="H499">
        <v>8.0000000000000002E-3</v>
      </c>
      <c r="I499">
        <v>-1</v>
      </c>
    </row>
    <row r="500" spans="1:9" hidden="1" x14ac:dyDescent="0.25">
      <c r="A500" t="s">
        <v>33</v>
      </c>
      <c r="B500" t="s">
        <v>6</v>
      </c>
      <c r="C500" t="s">
        <v>10</v>
      </c>
      <c r="D500" t="s">
        <v>6</v>
      </c>
      <c r="E500" t="s">
        <v>12</v>
      </c>
      <c r="F500">
        <v>2036</v>
      </c>
      <c r="G500">
        <v>2497.6</v>
      </c>
      <c r="H500">
        <v>8.0000000000000002E-3</v>
      </c>
      <c r="I500">
        <v>-1</v>
      </c>
    </row>
    <row r="501" spans="1:9" hidden="1" x14ac:dyDescent="0.25">
      <c r="A501" t="s">
        <v>33</v>
      </c>
      <c r="B501" t="s">
        <v>6</v>
      </c>
      <c r="C501" t="s">
        <v>10</v>
      </c>
      <c r="D501" t="s">
        <v>6</v>
      </c>
      <c r="E501" t="s">
        <v>12</v>
      </c>
      <c r="F501">
        <v>2037</v>
      </c>
      <c r="G501">
        <v>2497.6</v>
      </c>
      <c r="H501">
        <v>8.0000000000000002E-3</v>
      </c>
      <c r="I501">
        <v>-1</v>
      </c>
    </row>
    <row r="502" spans="1:9" hidden="1" x14ac:dyDescent="0.25">
      <c r="A502" t="s">
        <v>33</v>
      </c>
      <c r="B502" t="s">
        <v>6</v>
      </c>
      <c r="C502" t="s">
        <v>10</v>
      </c>
      <c r="D502" t="s">
        <v>6</v>
      </c>
      <c r="E502" t="s">
        <v>12</v>
      </c>
      <c r="F502">
        <v>2038</v>
      </c>
      <c r="G502">
        <v>2497.6</v>
      </c>
      <c r="H502">
        <v>8.0000000000000002E-3</v>
      </c>
      <c r="I502">
        <v>-1</v>
      </c>
    </row>
    <row r="503" spans="1:9" hidden="1" x14ac:dyDescent="0.25">
      <c r="A503" t="s">
        <v>33</v>
      </c>
      <c r="B503" t="s">
        <v>6</v>
      </c>
      <c r="C503" t="s">
        <v>10</v>
      </c>
      <c r="D503" t="s">
        <v>6</v>
      </c>
      <c r="E503" t="s">
        <v>12</v>
      </c>
      <c r="F503">
        <v>2039</v>
      </c>
      <c r="G503">
        <v>2497.6</v>
      </c>
      <c r="H503">
        <v>8.0000000000000002E-3</v>
      </c>
      <c r="I503">
        <v>-1</v>
      </c>
    </row>
    <row r="504" spans="1:9" hidden="1" x14ac:dyDescent="0.25">
      <c r="A504" t="s">
        <v>33</v>
      </c>
      <c r="B504" t="s">
        <v>6</v>
      </c>
      <c r="C504" t="s">
        <v>10</v>
      </c>
      <c r="D504" t="s">
        <v>6</v>
      </c>
      <c r="E504" t="s">
        <v>12</v>
      </c>
      <c r="F504">
        <v>2040</v>
      </c>
      <c r="G504">
        <v>2497.6</v>
      </c>
      <c r="H504">
        <v>8.0000000000000002E-3</v>
      </c>
      <c r="I504">
        <v>-1</v>
      </c>
    </row>
    <row r="505" spans="1:9" hidden="1" x14ac:dyDescent="0.25">
      <c r="A505" t="s">
        <v>33</v>
      </c>
      <c r="B505" t="s">
        <v>6</v>
      </c>
      <c r="C505" t="s">
        <v>10</v>
      </c>
      <c r="D505" t="s">
        <v>6</v>
      </c>
      <c r="E505" t="s">
        <v>12</v>
      </c>
      <c r="F505">
        <v>2041</v>
      </c>
      <c r="G505">
        <v>2497.6</v>
      </c>
      <c r="H505">
        <v>8.0000000000000002E-3</v>
      </c>
      <c r="I505">
        <v>-1</v>
      </c>
    </row>
    <row r="506" spans="1:9" x14ac:dyDescent="0.25">
      <c r="A506" t="s">
        <v>33</v>
      </c>
      <c r="B506" t="s">
        <v>6</v>
      </c>
      <c r="C506" t="s">
        <v>8</v>
      </c>
      <c r="D506" t="s">
        <v>6</v>
      </c>
      <c r="E506" t="s">
        <v>8</v>
      </c>
      <c r="F506">
        <v>2024</v>
      </c>
      <c r="G506">
        <v>926</v>
      </c>
      <c r="H506">
        <v>2E-3</v>
      </c>
      <c r="I506">
        <v>-1</v>
      </c>
    </row>
    <row r="507" spans="1:9" hidden="1" x14ac:dyDescent="0.25">
      <c r="A507" t="s">
        <v>33</v>
      </c>
      <c r="B507" t="s">
        <v>6</v>
      </c>
      <c r="C507" t="s">
        <v>10</v>
      </c>
      <c r="D507" t="s">
        <v>6</v>
      </c>
      <c r="E507" t="s">
        <v>8</v>
      </c>
      <c r="F507">
        <v>2025</v>
      </c>
      <c r="G507">
        <v>2785.7786379999998</v>
      </c>
      <c r="H507">
        <v>8.0000000000000002E-3</v>
      </c>
      <c r="I507">
        <v>-1</v>
      </c>
    </row>
    <row r="508" spans="1:9" hidden="1" x14ac:dyDescent="0.25">
      <c r="A508" t="s">
        <v>33</v>
      </c>
      <c r="B508" t="s">
        <v>6</v>
      </c>
      <c r="C508" t="s">
        <v>10</v>
      </c>
      <c r="D508" t="s">
        <v>6</v>
      </c>
      <c r="E508" t="s">
        <v>8</v>
      </c>
      <c r="F508">
        <v>2026</v>
      </c>
      <c r="G508">
        <v>2794.8869589999999</v>
      </c>
      <c r="H508">
        <v>8.0000000000000002E-3</v>
      </c>
      <c r="I508">
        <v>-1</v>
      </c>
    </row>
    <row r="509" spans="1:9" hidden="1" x14ac:dyDescent="0.25">
      <c r="A509" t="s">
        <v>33</v>
      </c>
      <c r="B509" t="s">
        <v>6</v>
      </c>
      <c r="C509" t="s">
        <v>10</v>
      </c>
      <c r="D509" t="s">
        <v>6</v>
      </c>
      <c r="E509" t="s">
        <v>8</v>
      </c>
      <c r="F509">
        <v>2027</v>
      </c>
      <c r="G509">
        <v>2804.0250609999998</v>
      </c>
      <c r="H509">
        <v>8.0000000000000002E-3</v>
      </c>
      <c r="I509">
        <v>-1</v>
      </c>
    </row>
    <row r="510" spans="1:9" hidden="1" x14ac:dyDescent="0.25">
      <c r="A510" t="s">
        <v>33</v>
      </c>
      <c r="B510" t="s">
        <v>6</v>
      </c>
      <c r="C510" t="s">
        <v>10</v>
      </c>
      <c r="D510" t="s">
        <v>6</v>
      </c>
      <c r="E510" t="s">
        <v>8</v>
      </c>
      <c r="F510">
        <v>2028</v>
      </c>
      <c r="G510">
        <v>2813.1930400000001</v>
      </c>
      <c r="H510">
        <v>8.0000000000000002E-3</v>
      </c>
      <c r="I510">
        <v>-1</v>
      </c>
    </row>
    <row r="511" spans="1:9" hidden="1" x14ac:dyDescent="0.25">
      <c r="A511" t="s">
        <v>33</v>
      </c>
      <c r="B511" t="s">
        <v>6</v>
      </c>
      <c r="C511" t="s">
        <v>10</v>
      </c>
      <c r="D511" t="s">
        <v>6</v>
      </c>
      <c r="E511" t="s">
        <v>8</v>
      </c>
      <c r="F511">
        <v>2029</v>
      </c>
      <c r="G511">
        <v>2822.3909950000002</v>
      </c>
      <c r="H511">
        <v>8.0000000000000002E-3</v>
      </c>
      <c r="I511">
        <v>-1</v>
      </c>
    </row>
    <row r="512" spans="1:9" hidden="1" x14ac:dyDescent="0.25">
      <c r="A512" t="s">
        <v>33</v>
      </c>
      <c r="B512" t="s">
        <v>6</v>
      </c>
      <c r="C512" t="s">
        <v>10</v>
      </c>
      <c r="D512" t="s">
        <v>6</v>
      </c>
      <c r="E512" t="s">
        <v>8</v>
      </c>
      <c r="F512">
        <v>2030</v>
      </c>
      <c r="G512">
        <v>2831.6190230000002</v>
      </c>
      <c r="H512">
        <v>8.0000000000000002E-3</v>
      </c>
      <c r="I512">
        <v>-1</v>
      </c>
    </row>
    <row r="513" spans="1:9" hidden="1" x14ac:dyDescent="0.25">
      <c r="A513" t="s">
        <v>33</v>
      </c>
      <c r="B513" t="s">
        <v>6</v>
      </c>
      <c r="C513" t="s">
        <v>10</v>
      </c>
      <c r="D513" t="s">
        <v>6</v>
      </c>
      <c r="E513" t="s">
        <v>8</v>
      </c>
      <c r="F513">
        <v>2031</v>
      </c>
      <c r="G513">
        <v>2840.877223</v>
      </c>
      <c r="H513">
        <v>8.0000000000000002E-3</v>
      </c>
      <c r="I513">
        <v>-1</v>
      </c>
    </row>
    <row r="514" spans="1:9" hidden="1" x14ac:dyDescent="0.25">
      <c r="A514" t="s">
        <v>33</v>
      </c>
      <c r="B514" t="s">
        <v>6</v>
      </c>
      <c r="C514" t="s">
        <v>10</v>
      </c>
      <c r="D514" t="s">
        <v>6</v>
      </c>
      <c r="E514" t="s">
        <v>8</v>
      </c>
      <c r="F514">
        <v>2032</v>
      </c>
      <c r="G514">
        <v>2850.1656929999999</v>
      </c>
      <c r="H514">
        <v>8.0000000000000002E-3</v>
      </c>
      <c r="I514">
        <v>-1</v>
      </c>
    </row>
    <row r="515" spans="1:9" hidden="1" x14ac:dyDescent="0.25">
      <c r="A515" t="s">
        <v>33</v>
      </c>
      <c r="B515" t="s">
        <v>6</v>
      </c>
      <c r="C515" t="s">
        <v>10</v>
      </c>
      <c r="D515" t="s">
        <v>6</v>
      </c>
      <c r="E515" t="s">
        <v>8</v>
      </c>
      <c r="F515">
        <v>2033</v>
      </c>
      <c r="G515">
        <v>2859.4845329999998</v>
      </c>
      <c r="H515">
        <v>8.0000000000000002E-3</v>
      </c>
      <c r="I515">
        <v>-1</v>
      </c>
    </row>
    <row r="516" spans="1:9" hidden="1" x14ac:dyDescent="0.25">
      <c r="A516" t="s">
        <v>33</v>
      </c>
      <c r="B516" t="s">
        <v>6</v>
      </c>
      <c r="C516" t="s">
        <v>10</v>
      </c>
      <c r="D516" t="s">
        <v>6</v>
      </c>
      <c r="E516" t="s">
        <v>8</v>
      </c>
      <c r="F516">
        <v>2034</v>
      </c>
      <c r="G516">
        <v>2868.8338410000001</v>
      </c>
      <c r="H516">
        <v>8.0000000000000002E-3</v>
      </c>
      <c r="I516">
        <v>-1</v>
      </c>
    </row>
    <row r="517" spans="1:9" hidden="1" x14ac:dyDescent="0.25">
      <c r="A517" t="s">
        <v>33</v>
      </c>
      <c r="B517" t="s">
        <v>6</v>
      </c>
      <c r="C517" t="s">
        <v>10</v>
      </c>
      <c r="D517" t="s">
        <v>6</v>
      </c>
      <c r="E517" t="s">
        <v>8</v>
      </c>
      <c r="F517">
        <v>2035</v>
      </c>
      <c r="G517">
        <v>2878.213718</v>
      </c>
      <c r="H517">
        <v>8.0000000000000002E-3</v>
      </c>
      <c r="I517">
        <v>-1</v>
      </c>
    </row>
    <row r="518" spans="1:9" hidden="1" x14ac:dyDescent="0.25">
      <c r="A518" t="s">
        <v>33</v>
      </c>
      <c r="B518" t="s">
        <v>6</v>
      </c>
      <c r="C518" t="s">
        <v>10</v>
      </c>
      <c r="D518" t="s">
        <v>6</v>
      </c>
      <c r="E518" t="s">
        <v>8</v>
      </c>
      <c r="F518">
        <v>2036</v>
      </c>
      <c r="G518">
        <v>2887.6242630000002</v>
      </c>
      <c r="H518">
        <v>8.0000000000000002E-3</v>
      </c>
      <c r="I518">
        <v>-1</v>
      </c>
    </row>
    <row r="519" spans="1:9" hidden="1" x14ac:dyDescent="0.25">
      <c r="A519" t="s">
        <v>33</v>
      </c>
      <c r="B519" t="s">
        <v>6</v>
      </c>
      <c r="C519" t="s">
        <v>10</v>
      </c>
      <c r="D519" t="s">
        <v>6</v>
      </c>
      <c r="E519" t="s">
        <v>8</v>
      </c>
      <c r="F519">
        <v>2037</v>
      </c>
      <c r="G519">
        <v>2897.065576</v>
      </c>
      <c r="H519">
        <v>8.0000000000000002E-3</v>
      </c>
      <c r="I519">
        <v>-1</v>
      </c>
    </row>
    <row r="520" spans="1:9" hidden="1" x14ac:dyDescent="0.25">
      <c r="A520" t="s">
        <v>33</v>
      </c>
      <c r="B520" t="s">
        <v>6</v>
      </c>
      <c r="C520" t="s">
        <v>10</v>
      </c>
      <c r="D520" t="s">
        <v>6</v>
      </c>
      <c r="E520" t="s">
        <v>8</v>
      </c>
      <c r="F520">
        <v>2038</v>
      </c>
      <c r="G520">
        <v>2906.5377589999998</v>
      </c>
      <c r="H520">
        <v>8.0000000000000002E-3</v>
      </c>
      <c r="I520">
        <v>-1</v>
      </c>
    </row>
    <row r="521" spans="1:9" hidden="1" x14ac:dyDescent="0.25">
      <c r="A521" t="s">
        <v>33</v>
      </c>
      <c r="B521" t="s">
        <v>6</v>
      </c>
      <c r="C521" t="s">
        <v>10</v>
      </c>
      <c r="D521" t="s">
        <v>6</v>
      </c>
      <c r="E521" t="s">
        <v>8</v>
      </c>
      <c r="F521">
        <v>2039</v>
      </c>
      <c r="G521">
        <v>2916.0409119999999</v>
      </c>
      <c r="H521">
        <v>8.0000000000000002E-3</v>
      </c>
      <c r="I521">
        <v>-1</v>
      </c>
    </row>
    <row r="522" spans="1:9" hidden="1" x14ac:dyDescent="0.25">
      <c r="A522" t="s">
        <v>33</v>
      </c>
      <c r="B522" t="s">
        <v>6</v>
      </c>
      <c r="C522" t="s">
        <v>10</v>
      </c>
      <c r="D522" t="s">
        <v>6</v>
      </c>
      <c r="E522" t="s">
        <v>8</v>
      </c>
      <c r="F522">
        <v>2040</v>
      </c>
      <c r="G522">
        <v>2925.5751359999999</v>
      </c>
      <c r="H522">
        <v>8.0000000000000002E-3</v>
      </c>
      <c r="I522">
        <v>-1</v>
      </c>
    </row>
    <row r="523" spans="1:9" hidden="1" x14ac:dyDescent="0.25">
      <c r="A523" t="s">
        <v>33</v>
      </c>
      <c r="B523" t="s">
        <v>6</v>
      </c>
      <c r="C523" t="s">
        <v>10</v>
      </c>
      <c r="D523" t="s">
        <v>6</v>
      </c>
      <c r="E523" t="s">
        <v>8</v>
      </c>
      <c r="F523">
        <v>2041</v>
      </c>
      <c r="G523">
        <v>2935.1405319999999</v>
      </c>
      <c r="H523">
        <v>8.0000000000000002E-3</v>
      </c>
      <c r="I523">
        <v>-1</v>
      </c>
    </row>
    <row r="524" spans="1:9" x14ac:dyDescent="0.25">
      <c r="A524" t="s">
        <v>33</v>
      </c>
      <c r="B524" t="s">
        <v>6</v>
      </c>
      <c r="C524" t="s">
        <v>9</v>
      </c>
      <c r="D524" t="s">
        <v>6</v>
      </c>
      <c r="E524" t="s">
        <v>9</v>
      </c>
      <c r="F524">
        <v>2024</v>
      </c>
      <c r="G524">
        <v>797.2</v>
      </c>
      <c r="H524">
        <v>2E-3</v>
      </c>
      <c r="I524">
        <v>-1</v>
      </c>
    </row>
    <row r="525" spans="1:9" hidden="1" x14ac:dyDescent="0.25">
      <c r="A525" t="s">
        <v>33</v>
      </c>
      <c r="B525" t="s">
        <v>6</v>
      </c>
      <c r="C525" t="s">
        <v>10</v>
      </c>
      <c r="D525" t="s">
        <v>6</v>
      </c>
      <c r="E525" t="s">
        <v>9</v>
      </c>
      <c r="F525">
        <v>2025</v>
      </c>
      <c r="G525">
        <v>2497.6</v>
      </c>
      <c r="H525">
        <v>8.0000000000000002E-3</v>
      </c>
      <c r="I525">
        <v>-1</v>
      </c>
    </row>
    <row r="526" spans="1:9" hidden="1" x14ac:dyDescent="0.25">
      <c r="A526" t="s">
        <v>33</v>
      </c>
      <c r="B526" t="s">
        <v>6</v>
      </c>
      <c r="C526" t="s">
        <v>10</v>
      </c>
      <c r="D526" t="s">
        <v>6</v>
      </c>
      <c r="E526" t="s">
        <v>9</v>
      </c>
      <c r="F526">
        <v>2026</v>
      </c>
      <c r="G526">
        <v>2497.6</v>
      </c>
      <c r="H526">
        <v>8.0000000000000002E-3</v>
      </c>
      <c r="I526">
        <v>-1</v>
      </c>
    </row>
    <row r="527" spans="1:9" hidden="1" x14ac:dyDescent="0.25">
      <c r="A527" t="s">
        <v>33</v>
      </c>
      <c r="B527" t="s">
        <v>6</v>
      </c>
      <c r="C527" t="s">
        <v>10</v>
      </c>
      <c r="D527" t="s">
        <v>6</v>
      </c>
      <c r="E527" t="s">
        <v>9</v>
      </c>
      <c r="F527">
        <v>2027</v>
      </c>
      <c r="G527">
        <v>2497.6</v>
      </c>
      <c r="H527">
        <v>8.0000000000000002E-3</v>
      </c>
      <c r="I527">
        <v>-1</v>
      </c>
    </row>
    <row r="528" spans="1:9" hidden="1" x14ac:dyDescent="0.25">
      <c r="A528" t="s">
        <v>33</v>
      </c>
      <c r="B528" t="s">
        <v>6</v>
      </c>
      <c r="C528" t="s">
        <v>10</v>
      </c>
      <c r="D528" t="s">
        <v>6</v>
      </c>
      <c r="E528" t="s">
        <v>9</v>
      </c>
      <c r="F528">
        <v>2028</v>
      </c>
      <c r="G528">
        <v>2497.6</v>
      </c>
      <c r="H528">
        <v>8.0000000000000002E-3</v>
      </c>
      <c r="I528">
        <v>-1</v>
      </c>
    </row>
    <row r="529" spans="1:9" hidden="1" x14ac:dyDescent="0.25">
      <c r="A529" t="s">
        <v>33</v>
      </c>
      <c r="B529" t="s">
        <v>6</v>
      </c>
      <c r="C529" t="s">
        <v>10</v>
      </c>
      <c r="D529" t="s">
        <v>6</v>
      </c>
      <c r="E529" t="s">
        <v>9</v>
      </c>
      <c r="F529">
        <v>2029</v>
      </c>
      <c r="G529">
        <v>2497.6</v>
      </c>
      <c r="H529">
        <v>8.0000000000000002E-3</v>
      </c>
      <c r="I529">
        <v>-1</v>
      </c>
    </row>
    <row r="530" spans="1:9" hidden="1" x14ac:dyDescent="0.25">
      <c r="A530" t="s">
        <v>33</v>
      </c>
      <c r="B530" t="s">
        <v>6</v>
      </c>
      <c r="C530" t="s">
        <v>10</v>
      </c>
      <c r="D530" t="s">
        <v>6</v>
      </c>
      <c r="E530" t="s">
        <v>9</v>
      </c>
      <c r="F530">
        <v>2030</v>
      </c>
      <c r="G530">
        <v>2497.6</v>
      </c>
      <c r="H530">
        <v>8.0000000000000002E-3</v>
      </c>
      <c r="I530">
        <v>-1</v>
      </c>
    </row>
    <row r="531" spans="1:9" hidden="1" x14ac:dyDescent="0.25">
      <c r="A531" t="s">
        <v>33</v>
      </c>
      <c r="B531" t="s">
        <v>6</v>
      </c>
      <c r="C531" t="s">
        <v>10</v>
      </c>
      <c r="D531" t="s">
        <v>6</v>
      </c>
      <c r="E531" t="s">
        <v>9</v>
      </c>
      <c r="F531">
        <v>2031</v>
      </c>
      <c r="G531">
        <v>2497.6</v>
      </c>
      <c r="H531">
        <v>8.0000000000000002E-3</v>
      </c>
      <c r="I531">
        <v>-1</v>
      </c>
    </row>
    <row r="532" spans="1:9" hidden="1" x14ac:dyDescent="0.25">
      <c r="A532" t="s">
        <v>33</v>
      </c>
      <c r="B532" t="s">
        <v>6</v>
      </c>
      <c r="C532" t="s">
        <v>10</v>
      </c>
      <c r="D532" t="s">
        <v>6</v>
      </c>
      <c r="E532" t="s">
        <v>9</v>
      </c>
      <c r="F532">
        <v>2032</v>
      </c>
      <c r="G532">
        <v>2497.6</v>
      </c>
      <c r="H532">
        <v>8.0000000000000002E-3</v>
      </c>
      <c r="I532">
        <v>-1</v>
      </c>
    </row>
    <row r="533" spans="1:9" hidden="1" x14ac:dyDescent="0.25">
      <c r="A533" t="s">
        <v>33</v>
      </c>
      <c r="B533" t="s">
        <v>6</v>
      </c>
      <c r="C533" t="s">
        <v>10</v>
      </c>
      <c r="D533" t="s">
        <v>6</v>
      </c>
      <c r="E533" t="s">
        <v>9</v>
      </c>
      <c r="F533">
        <v>2033</v>
      </c>
      <c r="G533">
        <v>2497.6</v>
      </c>
      <c r="H533">
        <v>8.0000000000000002E-3</v>
      </c>
      <c r="I533">
        <v>-1</v>
      </c>
    </row>
    <row r="534" spans="1:9" hidden="1" x14ac:dyDescent="0.25">
      <c r="A534" t="s">
        <v>33</v>
      </c>
      <c r="B534" t="s">
        <v>6</v>
      </c>
      <c r="C534" t="s">
        <v>10</v>
      </c>
      <c r="D534" t="s">
        <v>6</v>
      </c>
      <c r="E534" t="s">
        <v>9</v>
      </c>
      <c r="F534">
        <v>2034</v>
      </c>
      <c r="G534">
        <v>2497.6</v>
      </c>
      <c r="H534">
        <v>8.0000000000000002E-3</v>
      </c>
      <c r="I534">
        <v>-1</v>
      </c>
    </row>
    <row r="535" spans="1:9" hidden="1" x14ac:dyDescent="0.25">
      <c r="A535" t="s">
        <v>33</v>
      </c>
      <c r="B535" t="s">
        <v>6</v>
      </c>
      <c r="C535" t="s">
        <v>10</v>
      </c>
      <c r="D535" t="s">
        <v>6</v>
      </c>
      <c r="E535" t="s">
        <v>9</v>
      </c>
      <c r="F535">
        <v>2035</v>
      </c>
      <c r="G535">
        <v>2497.6</v>
      </c>
      <c r="H535">
        <v>8.0000000000000002E-3</v>
      </c>
      <c r="I535">
        <v>-1</v>
      </c>
    </row>
    <row r="536" spans="1:9" hidden="1" x14ac:dyDescent="0.25">
      <c r="A536" t="s">
        <v>33</v>
      </c>
      <c r="B536" t="s">
        <v>6</v>
      </c>
      <c r="C536" t="s">
        <v>10</v>
      </c>
      <c r="D536" t="s">
        <v>6</v>
      </c>
      <c r="E536" t="s">
        <v>9</v>
      </c>
      <c r="F536">
        <v>2036</v>
      </c>
      <c r="G536">
        <v>2497.6</v>
      </c>
      <c r="H536">
        <v>8.0000000000000002E-3</v>
      </c>
      <c r="I536">
        <v>-1</v>
      </c>
    </row>
    <row r="537" spans="1:9" hidden="1" x14ac:dyDescent="0.25">
      <c r="A537" t="s">
        <v>33</v>
      </c>
      <c r="B537" t="s">
        <v>6</v>
      </c>
      <c r="C537" t="s">
        <v>10</v>
      </c>
      <c r="D537" t="s">
        <v>6</v>
      </c>
      <c r="E537" t="s">
        <v>9</v>
      </c>
      <c r="F537">
        <v>2037</v>
      </c>
      <c r="G537">
        <v>2497.6</v>
      </c>
      <c r="H537">
        <v>8.0000000000000002E-3</v>
      </c>
      <c r="I537">
        <v>-1</v>
      </c>
    </row>
    <row r="538" spans="1:9" hidden="1" x14ac:dyDescent="0.25">
      <c r="A538" t="s">
        <v>33</v>
      </c>
      <c r="B538" t="s">
        <v>6</v>
      </c>
      <c r="C538" t="s">
        <v>10</v>
      </c>
      <c r="D538" t="s">
        <v>6</v>
      </c>
      <c r="E538" t="s">
        <v>9</v>
      </c>
      <c r="F538">
        <v>2038</v>
      </c>
      <c r="G538">
        <v>2497.6</v>
      </c>
      <c r="H538">
        <v>8.0000000000000002E-3</v>
      </c>
      <c r="I538">
        <v>-1</v>
      </c>
    </row>
    <row r="539" spans="1:9" hidden="1" x14ac:dyDescent="0.25">
      <c r="A539" t="s">
        <v>33</v>
      </c>
      <c r="B539" t="s">
        <v>6</v>
      </c>
      <c r="C539" t="s">
        <v>10</v>
      </c>
      <c r="D539" t="s">
        <v>6</v>
      </c>
      <c r="E539" t="s">
        <v>9</v>
      </c>
      <c r="F539">
        <v>2039</v>
      </c>
      <c r="G539">
        <v>2497.6</v>
      </c>
      <c r="H539">
        <v>8.0000000000000002E-3</v>
      </c>
      <c r="I539">
        <v>-1</v>
      </c>
    </row>
    <row r="540" spans="1:9" hidden="1" x14ac:dyDescent="0.25">
      <c r="A540" t="s">
        <v>33</v>
      </c>
      <c r="B540" t="s">
        <v>6</v>
      </c>
      <c r="C540" t="s">
        <v>10</v>
      </c>
      <c r="D540" t="s">
        <v>6</v>
      </c>
      <c r="E540" t="s">
        <v>9</v>
      </c>
      <c r="F540">
        <v>2040</v>
      </c>
      <c r="G540">
        <v>2497.6</v>
      </c>
      <c r="H540">
        <v>8.0000000000000002E-3</v>
      </c>
      <c r="I540">
        <v>-1</v>
      </c>
    </row>
    <row r="541" spans="1:9" hidden="1" x14ac:dyDescent="0.25">
      <c r="A541" t="s">
        <v>33</v>
      </c>
      <c r="B541" t="s">
        <v>6</v>
      </c>
      <c r="C541" t="s">
        <v>10</v>
      </c>
      <c r="D541" t="s">
        <v>6</v>
      </c>
      <c r="E541" t="s">
        <v>9</v>
      </c>
      <c r="F541">
        <v>2041</v>
      </c>
      <c r="G541">
        <v>2497.6</v>
      </c>
      <c r="H541">
        <v>8.0000000000000002E-3</v>
      </c>
      <c r="I541">
        <v>-1</v>
      </c>
    </row>
    <row r="542" spans="1:9" x14ac:dyDescent="0.25">
      <c r="A542" t="s">
        <v>33</v>
      </c>
      <c r="B542" t="s">
        <v>6</v>
      </c>
      <c r="C542" t="s">
        <v>10</v>
      </c>
      <c r="D542" t="s">
        <v>6</v>
      </c>
      <c r="E542" t="s">
        <v>11</v>
      </c>
      <c r="F542">
        <v>2024</v>
      </c>
      <c r="G542">
        <v>2399.6</v>
      </c>
      <c r="H542">
        <v>8.0000000000000002E-3</v>
      </c>
      <c r="I542">
        <v>-1</v>
      </c>
    </row>
    <row r="543" spans="1:9" hidden="1" x14ac:dyDescent="0.25">
      <c r="A543" t="s">
        <v>33</v>
      </c>
      <c r="B543" t="s">
        <v>6</v>
      </c>
      <c r="C543" t="s">
        <v>11</v>
      </c>
      <c r="D543" t="s">
        <v>6</v>
      </c>
      <c r="E543" t="s">
        <v>10</v>
      </c>
      <c r="F543">
        <v>2025</v>
      </c>
      <c r="G543">
        <v>2399.6</v>
      </c>
      <c r="H543">
        <v>8.0000000000000002E-3</v>
      </c>
      <c r="I543">
        <v>-1</v>
      </c>
    </row>
    <row r="544" spans="1:9" hidden="1" x14ac:dyDescent="0.25">
      <c r="A544" t="s">
        <v>33</v>
      </c>
      <c r="B544" t="s">
        <v>6</v>
      </c>
      <c r="C544" t="s">
        <v>11</v>
      </c>
      <c r="D544" t="s">
        <v>6</v>
      </c>
      <c r="E544" t="s">
        <v>10</v>
      </c>
      <c r="F544">
        <v>2026</v>
      </c>
      <c r="G544">
        <v>2399.6</v>
      </c>
      <c r="H544">
        <v>8.0000000000000002E-3</v>
      </c>
      <c r="I544">
        <v>-1</v>
      </c>
    </row>
    <row r="545" spans="1:9" hidden="1" x14ac:dyDescent="0.25">
      <c r="A545" t="s">
        <v>33</v>
      </c>
      <c r="B545" t="s">
        <v>6</v>
      </c>
      <c r="C545" t="s">
        <v>11</v>
      </c>
      <c r="D545" t="s">
        <v>6</v>
      </c>
      <c r="E545" t="s">
        <v>10</v>
      </c>
      <c r="F545">
        <v>2027</v>
      </c>
      <c r="G545">
        <v>2399.6</v>
      </c>
      <c r="H545">
        <v>8.0000000000000002E-3</v>
      </c>
      <c r="I545">
        <v>-1</v>
      </c>
    </row>
    <row r="546" spans="1:9" hidden="1" x14ac:dyDescent="0.25">
      <c r="A546" t="s">
        <v>33</v>
      </c>
      <c r="B546" t="s">
        <v>6</v>
      </c>
      <c r="C546" t="s">
        <v>11</v>
      </c>
      <c r="D546" t="s">
        <v>6</v>
      </c>
      <c r="E546" t="s">
        <v>10</v>
      </c>
      <c r="F546">
        <v>2028</v>
      </c>
      <c r="G546">
        <v>2399.6</v>
      </c>
      <c r="H546">
        <v>8.0000000000000002E-3</v>
      </c>
      <c r="I546">
        <v>-1</v>
      </c>
    </row>
    <row r="547" spans="1:9" hidden="1" x14ac:dyDescent="0.25">
      <c r="A547" t="s">
        <v>33</v>
      </c>
      <c r="B547" t="s">
        <v>6</v>
      </c>
      <c r="C547" t="s">
        <v>11</v>
      </c>
      <c r="D547" t="s">
        <v>6</v>
      </c>
      <c r="E547" t="s">
        <v>10</v>
      </c>
      <c r="F547">
        <v>2029</v>
      </c>
      <c r="G547">
        <v>2399.6</v>
      </c>
      <c r="H547">
        <v>8.0000000000000002E-3</v>
      </c>
      <c r="I547">
        <v>-1</v>
      </c>
    </row>
    <row r="548" spans="1:9" hidden="1" x14ac:dyDescent="0.25">
      <c r="A548" t="s">
        <v>33</v>
      </c>
      <c r="B548" t="s">
        <v>6</v>
      </c>
      <c r="C548" t="s">
        <v>11</v>
      </c>
      <c r="D548" t="s">
        <v>6</v>
      </c>
      <c r="E548" t="s">
        <v>10</v>
      </c>
      <c r="F548">
        <v>2030</v>
      </c>
      <c r="G548">
        <v>2399.6</v>
      </c>
      <c r="H548">
        <v>8.0000000000000002E-3</v>
      </c>
      <c r="I548">
        <v>-1</v>
      </c>
    </row>
    <row r="549" spans="1:9" hidden="1" x14ac:dyDescent="0.25">
      <c r="A549" t="s">
        <v>33</v>
      </c>
      <c r="B549" t="s">
        <v>6</v>
      </c>
      <c r="C549" t="s">
        <v>11</v>
      </c>
      <c r="D549" t="s">
        <v>6</v>
      </c>
      <c r="E549" t="s">
        <v>10</v>
      </c>
      <c r="F549">
        <v>2031</v>
      </c>
      <c r="G549">
        <v>2399.6</v>
      </c>
      <c r="H549">
        <v>8.0000000000000002E-3</v>
      </c>
      <c r="I549">
        <v>-1</v>
      </c>
    </row>
    <row r="550" spans="1:9" hidden="1" x14ac:dyDescent="0.25">
      <c r="A550" t="s">
        <v>33</v>
      </c>
      <c r="B550" t="s">
        <v>6</v>
      </c>
      <c r="C550" t="s">
        <v>11</v>
      </c>
      <c r="D550" t="s">
        <v>6</v>
      </c>
      <c r="E550" t="s">
        <v>10</v>
      </c>
      <c r="F550">
        <v>2032</v>
      </c>
      <c r="G550">
        <v>2399.6</v>
      </c>
      <c r="H550">
        <v>8.0000000000000002E-3</v>
      </c>
      <c r="I550">
        <v>-1</v>
      </c>
    </row>
    <row r="551" spans="1:9" hidden="1" x14ac:dyDescent="0.25">
      <c r="A551" t="s">
        <v>33</v>
      </c>
      <c r="B551" t="s">
        <v>6</v>
      </c>
      <c r="C551" t="s">
        <v>11</v>
      </c>
      <c r="D551" t="s">
        <v>6</v>
      </c>
      <c r="E551" t="s">
        <v>10</v>
      </c>
      <c r="F551">
        <v>2033</v>
      </c>
      <c r="G551">
        <v>2399.6</v>
      </c>
      <c r="H551">
        <v>8.0000000000000002E-3</v>
      </c>
      <c r="I551">
        <v>-1</v>
      </c>
    </row>
    <row r="552" spans="1:9" hidden="1" x14ac:dyDescent="0.25">
      <c r="A552" t="s">
        <v>33</v>
      </c>
      <c r="B552" t="s">
        <v>6</v>
      </c>
      <c r="C552" t="s">
        <v>11</v>
      </c>
      <c r="D552" t="s">
        <v>6</v>
      </c>
      <c r="E552" t="s">
        <v>10</v>
      </c>
      <c r="F552">
        <v>2034</v>
      </c>
      <c r="G552">
        <v>2399.6</v>
      </c>
      <c r="H552">
        <v>8.0000000000000002E-3</v>
      </c>
      <c r="I552">
        <v>-1</v>
      </c>
    </row>
    <row r="553" spans="1:9" hidden="1" x14ac:dyDescent="0.25">
      <c r="A553" t="s">
        <v>33</v>
      </c>
      <c r="B553" t="s">
        <v>6</v>
      </c>
      <c r="C553" t="s">
        <v>11</v>
      </c>
      <c r="D553" t="s">
        <v>6</v>
      </c>
      <c r="E553" t="s">
        <v>10</v>
      </c>
      <c r="F553">
        <v>2035</v>
      </c>
      <c r="G553">
        <v>2399.6</v>
      </c>
      <c r="H553">
        <v>8.0000000000000002E-3</v>
      </c>
      <c r="I553">
        <v>-1</v>
      </c>
    </row>
    <row r="554" spans="1:9" hidden="1" x14ac:dyDescent="0.25">
      <c r="A554" t="s">
        <v>33</v>
      </c>
      <c r="B554" t="s">
        <v>6</v>
      </c>
      <c r="C554" t="s">
        <v>11</v>
      </c>
      <c r="D554" t="s">
        <v>6</v>
      </c>
      <c r="E554" t="s">
        <v>10</v>
      </c>
      <c r="F554">
        <v>2036</v>
      </c>
      <c r="G554">
        <v>2399.6</v>
      </c>
      <c r="H554">
        <v>8.0000000000000002E-3</v>
      </c>
      <c r="I554">
        <v>-1</v>
      </c>
    </row>
    <row r="555" spans="1:9" hidden="1" x14ac:dyDescent="0.25">
      <c r="A555" t="s">
        <v>33</v>
      </c>
      <c r="B555" t="s">
        <v>6</v>
      </c>
      <c r="C555" t="s">
        <v>11</v>
      </c>
      <c r="D555" t="s">
        <v>6</v>
      </c>
      <c r="E555" t="s">
        <v>10</v>
      </c>
      <c r="F555">
        <v>2037</v>
      </c>
      <c r="G555">
        <v>2399.6</v>
      </c>
      <c r="H555">
        <v>8.0000000000000002E-3</v>
      </c>
      <c r="I555">
        <v>-1</v>
      </c>
    </row>
    <row r="556" spans="1:9" hidden="1" x14ac:dyDescent="0.25">
      <c r="A556" t="s">
        <v>33</v>
      </c>
      <c r="B556" t="s">
        <v>6</v>
      </c>
      <c r="C556" t="s">
        <v>11</v>
      </c>
      <c r="D556" t="s">
        <v>6</v>
      </c>
      <c r="E556" t="s">
        <v>10</v>
      </c>
      <c r="F556">
        <v>2038</v>
      </c>
      <c r="G556">
        <v>2399.6</v>
      </c>
      <c r="H556">
        <v>8.0000000000000002E-3</v>
      </c>
      <c r="I556">
        <v>-1</v>
      </c>
    </row>
    <row r="557" spans="1:9" hidden="1" x14ac:dyDescent="0.25">
      <c r="A557" t="s">
        <v>33</v>
      </c>
      <c r="B557" t="s">
        <v>6</v>
      </c>
      <c r="C557" t="s">
        <v>11</v>
      </c>
      <c r="D557" t="s">
        <v>6</v>
      </c>
      <c r="E557" t="s">
        <v>10</v>
      </c>
      <c r="F557">
        <v>2039</v>
      </c>
      <c r="G557">
        <v>2399.6</v>
      </c>
      <c r="H557">
        <v>8.0000000000000002E-3</v>
      </c>
      <c r="I557">
        <v>-1</v>
      </c>
    </row>
    <row r="558" spans="1:9" hidden="1" x14ac:dyDescent="0.25">
      <c r="A558" t="s">
        <v>33</v>
      </c>
      <c r="B558" t="s">
        <v>6</v>
      </c>
      <c r="C558" t="s">
        <v>11</v>
      </c>
      <c r="D558" t="s">
        <v>6</v>
      </c>
      <c r="E558" t="s">
        <v>10</v>
      </c>
      <c r="F558">
        <v>2040</v>
      </c>
      <c r="G558">
        <v>2399.6</v>
      </c>
      <c r="H558">
        <v>8.0000000000000002E-3</v>
      </c>
      <c r="I558">
        <v>-1</v>
      </c>
    </row>
    <row r="559" spans="1:9" hidden="1" x14ac:dyDescent="0.25">
      <c r="A559" t="s">
        <v>33</v>
      </c>
      <c r="B559" t="s">
        <v>6</v>
      </c>
      <c r="C559" t="s">
        <v>11</v>
      </c>
      <c r="D559" t="s">
        <v>6</v>
      </c>
      <c r="E559" t="s">
        <v>10</v>
      </c>
      <c r="F559">
        <v>2041</v>
      </c>
      <c r="G559">
        <v>2399.6</v>
      </c>
      <c r="H559">
        <v>8.0000000000000002E-3</v>
      </c>
      <c r="I559">
        <v>-1</v>
      </c>
    </row>
    <row r="560" spans="1:9" x14ac:dyDescent="0.25">
      <c r="A560" t="s">
        <v>33</v>
      </c>
      <c r="B560" t="s">
        <v>6</v>
      </c>
      <c r="C560" t="s">
        <v>10</v>
      </c>
      <c r="D560" t="s">
        <v>6</v>
      </c>
      <c r="E560" t="s">
        <v>12</v>
      </c>
      <c r="F560">
        <v>2024</v>
      </c>
      <c r="G560">
        <v>2497.6</v>
      </c>
      <c r="H560">
        <v>8.0000000000000002E-3</v>
      </c>
      <c r="I560">
        <v>-1</v>
      </c>
    </row>
    <row r="561" spans="1:9" hidden="1" x14ac:dyDescent="0.25">
      <c r="A561" t="s">
        <v>33</v>
      </c>
      <c r="B561" t="s">
        <v>6</v>
      </c>
      <c r="C561" t="s">
        <v>11</v>
      </c>
      <c r="D561" t="s">
        <v>6</v>
      </c>
      <c r="E561" t="s">
        <v>11</v>
      </c>
      <c r="F561">
        <v>2025</v>
      </c>
      <c r="G561">
        <v>1078.866636</v>
      </c>
      <c r="H561">
        <v>2E-3</v>
      </c>
      <c r="I561">
        <v>-1</v>
      </c>
    </row>
    <row r="562" spans="1:9" hidden="1" x14ac:dyDescent="0.25">
      <c r="A562" t="s">
        <v>33</v>
      </c>
      <c r="B562" t="s">
        <v>6</v>
      </c>
      <c r="C562" t="s">
        <v>11</v>
      </c>
      <c r="D562" t="s">
        <v>6</v>
      </c>
      <c r="E562" t="s">
        <v>11</v>
      </c>
      <c r="F562">
        <v>2026</v>
      </c>
      <c r="G562">
        <v>1103.587008</v>
      </c>
      <c r="H562">
        <v>2E-3</v>
      </c>
      <c r="I562">
        <v>-1</v>
      </c>
    </row>
    <row r="563" spans="1:9" hidden="1" x14ac:dyDescent="0.25">
      <c r="A563" t="s">
        <v>33</v>
      </c>
      <c r="B563" t="s">
        <v>6</v>
      </c>
      <c r="C563" t="s">
        <v>11</v>
      </c>
      <c r="D563" t="s">
        <v>6</v>
      </c>
      <c r="E563" t="s">
        <v>11</v>
      </c>
      <c r="F563">
        <v>2027</v>
      </c>
      <c r="G563">
        <v>1128.8738060000001</v>
      </c>
      <c r="H563">
        <v>2E-3</v>
      </c>
      <c r="I563">
        <v>-1</v>
      </c>
    </row>
    <row r="564" spans="1:9" hidden="1" x14ac:dyDescent="0.25">
      <c r="A564" t="s">
        <v>33</v>
      </c>
      <c r="B564" t="s">
        <v>6</v>
      </c>
      <c r="C564" t="s">
        <v>11</v>
      </c>
      <c r="D564" t="s">
        <v>6</v>
      </c>
      <c r="E564" t="s">
        <v>11</v>
      </c>
      <c r="F564">
        <v>2028</v>
      </c>
      <c r="G564">
        <v>1154.7400070000001</v>
      </c>
      <c r="H564">
        <v>2E-3</v>
      </c>
      <c r="I564">
        <v>-1</v>
      </c>
    </row>
    <row r="565" spans="1:9" hidden="1" x14ac:dyDescent="0.25">
      <c r="A565" t="s">
        <v>33</v>
      </c>
      <c r="B565" t="s">
        <v>6</v>
      </c>
      <c r="C565" t="s">
        <v>11</v>
      </c>
      <c r="D565" t="s">
        <v>6</v>
      </c>
      <c r="E565" t="s">
        <v>11</v>
      </c>
      <c r="F565">
        <v>2029</v>
      </c>
      <c r="G565">
        <v>1181.198887</v>
      </c>
      <c r="H565">
        <v>2E-3</v>
      </c>
      <c r="I565">
        <v>-1</v>
      </c>
    </row>
    <row r="566" spans="1:9" hidden="1" x14ac:dyDescent="0.25">
      <c r="A566" t="s">
        <v>33</v>
      </c>
      <c r="B566" t="s">
        <v>6</v>
      </c>
      <c r="C566" t="s">
        <v>11</v>
      </c>
      <c r="D566" t="s">
        <v>6</v>
      </c>
      <c r="E566" t="s">
        <v>11</v>
      </c>
      <c r="F566">
        <v>2030</v>
      </c>
      <c r="G566">
        <v>1208.2640269999999</v>
      </c>
      <c r="H566">
        <v>2E-3</v>
      </c>
      <c r="I566">
        <v>-1</v>
      </c>
    </row>
    <row r="567" spans="1:9" hidden="1" x14ac:dyDescent="0.25">
      <c r="A567" t="s">
        <v>33</v>
      </c>
      <c r="B567" t="s">
        <v>6</v>
      </c>
      <c r="C567" t="s">
        <v>11</v>
      </c>
      <c r="D567" t="s">
        <v>6</v>
      </c>
      <c r="E567" t="s">
        <v>11</v>
      </c>
      <c r="F567">
        <v>2031</v>
      </c>
      <c r="G567">
        <v>1235.9493179999999</v>
      </c>
      <c r="H567">
        <v>2E-3</v>
      </c>
      <c r="I567">
        <v>-1</v>
      </c>
    </row>
    <row r="568" spans="1:9" hidden="1" x14ac:dyDescent="0.25">
      <c r="A568" t="s">
        <v>33</v>
      </c>
      <c r="B568" t="s">
        <v>6</v>
      </c>
      <c r="C568" t="s">
        <v>11</v>
      </c>
      <c r="D568" t="s">
        <v>6</v>
      </c>
      <c r="E568" t="s">
        <v>11</v>
      </c>
      <c r="F568">
        <v>2032</v>
      </c>
      <c r="G568">
        <v>1264.268971</v>
      </c>
      <c r="H568">
        <v>2E-3</v>
      </c>
      <c r="I568">
        <v>-1</v>
      </c>
    </row>
    <row r="569" spans="1:9" hidden="1" x14ac:dyDescent="0.25">
      <c r="A569" t="s">
        <v>33</v>
      </c>
      <c r="B569" t="s">
        <v>6</v>
      </c>
      <c r="C569" t="s">
        <v>11</v>
      </c>
      <c r="D569" t="s">
        <v>6</v>
      </c>
      <c r="E569" t="s">
        <v>11</v>
      </c>
      <c r="F569">
        <v>2033</v>
      </c>
      <c r="G569">
        <v>1293.237519</v>
      </c>
      <c r="H569">
        <v>2E-3</v>
      </c>
      <c r="I569">
        <v>-1</v>
      </c>
    </row>
    <row r="570" spans="1:9" hidden="1" x14ac:dyDescent="0.25">
      <c r="A570" t="s">
        <v>33</v>
      </c>
      <c r="B570" t="s">
        <v>6</v>
      </c>
      <c r="C570" t="s">
        <v>11</v>
      </c>
      <c r="D570" t="s">
        <v>6</v>
      </c>
      <c r="E570" t="s">
        <v>11</v>
      </c>
      <c r="F570">
        <v>2034</v>
      </c>
      <c r="G570">
        <v>1322.869831</v>
      </c>
      <c r="H570">
        <v>2E-3</v>
      </c>
      <c r="I570">
        <v>-1</v>
      </c>
    </row>
    <row r="571" spans="1:9" hidden="1" x14ac:dyDescent="0.25">
      <c r="A571" t="s">
        <v>33</v>
      </c>
      <c r="B571" t="s">
        <v>6</v>
      </c>
      <c r="C571" t="s">
        <v>11</v>
      </c>
      <c r="D571" t="s">
        <v>6</v>
      </c>
      <c r="E571" t="s">
        <v>11</v>
      </c>
      <c r="F571">
        <v>2035</v>
      </c>
      <c r="G571">
        <v>1353.1811170000001</v>
      </c>
      <c r="H571">
        <v>2E-3</v>
      </c>
      <c r="I571">
        <v>-1</v>
      </c>
    </row>
    <row r="572" spans="1:9" hidden="1" x14ac:dyDescent="0.25">
      <c r="A572" t="s">
        <v>33</v>
      </c>
      <c r="B572" t="s">
        <v>6</v>
      </c>
      <c r="C572" t="s">
        <v>11</v>
      </c>
      <c r="D572" t="s">
        <v>6</v>
      </c>
      <c r="E572" t="s">
        <v>11</v>
      </c>
      <c r="F572">
        <v>2036</v>
      </c>
      <c r="G572">
        <v>1384.1869340000001</v>
      </c>
      <c r="H572">
        <v>2E-3</v>
      </c>
      <c r="I572">
        <v>-1</v>
      </c>
    </row>
    <row r="573" spans="1:9" hidden="1" x14ac:dyDescent="0.25">
      <c r="A573" t="s">
        <v>33</v>
      </c>
      <c r="B573" t="s">
        <v>6</v>
      </c>
      <c r="C573" t="s">
        <v>11</v>
      </c>
      <c r="D573" t="s">
        <v>6</v>
      </c>
      <c r="E573" t="s">
        <v>11</v>
      </c>
      <c r="F573">
        <v>2037</v>
      </c>
      <c r="G573">
        <v>1415.903196</v>
      </c>
      <c r="H573">
        <v>2E-3</v>
      </c>
      <c r="I573">
        <v>-1</v>
      </c>
    </row>
    <row r="574" spans="1:9" hidden="1" x14ac:dyDescent="0.25">
      <c r="A574" t="s">
        <v>33</v>
      </c>
      <c r="B574" t="s">
        <v>6</v>
      </c>
      <c r="C574" t="s">
        <v>11</v>
      </c>
      <c r="D574" t="s">
        <v>6</v>
      </c>
      <c r="E574" t="s">
        <v>11</v>
      </c>
      <c r="F574">
        <v>2038</v>
      </c>
      <c r="G574">
        <v>1448.346182</v>
      </c>
      <c r="H574">
        <v>2E-3</v>
      </c>
      <c r="I574">
        <v>-1</v>
      </c>
    </row>
    <row r="575" spans="1:9" hidden="1" x14ac:dyDescent="0.25">
      <c r="A575" t="s">
        <v>33</v>
      </c>
      <c r="B575" t="s">
        <v>6</v>
      </c>
      <c r="C575" t="s">
        <v>11</v>
      </c>
      <c r="D575" t="s">
        <v>6</v>
      </c>
      <c r="E575" t="s">
        <v>11</v>
      </c>
      <c r="F575">
        <v>2039</v>
      </c>
      <c r="G575">
        <v>1481.5325419999999</v>
      </c>
      <c r="H575">
        <v>2E-3</v>
      </c>
      <c r="I575">
        <v>-1</v>
      </c>
    </row>
    <row r="576" spans="1:9" hidden="1" x14ac:dyDescent="0.25">
      <c r="A576" t="s">
        <v>33</v>
      </c>
      <c r="B576" t="s">
        <v>6</v>
      </c>
      <c r="C576" t="s">
        <v>11</v>
      </c>
      <c r="D576" t="s">
        <v>6</v>
      </c>
      <c r="E576" t="s">
        <v>11</v>
      </c>
      <c r="F576">
        <v>2040</v>
      </c>
      <c r="G576">
        <v>1515.4793110000001</v>
      </c>
      <c r="H576">
        <v>2E-3</v>
      </c>
      <c r="I576">
        <v>-1</v>
      </c>
    </row>
    <row r="577" spans="1:9" hidden="1" x14ac:dyDescent="0.25">
      <c r="A577" t="s">
        <v>33</v>
      </c>
      <c r="B577" t="s">
        <v>6</v>
      </c>
      <c r="C577" t="s">
        <v>11</v>
      </c>
      <c r="D577" t="s">
        <v>6</v>
      </c>
      <c r="E577" t="s">
        <v>11</v>
      </c>
      <c r="F577">
        <v>2041</v>
      </c>
      <c r="G577">
        <v>1550.2039119999999</v>
      </c>
      <c r="H577">
        <v>2E-3</v>
      </c>
      <c r="I577">
        <v>-1</v>
      </c>
    </row>
    <row r="578" spans="1:9" x14ac:dyDescent="0.25">
      <c r="A578" t="s">
        <v>33</v>
      </c>
      <c r="B578" t="s">
        <v>6</v>
      </c>
      <c r="C578" t="s">
        <v>10</v>
      </c>
      <c r="D578" t="s">
        <v>6</v>
      </c>
      <c r="E578" t="s">
        <v>8</v>
      </c>
      <c r="F578">
        <v>2024</v>
      </c>
      <c r="G578">
        <v>2776.7</v>
      </c>
      <c r="H578">
        <v>8.0000000000000002E-3</v>
      </c>
      <c r="I578">
        <v>-1</v>
      </c>
    </row>
    <row r="579" spans="1:9" hidden="1" x14ac:dyDescent="0.25">
      <c r="A579" t="s">
        <v>33</v>
      </c>
      <c r="B579" t="s">
        <v>6</v>
      </c>
      <c r="C579" t="s">
        <v>11</v>
      </c>
      <c r="D579" t="s">
        <v>6</v>
      </c>
      <c r="E579" t="s">
        <v>12</v>
      </c>
      <c r="F579">
        <v>2025</v>
      </c>
      <c r="G579">
        <v>1867.2740530000001</v>
      </c>
      <c r="H579">
        <v>8.0000000000000002E-3</v>
      </c>
      <c r="I579">
        <v>-1</v>
      </c>
    </row>
    <row r="580" spans="1:9" hidden="1" x14ac:dyDescent="0.25">
      <c r="A580" t="s">
        <v>33</v>
      </c>
      <c r="B580" t="s">
        <v>6</v>
      </c>
      <c r="C580" t="s">
        <v>11</v>
      </c>
      <c r="D580" t="s">
        <v>6</v>
      </c>
      <c r="E580" t="s">
        <v>12</v>
      </c>
      <c r="F580">
        <v>2026</v>
      </c>
      <c r="G580">
        <v>1896.395295</v>
      </c>
      <c r="H580">
        <v>8.0000000000000002E-3</v>
      </c>
      <c r="I580">
        <v>-1</v>
      </c>
    </row>
    <row r="581" spans="1:9" hidden="1" x14ac:dyDescent="0.25">
      <c r="A581" t="s">
        <v>33</v>
      </c>
      <c r="B581" t="s">
        <v>6</v>
      </c>
      <c r="C581" t="s">
        <v>11</v>
      </c>
      <c r="D581" t="s">
        <v>6</v>
      </c>
      <c r="E581" t="s">
        <v>12</v>
      </c>
      <c r="F581">
        <v>2027</v>
      </c>
      <c r="G581">
        <v>1925.9707000000001</v>
      </c>
      <c r="H581">
        <v>8.0000000000000002E-3</v>
      </c>
      <c r="I581">
        <v>-1</v>
      </c>
    </row>
    <row r="582" spans="1:9" hidden="1" x14ac:dyDescent="0.25">
      <c r="A582" t="s">
        <v>33</v>
      </c>
      <c r="B582" t="s">
        <v>6</v>
      </c>
      <c r="C582" t="s">
        <v>11</v>
      </c>
      <c r="D582" t="s">
        <v>6</v>
      </c>
      <c r="E582" t="s">
        <v>12</v>
      </c>
      <c r="F582">
        <v>2028</v>
      </c>
      <c r="G582">
        <v>1956.007351</v>
      </c>
      <c r="H582">
        <v>8.0000000000000002E-3</v>
      </c>
      <c r="I582">
        <v>-1</v>
      </c>
    </row>
    <row r="583" spans="1:9" hidden="1" x14ac:dyDescent="0.25">
      <c r="A583" t="s">
        <v>33</v>
      </c>
      <c r="B583" t="s">
        <v>6</v>
      </c>
      <c r="C583" t="s">
        <v>11</v>
      </c>
      <c r="D583" t="s">
        <v>6</v>
      </c>
      <c r="E583" t="s">
        <v>12</v>
      </c>
      <c r="F583">
        <v>2029</v>
      </c>
      <c r="G583">
        <v>1986.5124410000001</v>
      </c>
      <c r="H583">
        <v>8.0000000000000002E-3</v>
      </c>
      <c r="I583">
        <v>-1</v>
      </c>
    </row>
    <row r="584" spans="1:9" hidden="1" x14ac:dyDescent="0.25">
      <c r="A584" t="s">
        <v>33</v>
      </c>
      <c r="B584" t="s">
        <v>6</v>
      </c>
      <c r="C584" t="s">
        <v>11</v>
      </c>
      <c r="D584" t="s">
        <v>6</v>
      </c>
      <c r="E584" t="s">
        <v>12</v>
      </c>
      <c r="F584">
        <v>2030</v>
      </c>
      <c r="G584">
        <v>2017.493277</v>
      </c>
      <c r="H584">
        <v>8.0000000000000002E-3</v>
      </c>
      <c r="I584">
        <v>-1</v>
      </c>
    </row>
    <row r="585" spans="1:9" hidden="1" x14ac:dyDescent="0.25">
      <c r="A585" t="s">
        <v>33</v>
      </c>
      <c r="B585" t="s">
        <v>6</v>
      </c>
      <c r="C585" t="s">
        <v>11</v>
      </c>
      <c r="D585" t="s">
        <v>6</v>
      </c>
      <c r="E585" t="s">
        <v>12</v>
      </c>
      <c r="F585">
        <v>2031</v>
      </c>
      <c r="G585">
        <v>2048.9572760000001</v>
      </c>
      <c r="H585">
        <v>8.0000000000000002E-3</v>
      </c>
      <c r="I585">
        <v>-1</v>
      </c>
    </row>
    <row r="586" spans="1:9" hidden="1" x14ac:dyDescent="0.25">
      <c r="A586" t="s">
        <v>33</v>
      </c>
      <c r="B586" t="s">
        <v>6</v>
      </c>
      <c r="C586" t="s">
        <v>11</v>
      </c>
      <c r="D586" t="s">
        <v>6</v>
      </c>
      <c r="E586" t="s">
        <v>12</v>
      </c>
      <c r="F586">
        <v>2032</v>
      </c>
      <c r="G586">
        <v>2080.911975</v>
      </c>
      <c r="H586">
        <v>8.0000000000000002E-3</v>
      </c>
      <c r="I586">
        <v>-1</v>
      </c>
    </row>
    <row r="587" spans="1:9" hidden="1" x14ac:dyDescent="0.25">
      <c r="A587" t="s">
        <v>33</v>
      </c>
      <c r="B587" t="s">
        <v>6</v>
      </c>
      <c r="C587" t="s">
        <v>11</v>
      </c>
      <c r="D587" t="s">
        <v>6</v>
      </c>
      <c r="E587" t="s">
        <v>12</v>
      </c>
      <c r="F587">
        <v>2033</v>
      </c>
      <c r="G587">
        <v>2113.3650269999998</v>
      </c>
      <c r="H587">
        <v>8.0000000000000002E-3</v>
      </c>
      <c r="I587">
        <v>-1</v>
      </c>
    </row>
    <row r="588" spans="1:9" hidden="1" x14ac:dyDescent="0.25">
      <c r="A588" t="s">
        <v>33</v>
      </c>
      <c r="B588" t="s">
        <v>6</v>
      </c>
      <c r="C588" t="s">
        <v>11</v>
      </c>
      <c r="D588" t="s">
        <v>6</v>
      </c>
      <c r="E588" t="s">
        <v>12</v>
      </c>
      <c r="F588">
        <v>2034</v>
      </c>
      <c r="G588">
        <v>2146.3242030000001</v>
      </c>
      <c r="H588">
        <v>8.0000000000000002E-3</v>
      </c>
      <c r="I588">
        <v>-1</v>
      </c>
    </row>
    <row r="589" spans="1:9" hidden="1" x14ac:dyDescent="0.25">
      <c r="A589" t="s">
        <v>33</v>
      </c>
      <c r="B589" t="s">
        <v>6</v>
      </c>
      <c r="C589" t="s">
        <v>11</v>
      </c>
      <c r="D589" t="s">
        <v>6</v>
      </c>
      <c r="E589" t="s">
        <v>12</v>
      </c>
      <c r="F589">
        <v>2035</v>
      </c>
      <c r="G589">
        <v>2179.7973969999998</v>
      </c>
      <c r="H589">
        <v>8.0000000000000002E-3</v>
      </c>
      <c r="I589">
        <v>-1</v>
      </c>
    </row>
    <row r="590" spans="1:9" hidden="1" x14ac:dyDescent="0.25">
      <c r="A590" t="s">
        <v>33</v>
      </c>
      <c r="B590" t="s">
        <v>6</v>
      </c>
      <c r="C590" t="s">
        <v>11</v>
      </c>
      <c r="D590" t="s">
        <v>6</v>
      </c>
      <c r="E590" t="s">
        <v>12</v>
      </c>
      <c r="F590">
        <v>2036</v>
      </c>
      <c r="G590">
        <v>2213.792625</v>
      </c>
      <c r="H590">
        <v>8.0000000000000002E-3</v>
      </c>
      <c r="I590">
        <v>-1</v>
      </c>
    </row>
    <row r="591" spans="1:9" hidden="1" x14ac:dyDescent="0.25">
      <c r="A591" t="s">
        <v>33</v>
      </c>
      <c r="B591" t="s">
        <v>6</v>
      </c>
      <c r="C591" t="s">
        <v>11</v>
      </c>
      <c r="D591" t="s">
        <v>6</v>
      </c>
      <c r="E591" t="s">
        <v>12</v>
      </c>
      <c r="F591">
        <v>2037</v>
      </c>
      <c r="G591">
        <v>2248.318029</v>
      </c>
      <c r="H591">
        <v>8.0000000000000002E-3</v>
      </c>
      <c r="I591">
        <v>-1</v>
      </c>
    </row>
    <row r="592" spans="1:9" hidden="1" x14ac:dyDescent="0.25">
      <c r="A592" t="s">
        <v>33</v>
      </c>
      <c r="B592" t="s">
        <v>6</v>
      </c>
      <c r="C592" t="s">
        <v>11</v>
      </c>
      <c r="D592" t="s">
        <v>6</v>
      </c>
      <c r="E592" t="s">
        <v>12</v>
      </c>
      <c r="F592">
        <v>2038</v>
      </c>
      <c r="G592">
        <v>2283.3818769999998</v>
      </c>
      <c r="H592">
        <v>8.0000000000000002E-3</v>
      </c>
      <c r="I592">
        <v>-1</v>
      </c>
    </row>
    <row r="593" spans="1:9" hidden="1" x14ac:dyDescent="0.25">
      <c r="A593" t="s">
        <v>33</v>
      </c>
      <c r="B593" t="s">
        <v>6</v>
      </c>
      <c r="C593" t="s">
        <v>11</v>
      </c>
      <c r="D593" t="s">
        <v>6</v>
      </c>
      <c r="E593" t="s">
        <v>12</v>
      </c>
      <c r="F593">
        <v>2039</v>
      </c>
      <c r="G593">
        <v>2318.9925669999998</v>
      </c>
      <c r="H593">
        <v>8.0000000000000002E-3</v>
      </c>
      <c r="I593">
        <v>-1</v>
      </c>
    </row>
    <row r="594" spans="1:9" hidden="1" x14ac:dyDescent="0.25">
      <c r="A594" t="s">
        <v>33</v>
      </c>
      <c r="B594" t="s">
        <v>6</v>
      </c>
      <c r="C594" t="s">
        <v>11</v>
      </c>
      <c r="D594" t="s">
        <v>6</v>
      </c>
      <c r="E594" t="s">
        <v>12</v>
      </c>
      <c r="F594">
        <v>2040</v>
      </c>
      <c r="G594">
        <v>2355.1586259999999</v>
      </c>
      <c r="H594">
        <v>8.0000000000000002E-3</v>
      </c>
      <c r="I594">
        <v>-1</v>
      </c>
    </row>
    <row r="595" spans="1:9" hidden="1" x14ac:dyDescent="0.25">
      <c r="A595" t="s">
        <v>33</v>
      </c>
      <c r="B595" t="s">
        <v>6</v>
      </c>
      <c r="C595" t="s">
        <v>11</v>
      </c>
      <c r="D595" t="s">
        <v>6</v>
      </c>
      <c r="E595" t="s">
        <v>12</v>
      </c>
      <c r="F595">
        <v>2041</v>
      </c>
      <c r="G595">
        <v>2391.8887159999999</v>
      </c>
      <c r="H595">
        <v>8.0000000000000002E-3</v>
      </c>
      <c r="I595">
        <v>-1</v>
      </c>
    </row>
    <row r="596" spans="1:9" x14ac:dyDescent="0.25">
      <c r="A596" t="s">
        <v>33</v>
      </c>
      <c r="B596" t="s">
        <v>6</v>
      </c>
      <c r="C596" t="s">
        <v>10</v>
      </c>
      <c r="D596" t="s">
        <v>6</v>
      </c>
      <c r="E596" t="s">
        <v>9</v>
      </c>
      <c r="F596">
        <v>2024</v>
      </c>
      <c r="G596">
        <v>2497.6</v>
      </c>
      <c r="H596">
        <v>8.0000000000000002E-3</v>
      </c>
      <c r="I596">
        <v>-1</v>
      </c>
    </row>
    <row r="597" spans="1:9" hidden="1" x14ac:dyDescent="0.25">
      <c r="A597" t="s">
        <v>33</v>
      </c>
      <c r="B597" t="s">
        <v>6</v>
      </c>
      <c r="C597" t="s">
        <v>11</v>
      </c>
      <c r="D597" t="s">
        <v>6</v>
      </c>
      <c r="E597" t="s">
        <v>8</v>
      </c>
      <c r="F597">
        <v>2025</v>
      </c>
      <c r="G597">
        <v>2160.3000000000002</v>
      </c>
      <c r="H597">
        <v>8.0000000000000002E-3</v>
      </c>
      <c r="I597">
        <v>-1</v>
      </c>
    </row>
    <row r="598" spans="1:9" hidden="1" x14ac:dyDescent="0.25">
      <c r="A598" t="s">
        <v>33</v>
      </c>
      <c r="B598" t="s">
        <v>6</v>
      </c>
      <c r="C598" t="s">
        <v>11</v>
      </c>
      <c r="D598" t="s">
        <v>6</v>
      </c>
      <c r="E598" t="s">
        <v>8</v>
      </c>
      <c r="F598">
        <v>2026</v>
      </c>
      <c r="G598">
        <v>2160.3000000000002</v>
      </c>
      <c r="H598">
        <v>8.0000000000000002E-3</v>
      </c>
      <c r="I598">
        <v>-1</v>
      </c>
    </row>
    <row r="599" spans="1:9" hidden="1" x14ac:dyDescent="0.25">
      <c r="A599" t="s">
        <v>33</v>
      </c>
      <c r="B599" t="s">
        <v>6</v>
      </c>
      <c r="C599" t="s">
        <v>11</v>
      </c>
      <c r="D599" t="s">
        <v>6</v>
      </c>
      <c r="E599" t="s">
        <v>8</v>
      </c>
      <c r="F599">
        <v>2027</v>
      </c>
      <c r="G599">
        <v>2160.3000000000002</v>
      </c>
      <c r="H599">
        <v>8.0000000000000002E-3</v>
      </c>
      <c r="I599">
        <v>-1</v>
      </c>
    </row>
    <row r="600" spans="1:9" hidden="1" x14ac:dyDescent="0.25">
      <c r="A600" t="s">
        <v>33</v>
      </c>
      <c r="B600" t="s">
        <v>6</v>
      </c>
      <c r="C600" t="s">
        <v>11</v>
      </c>
      <c r="D600" t="s">
        <v>6</v>
      </c>
      <c r="E600" t="s">
        <v>8</v>
      </c>
      <c r="F600">
        <v>2028</v>
      </c>
      <c r="G600">
        <v>2160.3000000000002</v>
      </c>
      <c r="H600">
        <v>8.0000000000000002E-3</v>
      </c>
      <c r="I600">
        <v>-1</v>
      </c>
    </row>
    <row r="601" spans="1:9" hidden="1" x14ac:dyDescent="0.25">
      <c r="A601" t="s">
        <v>33</v>
      </c>
      <c r="B601" t="s">
        <v>6</v>
      </c>
      <c r="C601" t="s">
        <v>11</v>
      </c>
      <c r="D601" t="s">
        <v>6</v>
      </c>
      <c r="E601" t="s">
        <v>8</v>
      </c>
      <c r="F601">
        <v>2029</v>
      </c>
      <c r="G601">
        <v>2160.3000000000002</v>
      </c>
      <c r="H601">
        <v>8.0000000000000002E-3</v>
      </c>
      <c r="I601">
        <v>-1</v>
      </c>
    </row>
    <row r="602" spans="1:9" hidden="1" x14ac:dyDescent="0.25">
      <c r="A602" t="s">
        <v>33</v>
      </c>
      <c r="B602" t="s">
        <v>6</v>
      </c>
      <c r="C602" t="s">
        <v>11</v>
      </c>
      <c r="D602" t="s">
        <v>6</v>
      </c>
      <c r="E602" t="s">
        <v>8</v>
      </c>
      <c r="F602">
        <v>2030</v>
      </c>
      <c r="G602">
        <v>2160.3000000000002</v>
      </c>
      <c r="H602">
        <v>8.0000000000000002E-3</v>
      </c>
      <c r="I602">
        <v>-1</v>
      </c>
    </row>
    <row r="603" spans="1:9" hidden="1" x14ac:dyDescent="0.25">
      <c r="A603" t="s">
        <v>33</v>
      </c>
      <c r="B603" t="s">
        <v>6</v>
      </c>
      <c r="C603" t="s">
        <v>11</v>
      </c>
      <c r="D603" t="s">
        <v>6</v>
      </c>
      <c r="E603" t="s">
        <v>8</v>
      </c>
      <c r="F603">
        <v>2031</v>
      </c>
      <c r="G603">
        <v>2160.3000000000002</v>
      </c>
      <c r="H603">
        <v>8.0000000000000002E-3</v>
      </c>
      <c r="I603">
        <v>-1</v>
      </c>
    </row>
    <row r="604" spans="1:9" hidden="1" x14ac:dyDescent="0.25">
      <c r="A604" t="s">
        <v>33</v>
      </c>
      <c r="B604" t="s">
        <v>6</v>
      </c>
      <c r="C604" t="s">
        <v>11</v>
      </c>
      <c r="D604" t="s">
        <v>6</v>
      </c>
      <c r="E604" t="s">
        <v>8</v>
      </c>
      <c r="F604">
        <v>2032</v>
      </c>
      <c r="G604">
        <v>2160.3000000000002</v>
      </c>
      <c r="H604">
        <v>8.0000000000000002E-3</v>
      </c>
      <c r="I604">
        <v>-1</v>
      </c>
    </row>
    <row r="605" spans="1:9" hidden="1" x14ac:dyDescent="0.25">
      <c r="A605" t="s">
        <v>33</v>
      </c>
      <c r="B605" t="s">
        <v>6</v>
      </c>
      <c r="C605" t="s">
        <v>11</v>
      </c>
      <c r="D605" t="s">
        <v>6</v>
      </c>
      <c r="E605" t="s">
        <v>8</v>
      </c>
      <c r="F605">
        <v>2033</v>
      </c>
      <c r="G605">
        <v>2160.3000000000002</v>
      </c>
      <c r="H605">
        <v>8.0000000000000002E-3</v>
      </c>
      <c r="I605">
        <v>-1</v>
      </c>
    </row>
    <row r="606" spans="1:9" hidden="1" x14ac:dyDescent="0.25">
      <c r="A606" t="s">
        <v>33</v>
      </c>
      <c r="B606" t="s">
        <v>6</v>
      </c>
      <c r="C606" t="s">
        <v>11</v>
      </c>
      <c r="D606" t="s">
        <v>6</v>
      </c>
      <c r="E606" t="s">
        <v>8</v>
      </c>
      <c r="F606">
        <v>2034</v>
      </c>
      <c r="G606">
        <v>2160.3000000000002</v>
      </c>
      <c r="H606">
        <v>8.0000000000000002E-3</v>
      </c>
      <c r="I606">
        <v>-1</v>
      </c>
    </row>
    <row r="607" spans="1:9" hidden="1" x14ac:dyDescent="0.25">
      <c r="A607" t="s">
        <v>33</v>
      </c>
      <c r="B607" t="s">
        <v>6</v>
      </c>
      <c r="C607" t="s">
        <v>11</v>
      </c>
      <c r="D607" t="s">
        <v>6</v>
      </c>
      <c r="E607" t="s">
        <v>8</v>
      </c>
      <c r="F607">
        <v>2035</v>
      </c>
      <c r="G607">
        <v>2160.3000000000002</v>
      </c>
      <c r="H607">
        <v>8.0000000000000002E-3</v>
      </c>
      <c r="I607">
        <v>-1</v>
      </c>
    </row>
    <row r="608" spans="1:9" hidden="1" x14ac:dyDescent="0.25">
      <c r="A608" t="s">
        <v>33</v>
      </c>
      <c r="B608" t="s">
        <v>6</v>
      </c>
      <c r="C608" t="s">
        <v>11</v>
      </c>
      <c r="D608" t="s">
        <v>6</v>
      </c>
      <c r="E608" t="s">
        <v>8</v>
      </c>
      <c r="F608">
        <v>2036</v>
      </c>
      <c r="G608">
        <v>2160.3000000000002</v>
      </c>
      <c r="H608">
        <v>8.0000000000000002E-3</v>
      </c>
      <c r="I608">
        <v>-1</v>
      </c>
    </row>
    <row r="609" spans="1:9" hidden="1" x14ac:dyDescent="0.25">
      <c r="A609" t="s">
        <v>33</v>
      </c>
      <c r="B609" t="s">
        <v>6</v>
      </c>
      <c r="C609" t="s">
        <v>11</v>
      </c>
      <c r="D609" t="s">
        <v>6</v>
      </c>
      <c r="E609" t="s">
        <v>8</v>
      </c>
      <c r="F609">
        <v>2037</v>
      </c>
      <c r="G609">
        <v>2160.3000000000002</v>
      </c>
      <c r="H609">
        <v>8.0000000000000002E-3</v>
      </c>
      <c r="I609">
        <v>-1</v>
      </c>
    </row>
    <row r="610" spans="1:9" hidden="1" x14ac:dyDescent="0.25">
      <c r="A610" t="s">
        <v>33</v>
      </c>
      <c r="B610" t="s">
        <v>6</v>
      </c>
      <c r="C610" t="s">
        <v>11</v>
      </c>
      <c r="D610" t="s">
        <v>6</v>
      </c>
      <c r="E610" t="s">
        <v>8</v>
      </c>
      <c r="F610">
        <v>2038</v>
      </c>
      <c r="G610">
        <v>2160.3000000000002</v>
      </c>
      <c r="H610">
        <v>8.0000000000000002E-3</v>
      </c>
      <c r="I610">
        <v>-1</v>
      </c>
    </row>
    <row r="611" spans="1:9" hidden="1" x14ac:dyDescent="0.25">
      <c r="A611" t="s">
        <v>33</v>
      </c>
      <c r="B611" t="s">
        <v>6</v>
      </c>
      <c r="C611" t="s">
        <v>11</v>
      </c>
      <c r="D611" t="s">
        <v>6</v>
      </c>
      <c r="E611" t="s">
        <v>8</v>
      </c>
      <c r="F611">
        <v>2039</v>
      </c>
      <c r="G611">
        <v>2160.3000000000002</v>
      </c>
      <c r="H611">
        <v>8.0000000000000002E-3</v>
      </c>
      <c r="I611">
        <v>-1</v>
      </c>
    </row>
    <row r="612" spans="1:9" hidden="1" x14ac:dyDescent="0.25">
      <c r="A612" t="s">
        <v>33</v>
      </c>
      <c r="B612" t="s">
        <v>6</v>
      </c>
      <c r="C612" t="s">
        <v>11</v>
      </c>
      <c r="D612" t="s">
        <v>6</v>
      </c>
      <c r="E612" t="s">
        <v>8</v>
      </c>
      <c r="F612">
        <v>2040</v>
      </c>
      <c r="G612">
        <v>2160.3000000000002</v>
      </c>
      <c r="H612">
        <v>8.0000000000000002E-3</v>
      </c>
      <c r="I612">
        <v>-1</v>
      </c>
    </row>
    <row r="613" spans="1:9" hidden="1" x14ac:dyDescent="0.25">
      <c r="A613" t="s">
        <v>33</v>
      </c>
      <c r="B613" t="s">
        <v>6</v>
      </c>
      <c r="C613" t="s">
        <v>11</v>
      </c>
      <c r="D613" t="s">
        <v>6</v>
      </c>
      <c r="E613" t="s">
        <v>8</v>
      </c>
      <c r="F613">
        <v>2041</v>
      </c>
      <c r="G613">
        <v>2160.3000000000002</v>
      </c>
      <c r="H613">
        <v>8.0000000000000002E-3</v>
      </c>
      <c r="I613">
        <v>-1</v>
      </c>
    </row>
    <row r="614" spans="1:9" x14ac:dyDescent="0.25">
      <c r="A614" t="s">
        <v>33</v>
      </c>
      <c r="B614" t="s">
        <v>6</v>
      </c>
      <c r="C614" t="s">
        <v>11</v>
      </c>
      <c r="D614" t="s">
        <v>6</v>
      </c>
      <c r="E614" t="s">
        <v>10</v>
      </c>
      <c r="F614">
        <v>2024</v>
      </c>
      <c r="G614">
        <v>2399.6</v>
      </c>
      <c r="H614">
        <v>8.0000000000000002E-3</v>
      </c>
      <c r="I614">
        <v>-1</v>
      </c>
    </row>
    <row r="615" spans="1:9" hidden="1" x14ac:dyDescent="0.25">
      <c r="A615" t="s">
        <v>33</v>
      </c>
      <c r="B615" t="s">
        <v>6</v>
      </c>
      <c r="C615" t="s">
        <v>11</v>
      </c>
      <c r="D615" t="s">
        <v>6</v>
      </c>
      <c r="E615" t="s">
        <v>9</v>
      </c>
      <c r="F615">
        <v>2025</v>
      </c>
      <c r="G615">
        <v>3469.4124339999998</v>
      </c>
      <c r="H615">
        <v>8.0000000000000002E-3</v>
      </c>
      <c r="I615">
        <v>-1</v>
      </c>
    </row>
    <row r="616" spans="1:9" hidden="1" x14ac:dyDescent="0.25">
      <c r="A616" t="s">
        <v>33</v>
      </c>
      <c r="B616" t="s">
        <v>6</v>
      </c>
      <c r="C616" t="s">
        <v>11</v>
      </c>
      <c r="D616" t="s">
        <v>6</v>
      </c>
      <c r="E616" t="s">
        <v>9</v>
      </c>
      <c r="F616">
        <v>2026</v>
      </c>
      <c r="G616">
        <v>3588.2613310000002</v>
      </c>
      <c r="H616">
        <v>8.0000000000000002E-3</v>
      </c>
      <c r="I616">
        <v>-1</v>
      </c>
    </row>
    <row r="617" spans="1:9" hidden="1" x14ac:dyDescent="0.25">
      <c r="A617" t="s">
        <v>33</v>
      </c>
      <c r="B617" t="s">
        <v>6</v>
      </c>
      <c r="C617" t="s">
        <v>11</v>
      </c>
      <c r="D617" t="s">
        <v>6</v>
      </c>
      <c r="E617" t="s">
        <v>9</v>
      </c>
      <c r="F617">
        <v>2027</v>
      </c>
      <c r="G617">
        <v>3711.18154</v>
      </c>
      <c r="H617">
        <v>8.0000000000000002E-3</v>
      </c>
      <c r="I617">
        <v>-1</v>
      </c>
    </row>
    <row r="618" spans="1:9" hidden="1" x14ac:dyDescent="0.25">
      <c r="A618" t="s">
        <v>33</v>
      </c>
      <c r="B618" t="s">
        <v>6</v>
      </c>
      <c r="C618" t="s">
        <v>11</v>
      </c>
      <c r="D618" t="s">
        <v>6</v>
      </c>
      <c r="E618" t="s">
        <v>9</v>
      </c>
      <c r="F618">
        <v>2028</v>
      </c>
      <c r="G618">
        <v>3838.3125289999998</v>
      </c>
      <c r="H618">
        <v>8.0000000000000002E-3</v>
      </c>
      <c r="I618">
        <v>-1</v>
      </c>
    </row>
    <row r="619" spans="1:9" hidden="1" x14ac:dyDescent="0.25">
      <c r="A619" t="s">
        <v>33</v>
      </c>
      <c r="B619" t="s">
        <v>6</v>
      </c>
      <c r="C619" t="s">
        <v>11</v>
      </c>
      <c r="D619" t="s">
        <v>6</v>
      </c>
      <c r="E619" t="s">
        <v>9</v>
      </c>
      <c r="F619">
        <v>2029</v>
      </c>
      <c r="G619">
        <v>3969.7985429999999</v>
      </c>
      <c r="H619">
        <v>8.0000000000000002E-3</v>
      </c>
      <c r="I619">
        <v>-1</v>
      </c>
    </row>
    <row r="620" spans="1:9" hidden="1" x14ac:dyDescent="0.25">
      <c r="A620" t="s">
        <v>33</v>
      </c>
      <c r="B620" t="s">
        <v>6</v>
      </c>
      <c r="C620" t="s">
        <v>11</v>
      </c>
      <c r="D620" t="s">
        <v>6</v>
      </c>
      <c r="E620" t="s">
        <v>9</v>
      </c>
      <c r="F620">
        <v>2030</v>
      </c>
      <c r="G620">
        <v>4105.7887689999998</v>
      </c>
      <c r="H620">
        <v>8.0000000000000002E-3</v>
      </c>
      <c r="I620">
        <v>-1</v>
      </c>
    </row>
    <row r="621" spans="1:9" hidden="1" x14ac:dyDescent="0.25">
      <c r="A621" t="s">
        <v>33</v>
      </c>
      <c r="B621" t="s">
        <v>6</v>
      </c>
      <c r="C621" t="s">
        <v>11</v>
      </c>
      <c r="D621" t="s">
        <v>6</v>
      </c>
      <c r="E621" t="s">
        <v>9</v>
      </c>
      <c r="F621">
        <v>2031</v>
      </c>
      <c r="G621">
        <v>4246.4375030000001</v>
      </c>
      <c r="H621">
        <v>8.0000000000000002E-3</v>
      </c>
      <c r="I621">
        <v>-1</v>
      </c>
    </row>
    <row r="622" spans="1:9" hidden="1" x14ac:dyDescent="0.25">
      <c r="A622" t="s">
        <v>33</v>
      </c>
      <c r="B622" t="s">
        <v>6</v>
      </c>
      <c r="C622" t="s">
        <v>11</v>
      </c>
      <c r="D622" t="s">
        <v>6</v>
      </c>
      <c r="E622" t="s">
        <v>9</v>
      </c>
      <c r="F622">
        <v>2032</v>
      </c>
      <c r="G622">
        <v>4391.904329</v>
      </c>
      <c r="H622">
        <v>8.0000000000000002E-3</v>
      </c>
      <c r="I622">
        <v>-1</v>
      </c>
    </row>
    <row r="623" spans="1:9" hidden="1" x14ac:dyDescent="0.25">
      <c r="A623" t="s">
        <v>33</v>
      </c>
      <c r="B623" t="s">
        <v>6</v>
      </c>
      <c r="C623" t="s">
        <v>11</v>
      </c>
      <c r="D623" t="s">
        <v>6</v>
      </c>
      <c r="E623" t="s">
        <v>9</v>
      </c>
      <c r="F623">
        <v>2033</v>
      </c>
      <c r="G623">
        <v>4542.3542960000004</v>
      </c>
      <c r="H623">
        <v>8.0000000000000002E-3</v>
      </c>
      <c r="I623">
        <v>-1</v>
      </c>
    </row>
    <row r="624" spans="1:9" hidden="1" x14ac:dyDescent="0.25">
      <c r="A624" t="s">
        <v>33</v>
      </c>
      <c r="B624" t="s">
        <v>6</v>
      </c>
      <c r="C624" t="s">
        <v>11</v>
      </c>
      <c r="D624" t="s">
        <v>6</v>
      </c>
      <c r="E624" t="s">
        <v>9</v>
      </c>
      <c r="F624">
        <v>2034</v>
      </c>
      <c r="G624">
        <v>4697.9581079999998</v>
      </c>
      <c r="H624">
        <v>8.0000000000000002E-3</v>
      </c>
      <c r="I624">
        <v>-1</v>
      </c>
    </row>
    <row r="625" spans="1:9" hidden="1" x14ac:dyDescent="0.25">
      <c r="A625" t="s">
        <v>33</v>
      </c>
      <c r="B625" t="s">
        <v>6</v>
      </c>
      <c r="C625" t="s">
        <v>11</v>
      </c>
      <c r="D625" t="s">
        <v>6</v>
      </c>
      <c r="E625" t="s">
        <v>9</v>
      </c>
      <c r="F625">
        <v>2035</v>
      </c>
      <c r="G625">
        <v>4858.8923160000004</v>
      </c>
      <c r="H625">
        <v>8.0000000000000002E-3</v>
      </c>
      <c r="I625">
        <v>-1</v>
      </c>
    </row>
    <row r="626" spans="1:9" hidden="1" x14ac:dyDescent="0.25">
      <c r="A626" t="s">
        <v>33</v>
      </c>
      <c r="B626" t="s">
        <v>6</v>
      </c>
      <c r="C626" t="s">
        <v>11</v>
      </c>
      <c r="D626" t="s">
        <v>6</v>
      </c>
      <c r="E626" t="s">
        <v>9</v>
      </c>
      <c r="F626">
        <v>2036</v>
      </c>
      <c r="G626">
        <v>5025.3395179999998</v>
      </c>
      <c r="H626">
        <v>8.0000000000000002E-3</v>
      </c>
      <c r="I626">
        <v>-1</v>
      </c>
    </row>
    <row r="627" spans="1:9" hidden="1" x14ac:dyDescent="0.25">
      <c r="A627" t="s">
        <v>33</v>
      </c>
      <c r="B627" t="s">
        <v>6</v>
      </c>
      <c r="C627" t="s">
        <v>11</v>
      </c>
      <c r="D627" t="s">
        <v>6</v>
      </c>
      <c r="E627" t="s">
        <v>9</v>
      </c>
      <c r="F627">
        <v>2037</v>
      </c>
      <c r="G627">
        <v>5197.4885700000004</v>
      </c>
      <c r="H627">
        <v>8.0000000000000002E-3</v>
      </c>
      <c r="I627">
        <v>-1</v>
      </c>
    </row>
    <row r="628" spans="1:9" hidden="1" x14ac:dyDescent="0.25">
      <c r="A628" t="s">
        <v>33</v>
      </c>
      <c r="B628" t="s">
        <v>6</v>
      </c>
      <c r="C628" t="s">
        <v>11</v>
      </c>
      <c r="D628" t="s">
        <v>6</v>
      </c>
      <c r="E628" t="s">
        <v>9</v>
      </c>
      <c r="F628">
        <v>2038</v>
      </c>
      <c r="G628">
        <v>5375.5347940000001</v>
      </c>
      <c r="H628">
        <v>8.0000000000000002E-3</v>
      </c>
      <c r="I628">
        <v>-1</v>
      </c>
    </row>
    <row r="629" spans="1:9" hidden="1" x14ac:dyDescent="0.25">
      <c r="A629" t="s">
        <v>33</v>
      </c>
      <c r="B629" t="s">
        <v>6</v>
      </c>
      <c r="C629" t="s">
        <v>11</v>
      </c>
      <c r="D629" t="s">
        <v>6</v>
      </c>
      <c r="E629" t="s">
        <v>9</v>
      </c>
      <c r="F629">
        <v>2039</v>
      </c>
      <c r="G629">
        <v>5559.6802070000003</v>
      </c>
      <c r="H629">
        <v>8.0000000000000002E-3</v>
      </c>
      <c r="I629">
        <v>-1</v>
      </c>
    </row>
    <row r="630" spans="1:9" hidden="1" x14ac:dyDescent="0.25">
      <c r="A630" t="s">
        <v>33</v>
      </c>
      <c r="B630" t="s">
        <v>6</v>
      </c>
      <c r="C630" t="s">
        <v>11</v>
      </c>
      <c r="D630" t="s">
        <v>6</v>
      </c>
      <c r="E630" t="s">
        <v>9</v>
      </c>
      <c r="F630">
        <v>2040</v>
      </c>
      <c r="G630">
        <v>5750.133742</v>
      </c>
      <c r="H630">
        <v>8.0000000000000002E-3</v>
      </c>
      <c r="I630">
        <v>-1</v>
      </c>
    </row>
    <row r="631" spans="1:9" hidden="1" x14ac:dyDescent="0.25">
      <c r="A631" t="s">
        <v>33</v>
      </c>
      <c r="B631" t="s">
        <v>6</v>
      </c>
      <c r="C631" t="s">
        <v>11</v>
      </c>
      <c r="D631" t="s">
        <v>6</v>
      </c>
      <c r="E631" t="s">
        <v>9</v>
      </c>
      <c r="F631">
        <v>2041</v>
      </c>
      <c r="G631">
        <v>5947.111492</v>
      </c>
      <c r="H631">
        <v>8.0000000000000002E-3</v>
      </c>
      <c r="I631">
        <v>-1</v>
      </c>
    </row>
    <row r="632" spans="1:9" x14ac:dyDescent="0.25">
      <c r="A632" t="s">
        <v>33</v>
      </c>
      <c r="B632" t="s">
        <v>6</v>
      </c>
      <c r="C632" t="s">
        <v>11</v>
      </c>
      <c r="D632" t="s">
        <v>6</v>
      </c>
      <c r="E632" t="s">
        <v>12</v>
      </c>
      <c r="F632">
        <v>2024</v>
      </c>
      <c r="G632">
        <v>1838.6</v>
      </c>
      <c r="H632">
        <v>8.0000000000000002E-3</v>
      </c>
      <c r="I632">
        <v>-1</v>
      </c>
    </row>
    <row r="633" spans="1:9" hidden="1" x14ac:dyDescent="0.25">
      <c r="A633" t="s">
        <v>33</v>
      </c>
      <c r="B633" t="s">
        <v>6</v>
      </c>
      <c r="C633" t="s">
        <v>12</v>
      </c>
      <c r="D633" t="s">
        <v>6</v>
      </c>
      <c r="E633" t="s">
        <v>10</v>
      </c>
      <c r="F633">
        <v>2025</v>
      </c>
      <c r="G633">
        <v>2497.6</v>
      </c>
      <c r="H633">
        <v>8.0000000000000002E-3</v>
      </c>
      <c r="I633">
        <v>-1</v>
      </c>
    </row>
    <row r="634" spans="1:9" hidden="1" x14ac:dyDescent="0.25">
      <c r="A634" t="s">
        <v>33</v>
      </c>
      <c r="B634" t="s">
        <v>6</v>
      </c>
      <c r="C634" t="s">
        <v>12</v>
      </c>
      <c r="D634" t="s">
        <v>6</v>
      </c>
      <c r="E634" t="s">
        <v>10</v>
      </c>
      <c r="F634">
        <v>2026</v>
      </c>
      <c r="G634">
        <v>2497.6</v>
      </c>
      <c r="H634">
        <v>8.0000000000000002E-3</v>
      </c>
      <c r="I634">
        <v>-1</v>
      </c>
    </row>
    <row r="635" spans="1:9" hidden="1" x14ac:dyDescent="0.25">
      <c r="A635" t="s">
        <v>33</v>
      </c>
      <c r="B635" t="s">
        <v>6</v>
      </c>
      <c r="C635" t="s">
        <v>12</v>
      </c>
      <c r="D635" t="s">
        <v>6</v>
      </c>
      <c r="E635" t="s">
        <v>10</v>
      </c>
      <c r="F635">
        <v>2027</v>
      </c>
      <c r="G635">
        <v>2497.6</v>
      </c>
      <c r="H635">
        <v>8.0000000000000002E-3</v>
      </c>
      <c r="I635">
        <v>-1</v>
      </c>
    </row>
    <row r="636" spans="1:9" hidden="1" x14ac:dyDescent="0.25">
      <c r="A636" t="s">
        <v>33</v>
      </c>
      <c r="B636" t="s">
        <v>6</v>
      </c>
      <c r="C636" t="s">
        <v>12</v>
      </c>
      <c r="D636" t="s">
        <v>6</v>
      </c>
      <c r="E636" t="s">
        <v>10</v>
      </c>
      <c r="F636">
        <v>2028</v>
      </c>
      <c r="G636">
        <v>2497.6</v>
      </c>
      <c r="H636">
        <v>8.0000000000000002E-3</v>
      </c>
      <c r="I636">
        <v>-1</v>
      </c>
    </row>
    <row r="637" spans="1:9" hidden="1" x14ac:dyDescent="0.25">
      <c r="A637" t="s">
        <v>33</v>
      </c>
      <c r="B637" t="s">
        <v>6</v>
      </c>
      <c r="C637" t="s">
        <v>12</v>
      </c>
      <c r="D637" t="s">
        <v>6</v>
      </c>
      <c r="E637" t="s">
        <v>10</v>
      </c>
      <c r="F637">
        <v>2029</v>
      </c>
      <c r="G637">
        <v>2497.6</v>
      </c>
      <c r="H637">
        <v>8.0000000000000002E-3</v>
      </c>
      <c r="I637">
        <v>-1</v>
      </c>
    </row>
    <row r="638" spans="1:9" hidden="1" x14ac:dyDescent="0.25">
      <c r="A638" t="s">
        <v>33</v>
      </c>
      <c r="B638" t="s">
        <v>6</v>
      </c>
      <c r="C638" t="s">
        <v>12</v>
      </c>
      <c r="D638" t="s">
        <v>6</v>
      </c>
      <c r="E638" t="s">
        <v>10</v>
      </c>
      <c r="F638">
        <v>2030</v>
      </c>
      <c r="G638">
        <v>2497.6</v>
      </c>
      <c r="H638">
        <v>8.0000000000000002E-3</v>
      </c>
      <c r="I638">
        <v>-1</v>
      </c>
    </row>
    <row r="639" spans="1:9" hidden="1" x14ac:dyDescent="0.25">
      <c r="A639" t="s">
        <v>33</v>
      </c>
      <c r="B639" t="s">
        <v>6</v>
      </c>
      <c r="C639" t="s">
        <v>12</v>
      </c>
      <c r="D639" t="s">
        <v>6</v>
      </c>
      <c r="E639" t="s">
        <v>10</v>
      </c>
      <c r="F639">
        <v>2031</v>
      </c>
      <c r="G639">
        <v>2497.6</v>
      </c>
      <c r="H639">
        <v>8.0000000000000002E-3</v>
      </c>
      <c r="I639">
        <v>-1</v>
      </c>
    </row>
    <row r="640" spans="1:9" hidden="1" x14ac:dyDescent="0.25">
      <c r="A640" t="s">
        <v>33</v>
      </c>
      <c r="B640" t="s">
        <v>6</v>
      </c>
      <c r="C640" t="s">
        <v>12</v>
      </c>
      <c r="D640" t="s">
        <v>6</v>
      </c>
      <c r="E640" t="s">
        <v>10</v>
      </c>
      <c r="F640">
        <v>2032</v>
      </c>
      <c r="G640">
        <v>2497.6</v>
      </c>
      <c r="H640">
        <v>8.0000000000000002E-3</v>
      </c>
      <c r="I640">
        <v>-1</v>
      </c>
    </row>
    <row r="641" spans="1:9" hidden="1" x14ac:dyDescent="0.25">
      <c r="A641" t="s">
        <v>33</v>
      </c>
      <c r="B641" t="s">
        <v>6</v>
      </c>
      <c r="C641" t="s">
        <v>12</v>
      </c>
      <c r="D641" t="s">
        <v>6</v>
      </c>
      <c r="E641" t="s">
        <v>10</v>
      </c>
      <c r="F641">
        <v>2033</v>
      </c>
      <c r="G641">
        <v>2497.6</v>
      </c>
      <c r="H641">
        <v>8.0000000000000002E-3</v>
      </c>
      <c r="I641">
        <v>-1</v>
      </c>
    </row>
    <row r="642" spans="1:9" hidden="1" x14ac:dyDescent="0.25">
      <c r="A642" t="s">
        <v>33</v>
      </c>
      <c r="B642" t="s">
        <v>6</v>
      </c>
      <c r="C642" t="s">
        <v>12</v>
      </c>
      <c r="D642" t="s">
        <v>6</v>
      </c>
      <c r="E642" t="s">
        <v>10</v>
      </c>
      <c r="F642">
        <v>2034</v>
      </c>
      <c r="G642">
        <v>2497.6</v>
      </c>
      <c r="H642">
        <v>8.0000000000000002E-3</v>
      </c>
      <c r="I642">
        <v>-1</v>
      </c>
    </row>
    <row r="643" spans="1:9" hidden="1" x14ac:dyDescent="0.25">
      <c r="A643" t="s">
        <v>33</v>
      </c>
      <c r="B643" t="s">
        <v>6</v>
      </c>
      <c r="C643" t="s">
        <v>12</v>
      </c>
      <c r="D643" t="s">
        <v>6</v>
      </c>
      <c r="E643" t="s">
        <v>10</v>
      </c>
      <c r="F643">
        <v>2035</v>
      </c>
      <c r="G643">
        <v>2497.6</v>
      </c>
      <c r="H643">
        <v>8.0000000000000002E-3</v>
      </c>
      <c r="I643">
        <v>-1</v>
      </c>
    </row>
    <row r="644" spans="1:9" hidden="1" x14ac:dyDescent="0.25">
      <c r="A644" t="s">
        <v>33</v>
      </c>
      <c r="B644" t="s">
        <v>6</v>
      </c>
      <c r="C644" t="s">
        <v>12</v>
      </c>
      <c r="D644" t="s">
        <v>6</v>
      </c>
      <c r="E644" t="s">
        <v>10</v>
      </c>
      <c r="F644">
        <v>2036</v>
      </c>
      <c r="G644">
        <v>2497.6</v>
      </c>
      <c r="H644">
        <v>8.0000000000000002E-3</v>
      </c>
      <c r="I644">
        <v>-1</v>
      </c>
    </row>
    <row r="645" spans="1:9" hidden="1" x14ac:dyDescent="0.25">
      <c r="A645" t="s">
        <v>33</v>
      </c>
      <c r="B645" t="s">
        <v>6</v>
      </c>
      <c r="C645" t="s">
        <v>12</v>
      </c>
      <c r="D645" t="s">
        <v>6</v>
      </c>
      <c r="E645" t="s">
        <v>10</v>
      </c>
      <c r="F645">
        <v>2037</v>
      </c>
      <c r="G645">
        <v>2497.6</v>
      </c>
      <c r="H645">
        <v>8.0000000000000002E-3</v>
      </c>
      <c r="I645">
        <v>-1</v>
      </c>
    </row>
    <row r="646" spans="1:9" hidden="1" x14ac:dyDescent="0.25">
      <c r="A646" t="s">
        <v>33</v>
      </c>
      <c r="B646" t="s">
        <v>6</v>
      </c>
      <c r="C646" t="s">
        <v>12</v>
      </c>
      <c r="D646" t="s">
        <v>6</v>
      </c>
      <c r="E646" t="s">
        <v>10</v>
      </c>
      <c r="F646">
        <v>2038</v>
      </c>
      <c r="G646">
        <v>2497.6</v>
      </c>
      <c r="H646">
        <v>8.0000000000000002E-3</v>
      </c>
      <c r="I646">
        <v>-1</v>
      </c>
    </row>
    <row r="647" spans="1:9" hidden="1" x14ac:dyDescent="0.25">
      <c r="A647" t="s">
        <v>33</v>
      </c>
      <c r="B647" t="s">
        <v>6</v>
      </c>
      <c r="C647" t="s">
        <v>12</v>
      </c>
      <c r="D647" t="s">
        <v>6</v>
      </c>
      <c r="E647" t="s">
        <v>10</v>
      </c>
      <c r="F647">
        <v>2039</v>
      </c>
      <c r="G647">
        <v>2497.6</v>
      </c>
      <c r="H647">
        <v>8.0000000000000002E-3</v>
      </c>
      <c r="I647">
        <v>-1</v>
      </c>
    </row>
    <row r="648" spans="1:9" hidden="1" x14ac:dyDescent="0.25">
      <c r="A648" t="s">
        <v>33</v>
      </c>
      <c r="B648" t="s">
        <v>6</v>
      </c>
      <c r="C648" t="s">
        <v>12</v>
      </c>
      <c r="D648" t="s">
        <v>6</v>
      </c>
      <c r="E648" t="s">
        <v>10</v>
      </c>
      <c r="F648">
        <v>2040</v>
      </c>
      <c r="G648">
        <v>2497.6</v>
      </c>
      <c r="H648">
        <v>8.0000000000000002E-3</v>
      </c>
      <c r="I648">
        <v>-1</v>
      </c>
    </row>
    <row r="649" spans="1:9" hidden="1" x14ac:dyDescent="0.25">
      <c r="A649" t="s">
        <v>33</v>
      </c>
      <c r="B649" t="s">
        <v>6</v>
      </c>
      <c r="C649" t="s">
        <v>12</v>
      </c>
      <c r="D649" t="s">
        <v>6</v>
      </c>
      <c r="E649" t="s">
        <v>10</v>
      </c>
      <c r="F649">
        <v>2041</v>
      </c>
      <c r="G649">
        <v>2497.6</v>
      </c>
      <c r="H649">
        <v>8.0000000000000002E-3</v>
      </c>
      <c r="I649">
        <v>-1</v>
      </c>
    </row>
    <row r="650" spans="1:9" x14ac:dyDescent="0.25">
      <c r="A650" t="s">
        <v>33</v>
      </c>
      <c r="B650" t="s">
        <v>6</v>
      </c>
      <c r="C650" t="s">
        <v>11</v>
      </c>
      <c r="D650" t="s">
        <v>6</v>
      </c>
      <c r="E650" t="s">
        <v>8</v>
      </c>
      <c r="F650">
        <v>2024</v>
      </c>
      <c r="G650">
        <v>2160.3000000000002</v>
      </c>
      <c r="H650">
        <v>8.0000000000000002E-3</v>
      </c>
      <c r="I650">
        <v>-1</v>
      </c>
    </row>
    <row r="651" spans="1:9" hidden="1" x14ac:dyDescent="0.25">
      <c r="A651" t="s">
        <v>33</v>
      </c>
      <c r="B651" t="s">
        <v>6</v>
      </c>
      <c r="C651" t="s">
        <v>12</v>
      </c>
      <c r="D651" t="s">
        <v>6</v>
      </c>
      <c r="E651" t="s">
        <v>11</v>
      </c>
      <c r="F651">
        <v>2025</v>
      </c>
      <c r="G651">
        <v>1867.2740530000001</v>
      </c>
      <c r="H651">
        <v>8.0000000000000002E-3</v>
      </c>
      <c r="I651">
        <v>-1</v>
      </c>
    </row>
    <row r="652" spans="1:9" hidden="1" x14ac:dyDescent="0.25">
      <c r="A652" t="s">
        <v>33</v>
      </c>
      <c r="B652" t="s">
        <v>6</v>
      </c>
      <c r="C652" t="s">
        <v>12</v>
      </c>
      <c r="D652" t="s">
        <v>6</v>
      </c>
      <c r="E652" t="s">
        <v>11</v>
      </c>
      <c r="F652">
        <v>2026</v>
      </c>
      <c r="G652">
        <v>1896.395295</v>
      </c>
      <c r="H652">
        <v>8.0000000000000002E-3</v>
      </c>
      <c r="I652">
        <v>-1</v>
      </c>
    </row>
    <row r="653" spans="1:9" hidden="1" x14ac:dyDescent="0.25">
      <c r="A653" t="s">
        <v>33</v>
      </c>
      <c r="B653" t="s">
        <v>6</v>
      </c>
      <c r="C653" t="s">
        <v>12</v>
      </c>
      <c r="D653" t="s">
        <v>6</v>
      </c>
      <c r="E653" t="s">
        <v>11</v>
      </c>
      <c r="F653">
        <v>2027</v>
      </c>
      <c r="G653">
        <v>1925.9707000000001</v>
      </c>
      <c r="H653">
        <v>8.0000000000000002E-3</v>
      </c>
      <c r="I653">
        <v>-1</v>
      </c>
    </row>
    <row r="654" spans="1:9" hidden="1" x14ac:dyDescent="0.25">
      <c r="A654" t="s">
        <v>33</v>
      </c>
      <c r="B654" t="s">
        <v>6</v>
      </c>
      <c r="C654" t="s">
        <v>12</v>
      </c>
      <c r="D654" t="s">
        <v>6</v>
      </c>
      <c r="E654" t="s">
        <v>11</v>
      </c>
      <c r="F654">
        <v>2028</v>
      </c>
      <c r="G654">
        <v>1956.007351</v>
      </c>
      <c r="H654">
        <v>8.0000000000000002E-3</v>
      </c>
      <c r="I654">
        <v>-1</v>
      </c>
    </row>
    <row r="655" spans="1:9" hidden="1" x14ac:dyDescent="0.25">
      <c r="A655" t="s">
        <v>33</v>
      </c>
      <c r="B655" t="s">
        <v>6</v>
      </c>
      <c r="C655" t="s">
        <v>12</v>
      </c>
      <c r="D655" t="s">
        <v>6</v>
      </c>
      <c r="E655" t="s">
        <v>11</v>
      </c>
      <c r="F655">
        <v>2029</v>
      </c>
      <c r="G655">
        <v>1986.5124410000001</v>
      </c>
      <c r="H655">
        <v>8.0000000000000002E-3</v>
      </c>
      <c r="I655">
        <v>-1</v>
      </c>
    </row>
    <row r="656" spans="1:9" hidden="1" x14ac:dyDescent="0.25">
      <c r="A656" t="s">
        <v>33</v>
      </c>
      <c r="B656" t="s">
        <v>6</v>
      </c>
      <c r="C656" t="s">
        <v>12</v>
      </c>
      <c r="D656" t="s">
        <v>6</v>
      </c>
      <c r="E656" t="s">
        <v>11</v>
      </c>
      <c r="F656">
        <v>2030</v>
      </c>
      <c r="G656">
        <v>2017.493277</v>
      </c>
      <c r="H656">
        <v>8.0000000000000002E-3</v>
      </c>
      <c r="I656">
        <v>-1</v>
      </c>
    </row>
    <row r="657" spans="1:9" hidden="1" x14ac:dyDescent="0.25">
      <c r="A657" t="s">
        <v>33</v>
      </c>
      <c r="B657" t="s">
        <v>6</v>
      </c>
      <c r="C657" t="s">
        <v>12</v>
      </c>
      <c r="D657" t="s">
        <v>6</v>
      </c>
      <c r="E657" t="s">
        <v>11</v>
      </c>
      <c r="F657">
        <v>2031</v>
      </c>
      <c r="G657">
        <v>2048.9572760000001</v>
      </c>
      <c r="H657">
        <v>8.0000000000000002E-3</v>
      </c>
      <c r="I657">
        <v>-1</v>
      </c>
    </row>
    <row r="658" spans="1:9" hidden="1" x14ac:dyDescent="0.25">
      <c r="A658" t="s">
        <v>33</v>
      </c>
      <c r="B658" t="s">
        <v>6</v>
      </c>
      <c r="C658" t="s">
        <v>12</v>
      </c>
      <c r="D658" t="s">
        <v>6</v>
      </c>
      <c r="E658" t="s">
        <v>11</v>
      </c>
      <c r="F658">
        <v>2032</v>
      </c>
      <c r="G658">
        <v>2080.911975</v>
      </c>
      <c r="H658">
        <v>8.0000000000000002E-3</v>
      </c>
      <c r="I658">
        <v>-1</v>
      </c>
    </row>
    <row r="659" spans="1:9" hidden="1" x14ac:dyDescent="0.25">
      <c r="A659" t="s">
        <v>33</v>
      </c>
      <c r="B659" t="s">
        <v>6</v>
      </c>
      <c r="C659" t="s">
        <v>12</v>
      </c>
      <c r="D659" t="s">
        <v>6</v>
      </c>
      <c r="E659" t="s">
        <v>11</v>
      </c>
      <c r="F659">
        <v>2033</v>
      </c>
      <c r="G659">
        <v>2113.3650269999998</v>
      </c>
      <c r="H659">
        <v>8.0000000000000002E-3</v>
      </c>
      <c r="I659">
        <v>-1</v>
      </c>
    </row>
    <row r="660" spans="1:9" hidden="1" x14ac:dyDescent="0.25">
      <c r="A660" t="s">
        <v>33</v>
      </c>
      <c r="B660" t="s">
        <v>6</v>
      </c>
      <c r="C660" t="s">
        <v>12</v>
      </c>
      <c r="D660" t="s">
        <v>6</v>
      </c>
      <c r="E660" t="s">
        <v>11</v>
      </c>
      <c r="F660">
        <v>2034</v>
      </c>
      <c r="G660">
        <v>2146.3242030000001</v>
      </c>
      <c r="H660">
        <v>8.0000000000000002E-3</v>
      </c>
      <c r="I660">
        <v>-1</v>
      </c>
    </row>
    <row r="661" spans="1:9" hidden="1" x14ac:dyDescent="0.25">
      <c r="A661" t="s">
        <v>33</v>
      </c>
      <c r="B661" t="s">
        <v>6</v>
      </c>
      <c r="C661" t="s">
        <v>12</v>
      </c>
      <c r="D661" t="s">
        <v>6</v>
      </c>
      <c r="E661" t="s">
        <v>11</v>
      </c>
      <c r="F661">
        <v>2035</v>
      </c>
      <c r="G661">
        <v>2179.7973969999998</v>
      </c>
      <c r="H661">
        <v>8.0000000000000002E-3</v>
      </c>
      <c r="I661">
        <v>-1</v>
      </c>
    </row>
    <row r="662" spans="1:9" hidden="1" x14ac:dyDescent="0.25">
      <c r="A662" t="s">
        <v>33</v>
      </c>
      <c r="B662" t="s">
        <v>6</v>
      </c>
      <c r="C662" t="s">
        <v>12</v>
      </c>
      <c r="D662" t="s">
        <v>6</v>
      </c>
      <c r="E662" t="s">
        <v>11</v>
      </c>
      <c r="F662">
        <v>2036</v>
      </c>
      <c r="G662">
        <v>2213.792625</v>
      </c>
      <c r="H662">
        <v>8.0000000000000002E-3</v>
      </c>
      <c r="I662">
        <v>-1</v>
      </c>
    </row>
    <row r="663" spans="1:9" hidden="1" x14ac:dyDescent="0.25">
      <c r="A663" t="s">
        <v>33</v>
      </c>
      <c r="B663" t="s">
        <v>6</v>
      </c>
      <c r="C663" t="s">
        <v>12</v>
      </c>
      <c r="D663" t="s">
        <v>6</v>
      </c>
      <c r="E663" t="s">
        <v>11</v>
      </c>
      <c r="F663">
        <v>2037</v>
      </c>
      <c r="G663">
        <v>2248.318029</v>
      </c>
      <c r="H663">
        <v>8.0000000000000002E-3</v>
      </c>
      <c r="I663">
        <v>-1</v>
      </c>
    </row>
    <row r="664" spans="1:9" hidden="1" x14ac:dyDescent="0.25">
      <c r="A664" t="s">
        <v>33</v>
      </c>
      <c r="B664" t="s">
        <v>6</v>
      </c>
      <c r="C664" t="s">
        <v>12</v>
      </c>
      <c r="D664" t="s">
        <v>6</v>
      </c>
      <c r="E664" t="s">
        <v>11</v>
      </c>
      <c r="F664">
        <v>2038</v>
      </c>
      <c r="G664">
        <v>2283.3818769999998</v>
      </c>
      <c r="H664">
        <v>8.0000000000000002E-3</v>
      </c>
      <c r="I664">
        <v>-1</v>
      </c>
    </row>
    <row r="665" spans="1:9" hidden="1" x14ac:dyDescent="0.25">
      <c r="A665" t="s">
        <v>33</v>
      </c>
      <c r="B665" t="s">
        <v>6</v>
      </c>
      <c r="C665" t="s">
        <v>12</v>
      </c>
      <c r="D665" t="s">
        <v>6</v>
      </c>
      <c r="E665" t="s">
        <v>11</v>
      </c>
      <c r="F665">
        <v>2039</v>
      </c>
      <c r="G665">
        <v>2318.9925669999998</v>
      </c>
      <c r="H665">
        <v>8.0000000000000002E-3</v>
      </c>
      <c r="I665">
        <v>-1</v>
      </c>
    </row>
    <row r="666" spans="1:9" hidden="1" x14ac:dyDescent="0.25">
      <c r="A666" t="s">
        <v>33</v>
      </c>
      <c r="B666" t="s">
        <v>6</v>
      </c>
      <c r="C666" t="s">
        <v>12</v>
      </c>
      <c r="D666" t="s">
        <v>6</v>
      </c>
      <c r="E666" t="s">
        <v>11</v>
      </c>
      <c r="F666">
        <v>2040</v>
      </c>
      <c r="G666">
        <v>2355.1586259999999</v>
      </c>
      <c r="H666">
        <v>8.0000000000000002E-3</v>
      </c>
      <c r="I666">
        <v>-1</v>
      </c>
    </row>
    <row r="667" spans="1:9" hidden="1" x14ac:dyDescent="0.25">
      <c r="A667" t="s">
        <v>33</v>
      </c>
      <c r="B667" t="s">
        <v>6</v>
      </c>
      <c r="C667" t="s">
        <v>12</v>
      </c>
      <c r="D667" t="s">
        <v>6</v>
      </c>
      <c r="E667" t="s">
        <v>11</v>
      </c>
      <c r="F667">
        <v>2041</v>
      </c>
      <c r="G667">
        <v>2391.8887159999999</v>
      </c>
      <c r="H667">
        <v>8.0000000000000002E-3</v>
      </c>
      <c r="I667">
        <v>-1</v>
      </c>
    </row>
    <row r="668" spans="1:9" x14ac:dyDescent="0.25">
      <c r="A668" t="s">
        <v>33</v>
      </c>
      <c r="B668" t="s">
        <v>6</v>
      </c>
      <c r="C668" t="s">
        <v>11</v>
      </c>
      <c r="D668" t="s">
        <v>6</v>
      </c>
      <c r="E668" t="s">
        <v>9</v>
      </c>
      <c r="F668">
        <v>2024</v>
      </c>
      <c r="G668">
        <v>3354.5</v>
      </c>
      <c r="H668">
        <v>8.0000000000000002E-3</v>
      </c>
      <c r="I668">
        <v>-1</v>
      </c>
    </row>
    <row r="669" spans="1:9" hidden="1" x14ac:dyDescent="0.25">
      <c r="A669" t="s">
        <v>33</v>
      </c>
      <c r="B669" t="s">
        <v>6</v>
      </c>
      <c r="C669" t="s">
        <v>12</v>
      </c>
      <c r="D669" t="s">
        <v>6</v>
      </c>
      <c r="E669" t="s">
        <v>12</v>
      </c>
      <c r="F669">
        <v>2025</v>
      </c>
      <c r="G669">
        <v>947.21769670000003</v>
      </c>
      <c r="H669">
        <v>2E-3</v>
      </c>
      <c r="I669">
        <v>-1</v>
      </c>
    </row>
    <row r="670" spans="1:9" hidden="1" x14ac:dyDescent="0.25">
      <c r="A670" t="s">
        <v>33</v>
      </c>
      <c r="B670" t="s">
        <v>6</v>
      </c>
      <c r="C670" t="s">
        <v>12</v>
      </c>
      <c r="D670" t="s">
        <v>6</v>
      </c>
      <c r="E670" t="s">
        <v>12</v>
      </c>
      <c r="F670">
        <v>2026</v>
      </c>
      <c r="G670">
        <v>968.92156039999998</v>
      </c>
      <c r="H670">
        <v>2E-3</v>
      </c>
      <c r="I670">
        <v>-1</v>
      </c>
    </row>
    <row r="671" spans="1:9" hidden="1" x14ac:dyDescent="0.25">
      <c r="A671" t="s">
        <v>33</v>
      </c>
      <c r="B671" t="s">
        <v>6</v>
      </c>
      <c r="C671" t="s">
        <v>12</v>
      </c>
      <c r="D671" t="s">
        <v>6</v>
      </c>
      <c r="E671" t="s">
        <v>12</v>
      </c>
      <c r="F671">
        <v>2027</v>
      </c>
      <c r="G671">
        <v>991.1227308</v>
      </c>
      <c r="H671">
        <v>2E-3</v>
      </c>
      <c r="I671">
        <v>-1</v>
      </c>
    </row>
    <row r="672" spans="1:9" hidden="1" x14ac:dyDescent="0.25">
      <c r="A672" t="s">
        <v>33</v>
      </c>
      <c r="B672" t="s">
        <v>6</v>
      </c>
      <c r="C672" t="s">
        <v>12</v>
      </c>
      <c r="D672" t="s">
        <v>6</v>
      </c>
      <c r="E672" t="s">
        <v>12</v>
      </c>
      <c r="F672">
        <v>2028</v>
      </c>
      <c r="G672">
        <v>1013.8326029999999</v>
      </c>
      <c r="H672">
        <v>2E-3</v>
      </c>
      <c r="I672">
        <v>-1</v>
      </c>
    </row>
    <row r="673" spans="1:9" hidden="1" x14ac:dyDescent="0.25">
      <c r="A673" t="s">
        <v>33</v>
      </c>
      <c r="B673" t="s">
        <v>6</v>
      </c>
      <c r="C673" t="s">
        <v>12</v>
      </c>
      <c r="D673" t="s">
        <v>6</v>
      </c>
      <c r="E673" t="s">
        <v>12</v>
      </c>
      <c r="F673">
        <v>2029</v>
      </c>
      <c r="G673">
        <v>1037.062833</v>
      </c>
      <c r="H673">
        <v>2E-3</v>
      </c>
      <c r="I673">
        <v>-1</v>
      </c>
    </row>
    <row r="674" spans="1:9" hidden="1" x14ac:dyDescent="0.25">
      <c r="A674" t="s">
        <v>33</v>
      </c>
      <c r="B674" t="s">
        <v>6</v>
      </c>
      <c r="C674" t="s">
        <v>12</v>
      </c>
      <c r="D674" t="s">
        <v>6</v>
      </c>
      <c r="E674" t="s">
        <v>12</v>
      </c>
      <c r="F674">
        <v>2030</v>
      </c>
      <c r="G674">
        <v>1060.825343</v>
      </c>
      <c r="H674">
        <v>2E-3</v>
      </c>
      <c r="I674">
        <v>-1</v>
      </c>
    </row>
    <row r="675" spans="1:9" hidden="1" x14ac:dyDescent="0.25">
      <c r="A675" t="s">
        <v>33</v>
      </c>
      <c r="B675" t="s">
        <v>6</v>
      </c>
      <c r="C675" t="s">
        <v>12</v>
      </c>
      <c r="D675" t="s">
        <v>6</v>
      </c>
      <c r="E675" t="s">
        <v>12</v>
      </c>
      <c r="F675">
        <v>2031</v>
      </c>
      <c r="G675">
        <v>1085.1323299999999</v>
      </c>
      <c r="H675">
        <v>2E-3</v>
      </c>
      <c r="I675">
        <v>-1</v>
      </c>
    </row>
    <row r="676" spans="1:9" hidden="1" x14ac:dyDescent="0.25">
      <c r="A676" t="s">
        <v>33</v>
      </c>
      <c r="B676" t="s">
        <v>6</v>
      </c>
      <c r="C676" t="s">
        <v>12</v>
      </c>
      <c r="D676" t="s">
        <v>6</v>
      </c>
      <c r="E676" t="s">
        <v>12</v>
      </c>
      <c r="F676">
        <v>2032</v>
      </c>
      <c r="G676">
        <v>1109.996271</v>
      </c>
      <c r="H676">
        <v>2E-3</v>
      </c>
      <c r="I676">
        <v>-1</v>
      </c>
    </row>
    <row r="677" spans="1:9" hidden="1" x14ac:dyDescent="0.25">
      <c r="A677" t="s">
        <v>33</v>
      </c>
      <c r="B677" t="s">
        <v>6</v>
      </c>
      <c r="C677" t="s">
        <v>12</v>
      </c>
      <c r="D677" t="s">
        <v>6</v>
      </c>
      <c r="E677" t="s">
        <v>12</v>
      </c>
      <c r="F677">
        <v>2033</v>
      </c>
      <c r="G677">
        <v>1135.4299249999999</v>
      </c>
      <c r="H677">
        <v>2E-3</v>
      </c>
      <c r="I677">
        <v>-1</v>
      </c>
    </row>
    <row r="678" spans="1:9" hidden="1" x14ac:dyDescent="0.25">
      <c r="A678" t="s">
        <v>33</v>
      </c>
      <c r="B678" t="s">
        <v>6</v>
      </c>
      <c r="C678" t="s">
        <v>12</v>
      </c>
      <c r="D678" t="s">
        <v>6</v>
      </c>
      <c r="E678" t="s">
        <v>12</v>
      </c>
      <c r="F678">
        <v>2034</v>
      </c>
      <c r="G678">
        <v>1161.4463479999999</v>
      </c>
      <c r="H678">
        <v>2E-3</v>
      </c>
      <c r="I678">
        <v>-1</v>
      </c>
    </row>
    <row r="679" spans="1:9" hidden="1" x14ac:dyDescent="0.25">
      <c r="A679" t="s">
        <v>33</v>
      </c>
      <c r="B679" t="s">
        <v>6</v>
      </c>
      <c r="C679" t="s">
        <v>12</v>
      </c>
      <c r="D679" t="s">
        <v>6</v>
      </c>
      <c r="E679" t="s">
        <v>12</v>
      </c>
      <c r="F679">
        <v>2035</v>
      </c>
      <c r="G679">
        <v>1188.0588929999999</v>
      </c>
      <c r="H679">
        <v>2E-3</v>
      </c>
      <c r="I679">
        <v>-1</v>
      </c>
    </row>
    <row r="680" spans="1:9" hidden="1" x14ac:dyDescent="0.25">
      <c r="A680" t="s">
        <v>33</v>
      </c>
      <c r="B680" t="s">
        <v>6</v>
      </c>
      <c r="C680" t="s">
        <v>12</v>
      </c>
      <c r="D680" t="s">
        <v>6</v>
      </c>
      <c r="E680" t="s">
        <v>12</v>
      </c>
      <c r="F680">
        <v>2036</v>
      </c>
      <c r="G680">
        <v>1215.2812180000001</v>
      </c>
      <c r="H680">
        <v>2E-3</v>
      </c>
      <c r="I680">
        <v>-1</v>
      </c>
    </row>
    <row r="681" spans="1:9" hidden="1" x14ac:dyDescent="0.25">
      <c r="A681" t="s">
        <v>33</v>
      </c>
      <c r="B681" t="s">
        <v>6</v>
      </c>
      <c r="C681" t="s">
        <v>12</v>
      </c>
      <c r="D681" t="s">
        <v>6</v>
      </c>
      <c r="E681" t="s">
        <v>12</v>
      </c>
      <c r="F681">
        <v>2037</v>
      </c>
      <c r="G681">
        <v>1243.127297</v>
      </c>
      <c r="H681">
        <v>2E-3</v>
      </c>
      <c r="I681">
        <v>-1</v>
      </c>
    </row>
    <row r="682" spans="1:9" hidden="1" x14ac:dyDescent="0.25">
      <c r="A682" t="s">
        <v>33</v>
      </c>
      <c r="B682" t="s">
        <v>6</v>
      </c>
      <c r="C682" t="s">
        <v>12</v>
      </c>
      <c r="D682" t="s">
        <v>6</v>
      </c>
      <c r="E682" t="s">
        <v>12</v>
      </c>
      <c r="F682">
        <v>2038</v>
      </c>
      <c r="G682">
        <v>1271.61142</v>
      </c>
      <c r="H682">
        <v>2E-3</v>
      </c>
      <c r="I682">
        <v>-1</v>
      </c>
    </row>
    <row r="683" spans="1:9" hidden="1" x14ac:dyDescent="0.25">
      <c r="A683" t="s">
        <v>33</v>
      </c>
      <c r="B683" t="s">
        <v>6</v>
      </c>
      <c r="C683" t="s">
        <v>12</v>
      </c>
      <c r="D683" t="s">
        <v>6</v>
      </c>
      <c r="E683" t="s">
        <v>12</v>
      </c>
      <c r="F683">
        <v>2039</v>
      </c>
      <c r="G683">
        <v>1300.7482070000001</v>
      </c>
      <c r="H683">
        <v>2E-3</v>
      </c>
      <c r="I683">
        <v>-1</v>
      </c>
    </row>
    <row r="684" spans="1:9" hidden="1" x14ac:dyDescent="0.25">
      <c r="A684" t="s">
        <v>33</v>
      </c>
      <c r="B684" t="s">
        <v>6</v>
      </c>
      <c r="C684" t="s">
        <v>12</v>
      </c>
      <c r="D684" t="s">
        <v>6</v>
      </c>
      <c r="E684" t="s">
        <v>12</v>
      </c>
      <c r="F684">
        <v>2040</v>
      </c>
      <c r="G684">
        <v>1330.5526139999999</v>
      </c>
      <c r="H684">
        <v>2E-3</v>
      </c>
      <c r="I684">
        <v>-1</v>
      </c>
    </row>
    <row r="685" spans="1:9" hidden="1" x14ac:dyDescent="0.25">
      <c r="A685" t="s">
        <v>33</v>
      </c>
      <c r="B685" t="s">
        <v>6</v>
      </c>
      <c r="C685" t="s">
        <v>12</v>
      </c>
      <c r="D685" t="s">
        <v>6</v>
      </c>
      <c r="E685" t="s">
        <v>12</v>
      </c>
      <c r="F685">
        <v>2041</v>
      </c>
      <c r="G685">
        <v>1361.0399379999999</v>
      </c>
      <c r="H685">
        <v>2E-3</v>
      </c>
      <c r="I685">
        <v>-1</v>
      </c>
    </row>
    <row r="686" spans="1:9" x14ac:dyDescent="0.25">
      <c r="A686" t="s">
        <v>33</v>
      </c>
      <c r="B686" t="s">
        <v>6</v>
      </c>
      <c r="C686" t="s">
        <v>12</v>
      </c>
      <c r="D686" t="s">
        <v>6</v>
      </c>
      <c r="E686" t="s">
        <v>10</v>
      </c>
      <c r="F686">
        <v>2024</v>
      </c>
      <c r="G686">
        <v>2497.6</v>
      </c>
      <c r="H686">
        <v>8.0000000000000002E-3</v>
      </c>
      <c r="I686">
        <v>-1</v>
      </c>
    </row>
    <row r="687" spans="1:9" hidden="1" x14ac:dyDescent="0.25">
      <c r="A687" t="s">
        <v>33</v>
      </c>
      <c r="B687" t="s">
        <v>6</v>
      </c>
      <c r="C687" t="s">
        <v>12</v>
      </c>
      <c r="D687" t="s">
        <v>6</v>
      </c>
      <c r="E687" t="s">
        <v>8</v>
      </c>
      <c r="F687">
        <v>2025</v>
      </c>
      <c r="G687">
        <v>3039.5055139999999</v>
      </c>
      <c r="H687">
        <v>8.0000000000000002E-3</v>
      </c>
      <c r="I687">
        <v>-1</v>
      </c>
    </row>
    <row r="688" spans="1:9" hidden="1" x14ac:dyDescent="0.25">
      <c r="A688" t="s">
        <v>33</v>
      </c>
      <c r="B688" t="s">
        <v>6</v>
      </c>
      <c r="C688" t="s">
        <v>12</v>
      </c>
      <c r="D688" t="s">
        <v>6</v>
      </c>
      <c r="E688" t="s">
        <v>8</v>
      </c>
      <c r="F688">
        <v>2026</v>
      </c>
      <c r="G688">
        <v>3049.4434150000002</v>
      </c>
      <c r="H688">
        <v>8.0000000000000002E-3</v>
      </c>
      <c r="I688">
        <v>-1</v>
      </c>
    </row>
    <row r="689" spans="1:9" hidden="1" x14ac:dyDescent="0.25">
      <c r="A689" t="s">
        <v>33</v>
      </c>
      <c r="B689" t="s">
        <v>6</v>
      </c>
      <c r="C689" t="s">
        <v>12</v>
      </c>
      <c r="D689" t="s">
        <v>6</v>
      </c>
      <c r="E689" t="s">
        <v>8</v>
      </c>
      <c r="F689">
        <v>2027</v>
      </c>
      <c r="G689">
        <v>3059.4138090000001</v>
      </c>
      <c r="H689">
        <v>8.0000000000000002E-3</v>
      </c>
      <c r="I689">
        <v>-1</v>
      </c>
    </row>
    <row r="690" spans="1:9" hidden="1" x14ac:dyDescent="0.25">
      <c r="A690" t="s">
        <v>33</v>
      </c>
      <c r="B690" t="s">
        <v>6</v>
      </c>
      <c r="C690" t="s">
        <v>12</v>
      </c>
      <c r="D690" t="s">
        <v>6</v>
      </c>
      <c r="E690" t="s">
        <v>8</v>
      </c>
      <c r="F690">
        <v>2028</v>
      </c>
      <c r="G690">
        <v>3069.4168020000002</v>
      </c>
      <c r="H690">
        <v>8.0000000000000002E-3</v>
      </c>
      <c r="I690">
        <v>-1</v>
      </c>
    </row>
    <row r="691" spans="1:9" hidden="1" x14ac:dyDescent="0.25">
      <c r="A691" t="s">
        <v>33</v>
      </c>
      <c r="B691" t="s">
        <v>6</v>
      </c>
      <c r="C691" t="s">
        <v>12</v>
      </c>
      <c r="D691" t="s">
        <v>6</v>
      </c>
      <c r="E691" t="s">
        <v>8</v>
      </c>
      <c r="F691">
        <v>2029</v>
      </c>
      <c r="G691">
        <v>3079.4524999999999</v>
      </c>
      <c r="H691">
        <v>8.0000000000000002E-3</v>
      </c>
      <c r="I691">
        <v>-1</v>
      </c>
    </row>
    <row r="692" spans="1:9" hidden="1" x14ac:dyDescent="0.25">
      <c r="A692" t="s">
        <v>33</v>
      </c>
      <c r="B692" t="s">
        <v>6</v>
      </c>
      <c r="C692" t="s">
        <v>12</v>
      </c>
      <c r="D692" t="s">
        <v>6</v>
      </c>
      <c r="E692" t="s">
        <v>8</v>
      </c>
      <c r="F692">
        <v>2030</v>
      </c>
      <c r="G692">
        <v>3089.5210109999998</v>
      </c>
      <c r="H692">
        <v>8.0000000000000002E-3</v>
      </c>
      <c r="I692">
        <v>-1</v>
      </c>
    </row>
    <row r="693" spans="1:9" hidden="1" x14ac:dyDescent="0.25">
      <c r="A693" t="s">
        <v>33</v>
      </c>
      <c r="B693" t="s">
        <v>6</v>
      </c>
      <c r="C693" t="s">
        <v>12</v>
      </c>
      <c r="D693" t="s">
        <v>6</v>
      </c>
      <c r="E693" t="s">
        <v>8</v>
      </c>
      <c r="F693">
        <v>2031</v>
      </c>
      <c r="G693">
        <v>3099.6224419999999</v>
      </c>
      <c r="H693">
        <v>8.0000000000000002E-3</v>
      </c>
      <c r="I693">
        <v>-1</v>
      </c>
    </row>
    <row r="694" spans="1:9" hidden="1" x14ac:dyDescent="0.25">
      <c r="A694" t="s">
        <v>33</v>
      </c>
      <c r="B694" t="s">
        <v>6</v>
      </c>
      <c r="C694" t="s">
        <v>12</v>
      </c>
      <c r="D694" t="s">
        <v>6</v>
      </c>
      <c r="E694" t="s">
        <v>8</v>
      </c>
      <c r="F694">
        <v>2032</v>
      </c>
      <c r="G694">
        <v>3109.7568999999999</v>
      </c>
      <c r="H694">
        <v>8.0000000000000002E-3</v>
      </c>
      <c r="I694">
        <v>-1</v>
      </c>
    </row>
    <row r="695" spans="1:9" hidden="1" x14ac:dyDescent="0.25">
      <c r="A695" t="s">
        <v>33</v>
      </c>
      <c r="B695" t="s">
        <v>6</v>
      </c>
      <c r="C695" t="s">
        <v>12</v>
      </c>
      <c r="D695" t="s">
        <v>6</v>
      </c>
      <c r="E695" t="s">
        <v>8</v>
      </c>
      <c r="F695">
        <v>2033</v>
      </c>
      <c r="G695">
        <v>3119.9244939999999</v>
      </c>
      <c r="H695">
        <v>8.0000000000000002E-3</v>
      </c>
      <c r="I695">
        <v>-1</v>
      </c>
    </row>
    <row r="696" spans="1:9" hidden="1" x14ac:dyDescent="0.25">
      <c r="A696" t="s">
        <v>33</v>
      </c>
      <c r="B696" t="s">
        <v>6</v>
      </c>
      <c r="C696" t="s">
        <v>12</v>
      </c>
      <c r="D696" t="s">
        <v>6</v>
      </c>
      <c r="E696" t="s">
        <v>8</v>
      </c>
      <c r="F696">
        <v>2034</v>
      </c>
      <c r="G696">
        <v>3130.1253310000002</v>
      </c>
      <c r="H696">
        <v>8.0000000000000002E-3</v>
      </c>
      <c r="I696">
        <v>-1</v>
      </c>
    </row>
    <row r="697" spans="1:9" hidden="1" x14ac:dyDescent="0.25">
      <c r="A697" t="s">
        <v>33</v>
      </c>
      <c r="B697" t="s">
        <v>6</v>
      </c>
      <c r="C697" t="s">
        <v>12</v>
      </c>
      <c r="D697" t="s">
        <v>6</v>
      </c>
      <c r="E697" t="s">
        <v>8</v>
      </c>
      <c r="F697">
        <v>2035</v>
      </c>
      <c r="G697">
        <v>3140.35952</v>
      </c>
      <c r="H697">
        <v>8.0000000000000002E-3</v>
      </c>
      <c r="I697">
        <v>-1</v>
      </c>
    </row>
    <row r="698" spans="1:9" hidden="1" x14ac:dyDescent="0.25">
      <c r="A698" t="s">
        <v>33</v>
      </c>
      <c r="B698" t="s">
        <v>6</v>
      </c>
      <c r="C698" t="s">
        <v>12</v>
      </c>
      <c r="D698" t="s">
        <v>6</v>
      </c>
      <c r="E698" t="s">
        <v>8</v>
      </c>
      <c r="F698">
        <v>2036</v>
      </c>
      <c r="G698">
        <v>3150.627172</v>
      </c>
      <c r="H698">
        <v>8.0000000000000002E-3</v>
      </c>
      <c r="I698">
        <v>-1</v>
      </c>
    </row>
    <row r="699" spans="1:9" hidden="1" x14ac:dyDescent="0.25">
      <c r="A699" t="s">
        <v>33</v>
      </c>
      <c r="B699" t="s">
        <v>6</v>
      </c>
      <c r="C699" t="s">
        <v>12</v>
      </c>
      <c r="D699" t="s">
        <v>6</v>
      </c>
      <c r="E699" t="s">
        <v>8</v>
      </c>
      <c r="F699">
        <v>2037</v>
      </c>
      <c r="G699">
        <v>3160.928394</v>
      </c>
      <c r="H699">
        <v>8.0000000000000002E-3</v>
      </c>
      <c r="I699">
        <v>-1</v>
      </c>
    </row>
    <row r="700" spans="1:9" hidden="1" x14ac:dyDescent="0.25">
      <c r="A700" t="s">
        <v>33</v>
      </c>
      <c r="B700" t="s">
        <v>6</v>
      </c>
      <c r="C700" t="s">
        <v>12</v>
      </c>
      <c r="D700" t="s">
        <v>6</v>
      </c>
      <c r="E700" t="s">
        <v>8</v>
      </c>
      <c r="F700">
        <v>2038</v>
      </c>
      <c r="G700">
        <v>3171.2632960000001</v>
      </c>
      <c r="H700">
        <v>8.0000000000000002E-3</v>
      </c>
      <c r="I700">
        <v>-1</v>
      </c>
    </row>
    <row r="701" spans="1:9" hidden="1" x14ac:dyDescent="0.25">
      <c r="A701" t="s">
        <v>33</v>
      </c>
      <c r="B701" t="s">
        <v>6</v>
      </c>
      <c r="C701" t="s">
        <v>12</v>
      </c>
      <c r="D701" t="s">
        <v>6</v>
      </c>
      <c r="E701" t="s">
        <v>8</v>
      </c>
      <c r="F701">
        <v>2039</v>
      </c>
      <c r="G701">
        <v>3181.6319899999999</v>
      </c>
      <c r="H701">
        <v>8.0000000000000002E-3</v>
      </c>
      <c r="I701">
        <v>-1</v>
      </c>
    </row>
    <row r="702" spans="1:9" hidden="1" x14ac:dyDescent="0.25">
      <c r="A702" t="s">
        <v>33</v>
      </c>
      <c r="B702" t="s">
        <v>6</v>
      </c>
      <c r="C702" t="s">
        <v>12</v>
      </c>
      <c r="D702" t="s">
        <v>6</v>
      </c>
      <c r="E702" t="s">
        <v>8</v>
      </c>
      <c r="F702">
        <v>2040</v>
      </c>
      <c r="G702">
        <v>3192.0345849999999</v>
      </c>
      <c r="H702">
        <v>8.0000000000000002E-3</v>
      </c>
      <c r="I702">
        <v>-1</v>
      </c>
    </row>
    <row r="703" spans="1:9" hidden="1" x14ac:dyDescent="0.25">
      <c r="A703" t="s">
        <v>33</v>
      </c>
      <c r="B703" t="s">
        <v>6</v>
      </c>
      <c r="C703" t="s">
        <v>12</v>
      </c>
      <c r="D703" t="s">
        <v>6</v>
      </c>
      <c r="E703" t="s">
        <v>8</v>
      </c>
      <c r="F703">
        <v>2041</v>
      </c>
      <c r="G703">
        <v>3202.4711910000001</v>
      </c>
      <c r="H703">
        <v>8.0000000000000002E-3</v>
      </c>
      <c r="I703">
        <v>-1</v>
      </c>
    </row>
    <row r="704" spans="1:9" x14ac:dyDescent="0.25">
      <c r="A704" t="s">
        <v>33</v>
      </c>
      <c r="B704" t="s">
        <v>6</v>
      </c>
      <c r="C704" t="s">
        <v>12</v>
      </c>
      <c r="D704" t="s">
        <v>6</v>
      </c>
      <c r="E704" t="s">
        <v>11</v>
      </c>
      <c r="F704">
        <v>2024</v>
      </c>
      <c r="G704">
        <v>1838.6</v>
      </c>
      <c r="H704">
        <v>8.0000000000000002E-3</v>
      </c>
      <c r="I704">
        <v>-1</v>
      </c>
    </row>
    <row r="705" spans="1:9" hidden="1" x14ac:dyDescent="0.25">
      <c r="A705" t="s">
        <v>33</v>
      </c>
      <c r="B705" t="s">
        <v>6</v>
      </c>
      <c r="C705" t="s">
        <v>12</v>
      </c>
      <c r="D705" t="s">
        <v>6</v>
      </c>
      <c r="E705" t="s">
        <v>9</v>
      </c>
      <c r="F705">
        <v>2025</v>
      </c>
      <c r="G705">
        <v>3282.7291890000001</v>
      </c>
      <c r="H705">
        <v>8.0000000000000002E-3</v>
      </c>
      <c r="I705">
        <v>-1</v>
      </c>
    </row>
    <row r="706" spans="1:9" hidden="1" x14ac:dyDescent="0.25">
      <c r="A706" t="s">
        <v>33</v>
      </c>
      <c r="B706" t="s">
        <v>6</v>
      </c>
      <c r="C706" t="s">
        <v>12</v>
      </c>
      <c r="D706" t="s">
        <v>6</v>
      </c>
      <c r="E706" t="s">
        <v>9</v>
      </c>
      <c r="F706">
        <v>2026</v>
      </c>
      <c r="G706">
        <v>3395.183027</v>
      </c>
      <c r="H706">
        <v>8.0000000000000002E-3</v>
      </c>
      <c r="I706">
        <v>-1</v>
      </c>
    </row>
    <row r="707" spans="1:9" hidden="1" x14ac:dyDescent="0.25">
      <c r="A707" t="s">
        <v>33</v>
      </c>
      <c r="B707" t="s">
        <v>6</v>
      </c>
      <c r="C707" t="s">
        <v>12</v>
      </c>
      <c r="D707" t="s">
        <v>6</v>
      </c>
      <c r="E707" t="s">
        <v>9</v>
      </c>
      <c r="F707">
        <v>2027</v>
      </c>
      <c r="G707">
        <v>3511.4891069999999</v>
      </c>
      <c r="H707">
        <v>8.0000000000000002E-3</v>
      </c>
      <c r="I707">
        <v>-1</v>
      </c>
    </row>
    <row r="708" spans="1:9" hidden="1" x14ac:dyDescent="0.25">
      <c r="A708" t="s">
        <v>33</v>
      </c>
      <c r="B708" t="s">
        <v>6</v>
      </c>
      <c r="C708" t="s">
        <v>12</v>
      </c>
      <c r="D708" t="s">
        <v>6</v>
      </c>
      <c r="E708" t="s">
        <v>9</v>
      </c>
      <c r="F708">
        <v>2028</v>
      </c>
      <c r="G708">
        <v>3631.779391</v>
      </c>
      <c r="H708">
        <v>8.0000000000000002E-3</v>
      </c>
      <c r="I708">
        <v>-1</v>
      </c>
    </row>
    <row r="709" spans="1:9" hidden="1" x14ac:dyDescent="0.25">
      <c r="A709" t="s">
        <v>33</v>
      </c>
      <c r="B709" t="s">
        <v>6</v>
      </c>
      <c r="C709" t="s">
        <v>12</v>
      </c>
      <c r="D709" t="s">
        <v>6</v>
      </c>
      <c r="E709" t="s">
        <v>9</v>
      </c>
      <c r="F709">
        <v>2029</v>
      </c>
      <c r="G709">
        <v>3756.190364</v>
      </c>
      <c r="H709">
        <v>8.0000000000000002E-3</v>
      </c>
      <c r="I709">
        <v>-1</v>
      </c>
    </row>
    <row r="710" spans="1:9" hidden="1" x14ac:dyDescent="0.25">
      <c r="A710" t="s">
        <v>33</v>
      </c>
      <c r="B710" t="s">
        <v>6</v>
      </c>
      <c r="C710" t="s">
        <v>12</v>
      </c>
      <c r="D710" t="s">
        <v>6</v>
      </c>
      <c r="E710" t="s">
        <v>9</v>
      </c>
      <c r="F710">
        <v>2030</v>
      </c>
      <c r="G710">
        <v>3884.8631839999998</v>
      </c>
      <c r="H710">
        <v>8.0000000000000002E-3</v>
      </c>
      <c r="I710">
        <v>-1</v>
      </c>
    </row>
    <row r="711" spans="1:9" hidden="1" x14ac:dyDescent="0.25">
      <c r="A711" t="s">
        <v>33</v>
      </c>
      <c r="B711" t="s">
        <v>6</v>
      </c>
      <c r="C711" t="s">
        <v>12</v>
      </c>
      <c r="D711" t="s">
        <v>6</v>
      </c>
      <c r="E711" t="s">
        <v>9</v>
      </c>
      <c r="F711">
        <v>2031</v>
      </c>
      <c r="G711">
        <v>4017.943847</v>
      </c>
      <c r="H711">
        <v>8.0000000000000002E-3</v>
      </c>
      <c r="I711">
        <v>-1</v>
      </c>
    </row>
    <row r="712" spans="1:9" hidden="1" x14ac:dyDescent="0.25">
      <c r="A712" t="s">
        <v>33</v>
      </c>
      <c r="B712" t="s">
        <v>6</v>
      </c>
      <c r="C712" t="s">
        <v>12</v>
      </c>
      <c r="D712" t="s">
        <v>6</v>
      </c>
      <c r="E712" t="s">
        <v>9</v>
      </c>
      <c r="F712">
        <v>2032</v>
      </c>
      <c r="G712">
        <v>4155.5833480000001</v>
      </c>
      <c r="H712">
        <v>8.0000000000000002E-3</v>
      </c>
      <c r="I712">
        <v>-1</v>
      </c>
    </row>
    <row r="713" spans="1:9" hidden="1" x14ac:dyDescent="0.25">
      <c r="A713" t="s">
        <v>33</v>
      </c>
      <c r="B713" t="s">
        <v>6</v>
      </c>
      <c r="C713" t="s">
        <v>12</v>
      </c>
      <c r="D713" t="s">
        <v>6</v>
      </c>
      <c r="E713" t="s">
        <v>9</v>
      </c>
      <c r="F713">
        <v>2033</v>
      </c>
      <c r="G713">
        <v>4297.9378559999996</v>
      </c>
      <c r="H713">
        <v>8.0000000000000002E-3</v>
      </c>
      <c r="I713">
        <v>-1</v>
      </c>
    </row>
    <row r="714" spans="1:9" hidden="1" x14ac:dyDescent="0.25">
      <c r="A714" t="s">
        <v>33</v>
      </c>
      <c r="B714" t="s">
        <v>6</v>
      </c>
      <c r="C714" t="s">
        <v>12</v>
      </c>
      <c r="D714" t="s">
        <v>6</v>
      </c>
      <c r="E714" t="s">
        <v>9</v>
      </c>
      <c r="F714">
        <v>2034</v>
      </c>
      <c r="G714">
        <v>4445.1688880000002</v>
      </c>
      <c r="H714">
        <v>8.0000000000000002E-3</v>
      </c>
      <c r="I714">
        <v>-1</v>
      </c>
    </row>
    <row r="715" spans="1:9" hidden="1" x14ac:dyDescent="0.25">
      <c r="A715" t="s">
        <v>33</v>
      </c>
      <c r="B715" t="s">
        <v>6</v>
      </c>
      <c r="C715" t="s">
        <v>12</v>
      </c>
      <c r="D715" t="s">
        <v>6</v>
      </c>
      <c r="E715" t="s">
        <v>9</v>
      </c>
      <c r="F715">
        <v>2035</v>
      </c>
      <c r="G715">
        <v>4597.4434970000002</v>
      </c>
      <c r="H715">
        <v>8.0000000000000002E-3</v>
      </c>
      <c r="I715">
        <v>-1</v>
      </c>
    </row>
    <row r="716" spans="1:9" hidden="1" x14ac:dyDescent="0.25">
      <c r="A716" t="s">
        <v>33</v>
      </c>
      <c r="B716" t="s">
        <v>6</v>
      </c>
      <c r="C716" t="s">
        <v>12</v>
      </c>
      <c r="D716" t="s">
        <v>6</v>
      </c>
      <c r="E716" t="s">
        <v>9</v>
      </c>
      <c r="F716">
        <v>2036</v>
      </c>
      <c r="G716">
        <v>4754.9344549999996</v>
      </c>
      <c r="H716">
        <v>8.0000000000000002E-3</v>
      </c>
      <c r="I716">
        <v>-1</v>
      </c>
    </row>
    <row r="717" spans="1:9" hidden="1" x14ac:dyDescent="0.25">
      <c r="A717" t="s">
        <v>33</v>
      </c>
      <c r="B717" t="s">
        <v>6</v>
      </c>
      <c r="C717" t="s">
        <v>12</v>
      </c>
      <c r="D717" t="s">
        <v>6</v>
      </c>
      <c r="E717" t="s">
        <v>9</v>
      </c>
      <c r="F717">
        <v>2037</v>
      </c>
      <c r="G717">
        <v>4917.8204560000004</v>
      </c>
      <c r="H717">
        <v>8.0000000000000002E-3</v>
      </c>
      <c r="I717">
        <v>-1</v>
      </c>
    </row>
    <row r="718" spans="1:9" hidden="1" x14ac:dyDescent="0.25">
      <c r="A718" t="s">
        <v>33</v>
      </c>
      <c r="B718" t="s">
        <v>6</v>
      </c>
      <c r="C718" t="s">
        <v>12</v>
      </c>
      <c r="D718" t="s">
        <v>6</v>
      </c>
      <c r="E718" t="s">
        <v>9</v>
      </c>
      <c r="F718">
        <v>2038</v>
      </c>
      <c r="G718">
        <v>5086.2863129999996</v>
      </c>
      <c r="H718">
        <v>8.0000000000000002E-3</v>
      </c>
      <c r="I718">
        <v>-1</v>
      </c>
    </row>
    <row r="719" spans="1:9" hidden="1" x14ac:dyDescent="0.25">
      <c r="A719" t="s">
        <v>33</v>
      </c>
      <c r="B719" t="s">
        <v>6</v>
      </c>
      <c r="C719" t="s">
        <v>12</v>
      </c>
      <c r="D719" t="s">
        <v>6</v>
      </c>
      <c r="E719" t="s">
        <v>9</v>
      </c>
      <c r="F719">
        <v>2039</v>
      </c>
      <c r="G719">
        <v>5260.5231709999998</v>
      </c>
      <c r="H719">
        <v>8.0000000000000002E-3</v>
      </c>
      <c r="I719">
        <v>-1</v>
      </c>
    </row>
    <row r="720" spans="1:9" hidden="1" x14ac:dyDescent="0.25">
      <c r="A720" t="s">
        <v>33</v>
      </c>
      <c r="B720" t="s">
        <v>6</v>
      </c>
      <c r="C720" t="s">
        <v>12</v>
      </c>
      <c r="D720" t="s">
        <v>6</v>
      </c>
      <c r="E720" t="s">
        <v>9</v>
      </c>
      <c r="F720">
        <v>2040</v>
      </c>
      <c r="G720">
        <v>5440.7287210000004</v>
      </c>
      <c r="H720">
        <v>8.0000000000000002E-3</v>
      </c>
      <c r="I720">
        <v>-1</v>
      </c>
    </row>
    <row r="721" spans="1:9" hidden="1" x14ac:dyDescent="0.25">
      <c r="A721" t="s">
        <v>33</v>
      </c>
      <c r="B721" t="s">
        <v>6</v>
      </c>
      <c r="C721" t="s">
        <v>12</v>
      </c>
      <c r="D721" t="s">
        <v>6</v>
      </c>
      <c r="E721" t="s">
        <v>9</v>
      </c>
      <c r="F721">
        <v>2041</v>
      </c>
      <c r="G721">
        <v>5627.10743</v>
      </c>
      <c r="H721">
        <v>8.0000000000000002E-3</v>
      </c>
      <c r="I721">
        <v>-1</v>
      </c>
    </row>
    <row r="722" spans="1:9" x14ac:dyDescent="0.25">
      <c r="A722" t="s">
        <v>33</v>
      </c>
      <c r="B722" t="s">
        <v>6</v>
      </c>
      <c r="C722" t="s">
        <v>12</v>
      </c>
      <c r="D722" t="s">
        <v>6</v>
      </c>
      <c r="E722" t="s">
        <v>8</v>
      </c>
      <c r="F722">
        <v>2024</v>
      </c>
      <c r="G722">
        <v>3029.6</v>
      </c>
      <c r="H722">
        <v>8.0000000000000002E-3</v>
      </c>
      <c r="I722">
        <v>-1</v>
      </c>
    </row>
    <row r="723" spans="1:9" hidden="1" x14ac:dyDescent="0.25">
      <c r="A723" t="s">
        <v>33</v>
      </c>
      <c r="B723" t="s">
        <v>6</v>
      </c>
      <c r="C723" t="s">
        <v>8</v>
      </c>
      <c r="D723" t="s">
        <v>6</v>
      </c>
      <c r="E723" t="s">
        <v>10</v>
      </c>
      <c r="F723">
        <v>2025</v>
      </c>
      <c r="G723">
        <v>2785.7786379999998</v>
      </c>
      <c r="H723">
        <v>8.0000000000000002E-3</v>
      </c>
      <c r="I723">
        <v>-1</v>
      </c>
    </row>
    <row r="724" spans="1:9" hidden="1" x14ac:dyDescent="0.25">
      <c r="A724" t="s">
        <v>33</v>
      </c>
      <c r="B724" t="s">
        <v>6</v>
      </c>
      <c r="C724" t="s">
        <v>8</v>
      </c>
      <c r="D724" t="s">
        <v>6</v>
      </c>
      <c r="E724" t="s">
        <v>10</v>
      </c>
      <c r="F724">
        <v>2026</v>
      </c>
      <c r="G724">
        <v>2794.8869589999999</v>
      </c>
      <c r="H724">
        <v>8.0000000000000002E-3</v>
      </c>
      <c r="I724">
        <v>-1</v>
      </c>
    </row>
    <row r="725" spans="1:9" hidden="1" x14ac:dyDescent="0.25">
      <c r="A725" t="s">
        <v>33</v>
      </c>
      <c r="B725" t="s">
        <v>6</v>
      </c>
      <c r="C725" t="s">
        <v>8</v>
      </c>
      <c r="D725" t="s">
        <v>6</v>
      </c>
      <c r="E725" t="s">
        <v>10</v>
      </c>
      <c r="F725">
        <v>2027</v>
      </c>
      <c r="G725">
        <v>2804.0250609999998</v>
      </c>
      <c r="H725">
        <v>8.0000000000000002E-3</v>
      </c>
      <c r="I725">
        <v>-1</v>
      </c>
    </row>
    <row r="726" spans="1:9" hidden="1" x14ac:dyDescent="0.25">
      <c r="A726" t="s">
        <v>33</v>
      </c>
      <c r="B726" t="s">
        <v>6</v>
      </c>
      <c r="C726" t="s">
        <v>8</v>
      </c>
      <c r="D726" t="s">
        <v>6</v>
      </c>
      <c r="E726" t="s">
        <v>10</v>
      </c>
      <c r="F726">
        <v>2028</v>
      </c>
      <c r="G726">
        <v>2813.1930400000001</v>
      </c>
      <c r="H726">
        <v>8.0000000000000002E-3</v>
      </c>
      <c r="I726">
        <v>-1</v>
      </c>
    </row>
    <row r="727" spans="1:9" hidden="1" x14ac:dyDescent="0.25">
      <c r="A727" t="s">
        <v>33</v>
      </c>
      <c r="B727" t="s">
        <v>6</v>
      </c>
      <c r="C727" t="s">
        <v>8</v>
      </c>
      <c r="D727" t="s">
        <v>6</v>
      </c>
      <c r="E727" t="s">
        <v>10</v>
      </c>
      <c r="F727">
        <v>2029</v>
      </c>
      <c r="G727">
        <v>2822.3909950000002</v>
      </c>
      <c r="H727">
        <v>8.0000000000000002E-3</v>
      </c>
      <c r="I727">
        <v>-1</v>
      </c>
    </row>
    <row r="728" spans="1:9" hidden="1" x14ac:dyDescent="0.25">
      <c r="A728" t="s">
        <v>33</v>
      </c>
      <c r="B728" t="s">
        <v>6</v>
      </c>
      <c r="C728" t="s">
        <v>8</v>
      </c>
      <c r="D728" t="s">
        <v>6</v>
      </c>
      <c r="E728" t="s">
        <v>10</v>
      </c>
      <c r="F728">
        <v>2030</v>
      </c>
      <c r="G728">
        <v>2831.6190230000002</v>
      </c>
      <c r="H728">
        <v>8.0000000000000002E-3</v>
      </c>
      <c r="I728">
        <v>-1</v>
      </c>
    </row>
    <row r="729" spans="1:9" hidden="1" x14ac:dyDescent="0.25">
      <c r="A729" t="s">
        <v>33</v>
      </c>
      <c r="B729" t="s">
        <v>6</v>
      </c>
      <c r="C729" t="s">
        <v>8</v>
      </c>
      <c r="D729" t="s">
        <v>6</v>
      </c>
      <c r="E729" t="s">
        <v>10</v>
      </c>
      <c r="F729">
        <v>2031</v>
      </c>
      <c r="G729">
        <v>2840.877223</v>
      </c>
      <c r="H729">
        <v>8.0000000000000002E-3</v>
      </c>
      <c r="I729">
        <v>-1</v>
      </c>
    </row>
    <row r="730" spans="1:9" hidden="1" x14ac:dyDescent="0.25">
      <c r="A730" t="s">
        <v>33</v>
      </c>
      <c r="B730" t="s">
        <v>6</v>
      </c>
      <c r="C730" t="s">
        <v>8</v>
      </c>
      <c r="D730" t="s">
        <v>6</v>
      </c>
      <c r="E730" t="s">
        <v>10</v>
      </c>
      <c r="F730">
        <v>2032</v>
      </c>
      <c r="G730">
        <v>2850.1656929999999</v>
      </c>
      <c r="H730">
        <v>8.0000000000000002E-3</v>
      </c>
      <c r="I730">
        <v>-1</v>
      </c>
    </row>
    <row r="731" spans="1:9" hidden="1" x14ac:dyDescent="0.25">
      <c r="A731" t="s">
        <v>33</v>
      </c>
      <c r="B731" t="s">
        <v>6</v>
      </c>
      <c r="C731" t="s">
        <v>8</v>
      </c>
      <c r="D731" t="s">
        <v>6</v>
      </c>
      <c r="E731" t="s">
        <v>10</v>
      </c>
      <c r="F731">
        <v>2033</v>
      </c>
      <c r="G731">
        <v>2859.4845329999998</v>
      </c>
      <c r="H731">
        <v>8.0000000000000002E-3</v>
      </c>
      <c r="I731">
        <v>-1</v>
      </c>
    </row>
    <row r="732" spans="1:9" hidden="1" x14ac:dyDescent="0.25">
      <c r="A732" t="s">
        <v>33</v>
      </c>
      <c r="B732" t="s">
        <v>6</v>
      </c>
      <c r="C732" t="s">
        <v>8</v>
      </c>
      <c r="D732" t="s">
        <v>6</v>
      </c>
      <c r="E732" t="s">
        <v>10</v>
      </c>
      <c r="F732">
        <v>2034</v>
      </c>
      <c r="G732">
        <v>2868.8338410000001</v>
      </c>
      <c r="H732">
        <v>8.0000000000000002E-3</v>
      </c>
      <c r="I732">
        <v>-1</v>
      </c>
    </row>
    <row r="733" spans="1:9" hidden="1" x14ac:dyDescent="0.25">
      <c r="A733" t="s">
        <v>33</v>
      </c>
      <c r="B733" t="s">
        <v>6</v>
      </c>
      <c r="C733" t="s">
        <v>8</v>
      </c>
      <c r="D733" t="s">
        <v>6</v>
      </c>
      <c r="E733" t="s">
        <v>10</v>
      </c>
      <c r="F733">
        <v>2035</v>
      </c>
      <c r="G733">
        <v>2878.213718</v>
      </c>
      <c r="H733">
        <v>8.0000000000000002E-3</v>
      </c>
      <c r="I733">
        <v>-1</v>
      </c>
    </row>
    <row r="734" spans="1:9" hidden="1" x14ac:dyDescent="0.25">
      <c r="A734" t="s">
        <v>33</v>
      </c>
      <c r="B734" t="s">
        <v>6</v>
      </c>
      <c r="C734" t="s">
        <v>8</v>
      </c>
      <c r="D734" t="s">
        <v>6</v>
      </c>
      <c r="E734" t="s">
        <v>10</v>
      </c>
      <c r="F734">
        <v>2036</v>
      </c>
      <c r="G734">
        <v>2887.6242630000002</v>
      </c>
      <c r="H734">
        <v>8.0000000000000002E-3</v>
      </c>
      <c r="I734">
        <v>-1</v>
      </c>
    </row>
    <row r="735" spans="1:9" hidden="1" x14ac:dyDescent="0.25">
      <c r="A735" t="s">
        <v>33</v>
      </c>
      <c r="B735" t="s">
        <v>6</v>
      </c>
      <c r="C735" t="s">
        <v>8</v>
      </c>
      <c r="D735" t="s">
        <v>6</v>
      </c>
      <c r="E735" t="s">
        <v>10</v>
      </c>
      <c r="F735">
        <v>2037</v>
      </c>
      <c r="G735">
        <v>2897.065576</v>
      </c>
      <c r="H735">
        <v>8.0000000000000002E-3</v>
      </c>
      <c r="I735">
        <v>-1</v>
      </c>
    </row>
    <row r="736" spans="1:9" hidden="1" x14ac:dyDescent="0.25">
      <c r="A736" t="s">
        <v>33</v>
      </c>
      <c r="B736" t="s">
        <v>6</v>
      </c>
      <c r="C736" t="s">
        <v>8</v>
      </c>
      <c r="D736" t="s">
        <v>6</v>
      </c>
      <c r="E736" t="s">
        <v>10</v>
      </c>
      <c r="F736">
        <v>2038</v>
      </c>
      <c r="G736">
        <v>2906.5377589999998</v>
      </c>
      <c r="H736">
        <v>8.0000000000000002E-3</v>
      </c>
      <c r="I736">
        <v>-1</v>
      </c>
    </row>
    <row r="737" spans="1:9" hidden="1" x14ac:dyDescent="0.25">
      <c r="A737" t="s">
        <v>33</v>
      </c>
      <c r="B737" t="s">
        <v>6</v>
      </c>
      <c r="C737" t="s">
        <v>8</v>
      </c>
      <c r="D737" t="s">
        <v>6</v>
      </c>
      <c r="E737" t="s">
        <v>10</v>
      </c>
      <c r="F737">
        <v>2039</v>
      </c>
      <c r="G737">
        <v>2916.0409119999999</v>
      </c>
      <c r="H737">
        <v>8.0000000000000002E-3</v>
      </c>
      <c r="I737">
        <v>-1</v>
      </c>
    </row>
    <row r="738" spans="1:9" hidden="1" x14ac:dyDescent="0.25">
      <c r="A738" t="s">
        <v>33</v>
      </c>
      <c r="B738" t="s">
        <v>6</v>
      </c>
      <c r="C738" t="s">
        <v>8</v>
      </c>
      <c r="D738" t="s">
        <v>6</v>
      </c>
      <c r="E738" t="s">
        <v>10</v>
      </c>
      <c r="F738">
        <v>2040</v>
      </c>
      <c r="G738">
        <v>2925.5751359999999</v>
      </c>
      <c r="H738">
        <v>8.0000000000000002E-3</v>
      </c>
      <c r="I738">
        <v>-1</v>
      </c>
    </row>
    <row r="739" spans="1:9" hidden="1" x14ac:dyDescent="0.25">
      <c r="A739" t="s">
        <v>33</v>
      </c>
      <c r="B739" t="s">
        <v>6</v>
      </c>
      <c r="C739" t="s">
        <v>8</v>
      </c>
      <c r="D739" t="s">
        <v>6</v>
      </c>
      <c r="E739" t="s">
        <v>10</v>
      </c>
      <c r="F739">
        <v>2041</v>
      </c>
      <c r="G739">
        <v>2935.1405319999999</v>
      </c>
      <c r="H739">
        <v>8.0000000000000002E-3</v>
      </c>
      <c r="I739">
        <v>-1</v>
      </c>
    </row>
    <row r="740" spans="1:9" x14ac:dyDescent="0.25">
      <c r="A740" t="s">
        <v>33</v>
      </c>
      <c r="B740" t="s">
        <v>6</v>
      </c>
      <c r="C740" t="s">
        <v>12</v>
      </c>
      <c r="D740" t="s">
        <v>6</v>
      </c>
      <c r="E740" t="s">
        <v>9</v>
      </c>
      <c r="F740">
        <v>2024</v>
      </c>
      <c r="G740">
        <v>3174</v>
      </c>
      <c r="H740">
        <v>8.0000000000000002E-3</v>
      </c>
      <c r="I740">
        <v>-1</v>
      </c>
    </row>
    <row r="741" spans="1:9" hidden="1" x14ac:dyDescent="0.25">
      <c r="A741" t="s">
        <v>33</v>
      </c>
      <c r="B741" t="s">
        <v>6</v>
      </c>
      <c r="C741" t="s">
        <v>8</v>
      </c>
      <c r="D741" t="s">
        <v>6</v>
      </c>
      <c r="E741" t="s">
        <v>11</v>
      </c>
      <c r="F741">
        <v>2025</v>
      </c>
      <c r="G741">
        <v>2160.3000000000002</v>
      </c>
      <c r="H741">
        <v>8.0000000000000002E-3</v>
      </c>
      <c r="I741">
        <v>-1</v>
      </c>
    </row>
    <row r="742" spans="1:9" hidden="1" x14ac:dyDescent="0.25">
      <c r="A742" t="s">
        <v>33</v>
      </c>
      <c r="B742" t="s">
        <v>6</v>
      </c>
      <c r="C742" t="s">
        <v>8</v>
      </c>
      <c r="D742" t="s">
        <v>6</v>
      </c>
      <c r="E742" t="s">
        <v>11</v>
      </c>
      <c r="F742">
        <v>2026</v>
      </c>
      <c r="G742">
        <v>2160.3000000000002</v>
      </c>
      <c r="H742">
        <v>8.0000000000000002E-3</v>
      </c>
      <c r="I742">
        <v>-1</v>
      </c>
    </row>
    <row r="743" spans="1:9" hidden="1" x14ac:dyDescent="0.25">
      <c r="A743" t="s">
        <v>33</v>
      </c>
      <c r="B743" t="s">
        <v>6</v>
      </c>
      <c r="C743" t="s">
        <v>8</v>
      </c>
      <c r="D743" t="s">
        <v>6</v>
      </c>
      <c r="E743" t="s">
        <v>11</v>
      </c>
      <c r="F743">
        <v>2027</v>
      </c>
      <c r="G743">
        <v>2160.3000000000002</v>
      </c>
      <c r="H743">
        <v>8.0000000000000002E-3</v>
      </c>
      <c r="I743">
        <v>-1</v>
      </c>
    </row>
    <row r="744" spans="1:9" hidden="1" x14ac:dyDescent="0.25">
      <c r="A744" t="s">
        <v>33</v>
      </c>
      <c r="B744" t="s">
        <v>6</v>
      </c>
      <c r="C744" t="s">
        <v>8</v>
      </c>
      <c r="D744" t="s">
        <v>6</v>
      </c>
      <c r="E744" t="s">
        <v>11</v>
      </c>
      <c r="F744">
        <v>2028</v>
      </c>
      <c r="G744">
        <v>2160.3000000000002</v>
      </c>
      <c r="H744">
        <v>8.0000000000000002E-3</v>
      </c>
      <c r="I744">
        <v>-1</v>
      </c>
    </row>
    <row r="745" spans="1:9" hidden="1" x14ac:dyDescent="0.25">
      <c r="A745" t="s">
        <v>33</v>
      </c>
      <c r="B745" t="s">
        <v>6</v>
      </c>
      <c r="C745" t="s">
        <v>8</v>
      </c>
      <c r="D745" t="s">
        <v>6</v>
      </c>
      <c r="E745" t="s">
        <v>11</v>
      </c>
      <c r="F745">
        <v>2029</v>
      </c>
      <c r="G745">
        <v>2160.3000000000002</v>
      </c>
      <c r="H745">
        <v>8.0000000000000002E-3</v>
      </c>
      <c r="I745">
        <v>-1</v>
      </c>
    </row>
    <row r="746" spans="1:9" hidden="1" x14ac:dyDescent="0.25">
      <c r="A746" t="s">
        <v>33</v>
      </c>
      <c r="B746" t="s">
        <v>6</v>
      </c>
      <c r="C746" t="s">
        <v>8</v>
      </c>
      <c r="D746" t="s">
        <v>6</v>
      </c>
      <c r="E746" t="s">
        <v>11</v>
      </c>
      <c r="F746">
        <v>2030</v>
      </c>
      <c r="G746">
        <v>2160.3000000000002</v>
      </c>
      <c r="H746">
        <v>8.0000000000000002E-3</v>
      </c>
      <c r="I746">
        <v>-1</v>
      </c>
    </row>
    <row r="747" spans="1:9" hidden="1" x14ac:dyDescent="0.25">
      <c r="A747" t="s">
        <v>33</v>
      </c>
      <c r="B747" t="s">
        <v>6</v>
      </c>
      <c r="C747" t="s">
        <v>8</v>
      </c>
      <c r="D747" t="s">
        <v>6</v>
      </c>
      <c r="E747" t="s">
        <v>11</v>
      </c>
      <c r="F747">
        <v>2031</v>
      </c>
      <c r="G747">
        <v>2160.3000000000002</v>
      </c>
      <c r="H747">
        <v>8.0000000000000002E-3</v>
      </c>
      <c r="I747">
        <v>-1</v>
      </c>
    </row>
    <row r="748" spans="1:9" hidden="1" x14ac:dyDescent="0.25">
      <c r="A748" t="s">
        <v>33</v>
      </c>
      <c r="B748" t="s">
        <v>6</v>
      </c>
      <c r="C748" t="s">
        <v>8</v>
      </c>
      <c r="D748" t="s">
        <v>6</v>
      </c>
      <c r="E748" t="s">
        <v>11</v>
      </c>
      <c r="F748">
        <v>2032</v>
      </c>
      <c r="G748">
        <v>2160.3000000000002</v>
      </c>
      <c r="H748">
        <v>8.0000000000000002E-3</v>
      </c>
      <c r="I748">
        <v>-1</v>
      </c>
    </row>
    <row r="749" spans="1:9" hidden="1" x14ac:dyDescent="0.25">
      <c r="A749" t="s">
        <v>33</v>
      </c>
      <c r="B749" t="s">
        <v>6</v>
      </c>
      <c r="C749" t="s">
        <v>8</v>
      </c>
      <c r="D749" t="s">
        <v>6</v>
      </c>
      <c r="E749" t="s">
        <v>11</v>
      </c>
      <c r="F749">
        <v>2033</v>
      </c>
      <c r="G749">
        <v>2160.3000000000002</v>
      </c>
      <c r="H749">
        <v>8.0000000000000002E-3</v>
      </c>
      <c r="I749">
        <v>-1</v>
      </c>
    </row>
    <row r="750" spans="1:9" hidden="1" x14ac:dyDescent="0.25">
      <c r="A750" t="s">
        <v>33</v>
      </c>
      <c r="B750" t="s">
        <v>6</v>
      </c>
      <c r="C750" t="s">
        <v>8</v>
      </c>
      <c r="D750" t="s">
        <v>6</v>
      </c>
      <c r="E750" t="s">
        <v>11</v>
      </c>
      <c r="F750">
        <v>2034</v>
      </c>
      <c r="G750">
        <v>2160.3000000000002</v>
      </c>
      <c r="H750">
        <v>8.0000000000000002E-3</v>
      </c>
      <c r="I750">
        <v>-1</v>
      </c>
    </row>
    <row r="751" spans="1:9" hidden="1" x14ac:dyDescent="0.25">
      <c r="A751" t="s">
        <v>33</v>
      </c>
      <c r="B751" t="s">
        <v>6</v>
      </c>
      <c r="C751" t="s">
        <v>8</v>
      </c>
      <c r="D751" t="s">
        <v>6</v>
      </c>
      <c r="E751" t="s">
        <v>11</v>
      </c>
      <c r="F751">
        <v>2035</v>
      </c>
      <c r="G751">
        <v>2160.3000000000002</v>
      </c>
      <c r="H751">
        <v>8.0000000000000002E-3</v>
      </c>
      <c r="I751">
        <v>-1</v>
      </c>
    </row>
    <row r="752" spans="1:9" hidden="1" x14ac:dyDescent="0.25">
      <c r="A752" t="s">
        <v>33</v>
      </c>
      <c r="B752" t="s">
        <v>6</v>
      </c>
      <c r="C752" t="s">
        <v>8</v>
      </c>
      <c r="D752" t="s">
        <v>6</v>
      </c>
      <c r="E752" t="s">
        <v>11</v>
      </c>
      <c r="F752">
        <v>2036</v>
      </c>
      <c r="G752">
        <v>2160.3000000000002</v>
      </c>
      <c r="H752">
        <v>8.0000000000000002E-3</v>
      </c>
      <c r="I752">
        <v>-1</v>
      </c>
    </row>
    <row r="753" spans="1:9" hidden="1" x14ac:dyDescent="0.25">
      <c r="A753" t="s">
        <v>33</v>
      </c>
      <c r="B753" t="s">
        <v>6</v>
      </c>
      <c r="C753" t="s">
        <v>8</v>
      </c>
      <c r="D753" t="s">
        <v>6</v>
      </c>
      <c r="E753" t="s">
        <v>11</v>
      </c>
      <c r="F753">
        <v>2037</v>
      </c>
      <c r="G753">
        <v>2160.3000000000002</v>
      </c>
      <c r="H753">
        <v>8.0000000000000002E-3</v>
      </c>
      <c r="I753">
        <v>-1</v>
      </c>
    </row>
    <row r="754" spans="1:9" hidden="1" x14ac:dyDescent="0.25">
      <c r="A754" t="s">
        <v>33</v>
      </c>
      <c r="B754" t="s">
        <v>6</v>
      </c>
      <c r="C754" t="s">
        <v>8</v>
      </c>
      <c r="D754" t="s">
        <v>6</v>
      </c>
      <c r="E754" t="s">
        <v>11</v>
      </c>
      <c r="F754">
        <v>2038</v>
      </c>
      <c r="G754">
        <v>2160.3000000000002</v>
      </c>
      <c r="H754">
        <v>8.0000000000000002E-3</v>
      </c>
      <c r="I754">
        <v>-1</v>
      </c>
    </row>
    <row r="755" spans="1:9" hidden="1" x14ac:dyDescent="0.25">
      <c r="A755" t="s">
        <v>33</v>
      </c>
      <c r="B755" t="s">
        <v>6</v>
      </c>
      <c r="C755" t="s">
        <v>8</v>
      </c>
      <c r="D755" t="s">
        <v>6</v>
      </c>
      <c r="E755" t="s">
        <v>11</v>
      </c>
      <c r="F755">
        <v>2039</v>
      </c>
      <c r="G755">
        <v>2160.3000000000002</v>
      </c>
      <c r="H755">
        <v>8.0000000000000002E-3</v>
      </c>
      <c r="I755">
        <v>-1</v>
      </c>
    </row>
    <row r="756" spans="1:9" hidden="1" x14ac:dyDescent="0.25">
      <c r="A756" t="s">
        <v>33</v>
      </c>
      <c r="B756" t="s">
        <v>6</v>
      </c>
      <c r="C756" t="s">
        <v>8</v>
      </c>
      <c r="D756" t="s">
        <v>6</v>
      </c>
      <c r="E756" t="s">
        <v>11</v>
      </c>
      <c r="F756">
        <v>2040</v>
      </c>
      <c r="G756">
        <v>2160.3000000000002</v>
      </c>
      <c r="H756">
        <v>8.0000000000000002E-3</v>
      </c>
      <c r="I756">
        <v>-1</v>
      </c>
    </row>
    <row r="757" spans="1:9" hidden="1" x14ac:dyDescent="0.25">
      <c r="A757" t="s">
        <v>33</v>
      </c>
      <c r="B757" t="s">
        <v>6</v>
      </c>
      <c r="C757" t="s">
        <v>8</v>
      </c>
      <c r="D757" t="s">
        <v>6</v>
      </c>
      <c r="E757" t="s">
        <v>11</v>
      </c>
      <c r="F757">
        <v>2041</v>
      </c>
      <c r="G757">
        <v>2160.3000000000002</v>
      </c>
      <c r="H757">
        <v>8.0000000000000002E-3</v>
      </c>
      <c r="I757">
        <v>-1</v>
      </c>
    </row>
    <row r="758" spans="1:9" x14ac:dyDescent="0.25">
      <c r="A758" t="s">
        <v>33</v>
      </c>
      <c r="B758" t="s">
        <v>6</v>
      </c>
      <c r="C758" t="s">
        <v>8</v>
      </c>
      <c r="D758" t="s">
        <v>6</v>
      </c>
      <c r="E758" t="s">
        <v>10</v>
      </c>
      <c r="F758">
        <v>2024</v>
      </c>
      <c r="G758">
        <v>2776.7</v>
      </c>
      <c r="H758">
        <v>8.0000000000000002E-3</v>
      </c>
      <c r="I758">
        <v>-1</v>
      </c>
    </row>
    <row r="759" spans="1:9" hidden="1" x14ac:dyDescent="0.25">
      <c r="A759" t="s">
        <v>33</v>
      </c>
      <c r="B759" t="s">
        <v>6</v>
      </c>
      <c r="C759" t="s">
        <v>8</v>
      </c>
      <c r="D759" t="s">
        <v>6</v>
      </c>
      <c r="E759" t="s">
        <v>12</v>
      </c>
      <c r="F759">
        <v>2025</v>
      </c>
      <c r="G759">
        <v>3039.5055139999999</v>
      </c>
      <c r="H759">
        <v>8.0000000000000002E-3</v>
      </c>
      <c r="I759">
        <v>-1</v>
      </c>
    </row>
    <row r="760" spans="1:9" hidden="1" x14ac:dyDescent="0.25">
      <c r="A760" t="s">
        <v>33</v>
      </c>
      <c r="B760" t="s">
        <v>6</v>
      </c>
      <c r="C760" t="s">
        <v>8</v>
      </c>
      <c r="D760" t="s">
        <v>6</v>
      </c>
      <c r="E760" t="s">
        <v>12</v>
      </c>
      <c r="F760">
        <v>2026</v>
      </c>
      <c r="G760">
        <v>3049.4434150000002</v>
      </c>
      <c r="H760">
        <v>8.0000000000000002E-3</v>
      </c>
      <c r="I760">
        <v>-1</v>
      </c>
    </row>
    <row r="761" spans="1:9" hidden="1" x14ac:dyDescent="0.25">
      <c r="A761" t="s">
        <v>33</v>
      </c>
      <c r="B761" t="s">
        <v>6</v>
      </c>
      <c r="C761" t="s">
        <v>8</v>
      </c>
      <c r="D761" t="s">
        <v>6</v>
      </c>
      <c r="E761" t="s">
        <v>12</v>
      </c>
      <c r="F761">
        <v>2027</v>
      </c>
      <c r="G761">
        <v>3059.4138090000001</v>
      </c>
      <c r="H761">
        <v>8.0000000000000002E-3</v>
      </c>
      <c r="I761">
        <v>-1</v>
      </c>
    </row>
    <row r="762" spans="1:9" hidden="1" x14ac:dyDescent="0.25">
      <c r="A762" t="s">
        <v>33</v>
      </c>
      <c r="B762" t="s">
        <v>6</v>
      </c>
      <c r="C762" t="s">
        <v>8</v>
      </c>
      <c r="D762" t="s">
        <v>6</v>
      </c>
      <c r="E762" t="s">
        <v>12</v>
      </c>
      <c r="F762">
        <v>2028</v>
      </c>
      <c r="G762">
        <v>3069.4168020000002</v>
      </c>
      <c r="H762">
        <v>8.0000000000000002E-3</v>
      </c>
      <c r="I762">
        <v>-1</v>
      </c>
    </row>
    <row r="763" spans="1:9" hidden="1" x14ac:dyDescent="0.25">
      <c r="A763" t="s">
        <v>33</v>
      </c>
      <c r="B763" t="s">
        <v>6</v>
      </c>
      <c r="C763" t="s">
        <v>8</v>
      </c>
      <c r="D763" t="s">
        <v>6</v>
      </c>
      <c r="E763" t="s">
        <v>12</v>
      </c>
      <c r="F763">
        <v>2029</v>
      </c>
      <c r="G763">
        <v>3079.4524999999999</v>
      </c>
      <c r="H763">
        <v>8.0000000000000002E-3</v>
      </c>
      <c r="I763">
        <v>-1</v>
      </c>
    </row>
    <row r="764" spans="1:9" hidden="1" x14ac:dyDescent="0.25">
      <c r="A764" t="s">
        <v>33</v>
      </c>
      <c r="B764" t="s">
        <v>6</v>
      </c>
      <c r="C764" t="s">
        <v>8</v>
      </c>
      <c r="D764" t="s">
        <v>6</v>
      </c>
      <c r="E764" t="s">
        <v>12</v>
      </c>
      <c r="F764">
        <v>2030</v>
      </c>
      <c r="G764">
        <v>3089.5210109999998</v>
      </c>
      <c r="H764">
        <v>8.0000000000000002E-3</v>
      </c>
      <c r="I764">
        <v>-1</v>
      </c>
    </row>
    <row r="765" spans="1:9" hidden="1" x14ac:dyDescent="0.25">
      <c r="A765" t="s">
        <v>33</v>
      </c>
      <c r="B765" t="s">
        <v>6</v>
      </c>
      <c r="C765" t="s">
        <v>8</v>
      </c>
      <c r="D765" t="s">
        <v>6</v>
      </c>
      <c r="E765" t="s">
        <v>12</v>
      </c>
      <c r="F765">
        <v>2031</v>
      </c>
      <c r="G765">
        <v>3099.6224419999999</v>
      </c>
      <c r="H765">
        <v>8.0000000000000002E-3</v>
      </c>
      <c r="I765">
        <v>-1</v>
      </c>
    </row>
    <row r="766" spans="1:9" hidden="1" x14ac:dyDescent="0.25">
      <c r="A766" t="s">
        <v>33</v>
      </c>
      <c r="B766" t="s">
        <v>6</v>
      </c>
      <c r="C766" t="s">
        <v>8</v>
      </c>
      <c r="D766" t="s">
        <v>6</v>
      </c>
      <c r="E766" t="s">
        <v>12</v>
      </c>
      <c r="F766">
        <v>2032</v>
      </c>
      <c r="G766">
        <v>3109.7568999999999</v>
      </c>
      <c r="H766">
        <v>8.0000000000000002E-3</v>
      </c>
      <c r="I766">
        <v>-1</v>
      </c>
    </row>
    <row r="767" spans="1:9" hidden="1" x14ac:dyDescent="0.25">
      <c r="A767" t="s">
        <v>33</v>
      </c>
      <c r="B767" t="s">
        <v>6</v>
      </c>
      <c r="C767" t="s">
        <v>8</v>
      </c>
      <c r="D767" t="s">
        <v>6</v>
      </c>
      <c r="E767" t="s">
        <v>12</v>
      </c>
      <c r="F767">
        <v>2033</v>
      </c>
      <c r="G767">
        <v>3119.9244939999999</v>
      </c>
      <c r="H767">
        <v>8.0000000000000002E-3</v>
      </c>
      <c r="I767">
        <v>-1</v>
      </c>
    </row>
    <row r="768" spans="1:9" hidden="1" x14ac:dyDescent="0.25">
      <c r="A768" t="s">
        <v>33</v>
      </c>
      <c r="B768" t="s">
        <v>6</v>
      </c>
      <c r="C768" t="s">
        <v>8</v>
      </c>
      <c r="D768" t="s">
        <v>6</v>
      </c>
      <c r="E768" t="s">
        <v>12</v>
      </c>
      <c r="F768">
        <v>2034</v>
      </c>
      <c r="G768">
        <v>3130.1253310000002</v>
      </c>
      <c r="H768">
        <v>8.0000000000000002E-3</v>
      </c>
      <c r="I768">
        <v>-1</v>
      </c>
    </row>
    <row r="769" spans="1:9" hidden="1" x14ac:dyDescent="0.25">
      <c r="A769" t="s">
        <v>33</v>
      </c>
      <c r="B769" t="s">
        <v>6</v>
      </c>
      <c r="C769" t="s">
        <v>8</v>
      </c>
      <c r="D769" t="s">
        <v>6</v>
      </c>
      <c r="E769" t="s">
        <v>12</v>
      </c>
      <c r="F769">
        <v>2035</v>
      </c>
      <c r="G769">
        <v>3140.35952</v>
      </c>
      <c r="H769">
        <v>8.0000000000000002E-3</v>
      </c>
      <c r="I769">
        <v>-1</v>
      </c>
    </row>
    <row r="770" spans="1:9" hidden="1" x14ac:dyDescent="0.25">
      <c r="A770" t="s">
        <v>33</v>
      </c>
      <c r="B770" t="s">
        <v>6</v>
      </c>
      <c r="C770" t="s">
        <v>8</v>
      </c>
      <c r="D770" t="s">
        <v>6</v>
      </c>
      <c r="E770" t="s">
        <v>12</v>
      </c>
      <c r="F770">
        <v>2036</v>
      </c>
      <c r="G770">
        <v>3150.627172</v>
      </c>
      <c r="H770">
        <v>8.0000000000000002E-3</v>
      </c>
      <c r="I770">
        <v>-1</v>
      </c>
    </row>
    <row r="771" spans="1:9" hidden="1" x14ac:dyDescent="0.25">
      <c r="A771" t="s">
        <v>33</v>
      </c>
      <c r="B771" t="s">
        <v>6</v>
      </c>
      <c r="C771" t="s">
        <v>8</v>
      </c>
      <c r="D771" t="s">
        <v>6</v>
      </c>
      <c r="E771" t="s">
        <v>12</v>
      </c>
      <c r="F771">
        <v>2037</v>
      </c>
      <c r="G771">
        <v>3160.928394</v>
      </c>
      <c r="H771">
        <v>8.0000000000000002E-3</v>
      </c>
      <c r="I771">
        <v>-1</v>
      </c>
    </row>
    <row r="772" spans="1:9" hidden="1" x14ac:dyDescent="0.25">
      <c r="A772" t="s">
        <v>33</v>
      </c>
      <c r="B772" t="s">
        <v>6</v>
      </c>
      <c r="C772" t="s">
        <v>8</v>
      </c>
      <c r="D772" t="s">
        <v>6</v>
      </c>
      <c r="E772" t="s">
        <v>12</v>
      </c>
      <c r="F772">
        <v>2038</v>
      </c>
      <c r="G772">
        <v>3171.2632960000001</v>
      </c>
      <c r="H772">
        <v>8.0000000000000002E-3</v>
      </c>
      <c r="I772">
        <v>-1</v>
      </c>
    </row>
    <row r="773" spans="1:9" hidden="1" x14ac:dyDescent="0.25">
      <c r="A773" t="s">
        <v>33</v>
      </c>
      <c r="B773" t="s">
        <v>6</v>
      </c>
      <c r="C773" t="s">
        <v>8</v>
      </c>
      <c r="D773" t="s">
        <v>6</v>
      </c>
      <c r="E773" t="s">
        <v>12</v>
      </c>
      <c r="F773">
        <v>2039</v>
      </c>
      <c r="G773">
        <v>3181.6319899999999</v>
      </c>
      <c r="H773">
        <v>8.0000000000000002E-3</v>
      </c>
      <c r="I773">
        <v>-1</v>
      </c>
    </row>
    <row r="774" spans="1:9" hidden="1" x14ac:dyDescent="0.25">
      <c r="A774" t="s">
        <v>33</v>
      </c>
      <c r="B774" t="s">
        <v>6</v>
      </c>
      <c r="C774" t="s">
        <v>8</v>
      </c>
      <c r="D774" t="s">
        <v>6</v>
      </c>
      <c r="E774" t="s">
        <v>12</v>
      </c>
      <c r="F774">
        <v>2040</v>
      </c>
      <c r="G774">
        <v>3192.0345849999999</v>
      </c>
      <c r="H774">
        <v>8.0000000000000002E-3</v>
      </c>
      <c r="I774">
        <v>-1</v>
      </c>
    </row>
    <row r="775" spans="1:9" hidden="1" x14ac:dyDescent="0.25">
      <c r="A775" t="s">
        <v>33</v>
      </c>
      <c r="B775" t="s">
        <v>6</v>
      </c>
      <c r="C775" t="s">
        <v>8</v>
      </c>
      <c r="D775" t="s">
        <v>6</v>
      </c>
      <c r="E775" t="s">
        <v>12</v>
      </c>
      <c r="F775">
        <v>2041</v>
      </c>
      <c r="G775">
        <v>3202.4711910000001</v>
      </c>
      <c r="H775">
        <v>8.0000000000000002E-3</v>
      </c>
      <c r="I775">
        <v>-1</v>
      </c>
    </row>
    <row r="776" spans="1:9" x14ac:dyDescent="0.25">
      <c r="A776" t="s">
        <v>33</v>
      </c>
      <c r="B776" t="s">
        <v>6</v>
      </c>
      <c r="C776" t="s">
        <v>8</v>
      </c>
      <c r="D776" t="s">
        <v>6</v>
      </c>
      <c r="E776" t="s">
        <v>11</v>
      </c>
      <c r="F776">
        <v>2024</v>
      </c>
      <c r="G776">
        <v>2160.3000000000002</v>
      </c>
      <c r="H776">
        <v>8.0000000000000002E-3</v>
      </c>
      <c r="I776">
        <v>-1</v>
      </c>
    </row>
    <row r="777" spans="1:9" hidden="1" x14ac:dyDescent="0.25">
      <c r="A777" t="s">
        <v>33</v>
      </c>
      <c r="B777" t="s">
        <v>6</v>
      </c>
      <c r="C777" t="s">
        <v>8</v>
      </c>
      <c r="D777" t="s">
        <v>6</v>
      </c>
      <c r="E777" t="s">
        <v>8</v>
      </c>
      <c r="F777">
        <v>2025</v>
      </c>
      <c r="G777">
        <v>947.21769670000003</v>
      </c>
      <c r="H777">
        <v>2E-3</v>
      </c>
      <c r="I777">
        <v>-1</v>
      </c>
    </row>
    <row r="778" spans="1:9" hidden="1" x14ac:dyDescent="0.25">
      <c r="A778" t="s">
        <v>33</v>
      </c>
      <c r="B778" t="s">
        <v>6</v>
      </c>
      <c r="C778" t="s">
        <v>8</v>
      </c>
      <c r="D778" t="s">
        <v>6</v>
      </c>
      <c r="E778" t="s">
        <v>8</v>
      </c>
      <c r="F778">
        <v>2026</v>
      </c>
      <c r="G778">
        <v>968.92156039999998</v>
      </c>
      <c r="H778">
        <v>2E-3</v>
      </c>
      <c r="I778">
        <v>-1</v>
      </c>
    </row>
    <row r="779" spans="1:9" hidden="1" x14ac:dyDescent="0.25">
      <c r="A779" t="s">
        <v>33</v>
      </c>
      <c r="B779" t="s">
        <v>6</v>
      </c>
      <c r="C779" t="s">
        <v>8</v>
      </c>
      <c r="D779" t="s">
        <v>6</v>
      </c>
      <c r="E779" t="s">
        <v>8</v>
      </c>
      <c r="F779">
        <v>2027</v>
      </c>
      <c r="G779">
        <v>991.1227308</v>
      </c>
      <c r="H779">
        <v>2E-3</v>
      </c>
      <c r="I779">
        <v>-1</v>
      </c>
    </row>
    <row r="780" spans="1:9" hidden="1" x14ac:dyDescent="0.25">
      <c r="A780" t="s">
        <v>33</v>
      </c>
      <c r="B780" t="s">
        <v>6</v>
      </c>
      <c r="C780" t="s">
        <v>8</v>
      </c>
      <c r="D780" t="s">
        <v>6</v>
      </c>
      <c r="E780" t="s">
        <v>8</v>
      </c>
      <c r="F780">
        <v>2028</v>
      </c>
      <c r="G780">
        <v>1013.8326029999999</v>
      </c>
      <c r="H780">
        <v>2E-3</v>
      </c>
      <c r="I780">
        <v>-1</v>
      </c>
    </row>
    <row r="781" spans="1:9" hidden="1" x14ac:dyDescent="0.25">
      <c r="A781" t="s">
        <v>33</v>
      </c>
      <c r="B781" t="s">
        <v>6</v>
      </c>
      <c r="C781" t="s">
        <v>8</v>
      </c>
      <c r="D781" t="s">
        <v>6</v>
      </c>
      <c r="E781" t="s">
        <v>8</v>
      </c>
      <c r="F781">
        <v>2029</v>
      </c>
      <c r="G781">
        <v>1037.062833</v>
      </c>
      <c r="H781">
        <v>2E-3</v>
      </c>
      <c r="I781">
        <v>-1</v>
      </c>
    </row>
    <row r="782" spans="1:9" hidden="1" x14ac:dyDescent="0.25">
      <c r="A782" t="s">
        <v>33</v>
      </c>
      <c r="B782" t="s">
        <v>6</v>
      </c>
      <c r="C782" t="s">
        <v>8</v>
      </c>
      <c r="D782" t="s">
        <v>6</v>
      </c>
      <c r="E782" t="s">
        <v>8</v>
      </c>
      <c r="F782">
        <v>2030</v>
      </c>
      <c r="G782">
        <v>1060.825343</v>
      </c>
      <c r="H782">
        <v>2E-3</v>
      </c>
      <c r="I782">
        <v>-1</v>
      </c>
    </row>
    <row r="783" spans="1:9" hidden="1" x14ac:dyDescent="0.25">
      <c r="A783" t="s">
        <v>33</v>
      </c>
      <c r="B783" t="s">
        <v>6</v>
      </c>
      <c r="C783" t="s">
        <v>8</v>
      </c>
      <c r="D783" t="s">
        <v>6</v>
      </c>
      <c r="E783" t="s">
        <v>8</v>
      </c>
      <c r="F783">
        <v>2031</v>
      </c>
      <c r="G783">
        <v>1085.1323299999999</v>
      </c>
      <c r="H783">
        <v>2E-3</v>
      </c>
      <c r="I783">
        <v>-1</v>
      </c>
    </row>
    <row r="784" spans="1:9" hidden="1" x14ac:dyDescent="0.25">
      <c r="A784" t="s">
        <v>33</v>
      </c>
      <c r="B784" t="s">
        <v>6</v>
      </c>
      <c r="C784" t="s">
        <v>8</v>
      </c>
      <c r="D784" t="s">
        <v>6</v>
      </c>
      <c r="E784" t="s">
        <v>8</v>
      </c>
      <c r="F784">
        <v>2032</v>
      </c>
      <c r="G784">
        <v>1109.996271</v>
      </c>
      <c r="H784">
        <v>2E-3</v>
      </c>
      <c r="I784">
        <v>-1</v>
      </c>
    </row>
    <row r="785" spans="1:9" hidden="1" x14ac:dyDescent="0.25">
      <c r="A785" t="s">
        <v>33</v>
      </c>
      <c r="B785" t="s">
        <v>6</v>
      </c>
      <c r="C785" t="s">
        <v>8</v>
      </c>
      <c r="D785" t="s">
        <v>6</v>
      </c>
      <c r="E785" t="s">
        <v>8</v>
      </c>
      <c r="F785">
        <v>2033</v>
      </c>
      <c r="G785">
        <v>1135.4299249999999</v>
      </c>
      <c r="H785">
        <v>2E-3</v>
      </c>
      <c r="I785">
        <v>-1</v>
      </c>
    </row>
    <row r="786" spans="1:9" hidden="1" x14ac:dyDescent="0.25">
      <c r="A786" t="s">
        <v>33</v>
      </c>
      <c r="B786" t="s">
        <v>6</v>
      </c>
      <c r="C786" t="s">
        <v>8</v>
      </c>
      <c r="D786" t="s">
        <v>6</v>
      </c>
      <c r="E786" t="s">
        <v>8</v>
      </c>
      <c r="F786">
        <v>2034</v>
      </c>
      <c r="G786">
        <v>1161.4463479999999</v>
      </c>
      <c r="H786">
        <v>2E-3</v>
      </c>
      <c r="I786">
        <v>-1</v>
      </c>
    </row>
    <row r="787" spans="1:9" hidden="1" x14ac:dyDescent="0.25">
      <c r="A787" t="s">
        <v>33</v>
      </c>
      <c r="B787" t="s">
        <v>6</v>
      </c>
      <c r="C787" t="s">
        <v>8</v>
      </c>
      <c r="D787" t="s">
        <v>6</v>
      </c>
      <c r="E787" t="s">
        <v>8</v>
      </c>
      <c r="F787">
        <v>2035</v>
      </c>
      <c r="G787">
        <v>1188.0588929999999</v>
      </c>
      <c r="H787">
        <v>2E-3</v>
      </c>
      <c r="I787">
        <v>-1</v>
      </c>
    </row>
    <row r="788" spans="1:9" hidden="1" x14ac:dyDescent="0.25">
      <c r="A788" t="s">
        <v>33</v>
      </c>
      <c r="B788" t="s">
        <v>6</v>
      </c>
      <c r="C788" t="s">
        <v>8</v>
      </c>
      <c r="D788" t="s">
        <v>6</v>
      </c>
      <c r="E788" t="s">
        <v>8</v>
      </c>
      <c r="F788">
        <v>2036</v>
      </c>
      <c r="G788">
        <v>1215.2812180000001</v>
      </c>
      <c r="H788">
        <v>2E-3</v>
      </c>
      <c r="I788">
        <v>-1</v>
      </c>
    </row>
    <row r="789" spans="1:9" hidden="1" x14ac:dyDescent="0.25">
      <c r="A789" t="s">
        <v>33</v>
      </c>
      <c r="B789" t="s">
        <v>6</v>
      </c>
      <c r="C789" t="s">
        <v>8</v>
      </c>
      <c r="D789" t="s">
        <v>6</v>
      </c>
      <c r="E789" t="s">
        <v>8</v>
      </c>
      <c r="F789">
        <v>2037</v>
      </c>
      <c r="G789">
        <v>1243.127297</v>
      </c>
      <c r="H789">
        <v>2E-3</v>
      </c>
      <c r="I789">
        <v>-1</v>
      </c>
    </row>
    <row r="790" spans="1:9" hidden="1" x14ac:dyDescent="0.25">
      <c r="A790" t="s">
        <v>33</v>
      </c>
      <c r="B790" t="s">
        <v>6</v>
      </c>
      <c r="C790" t="s">
        <v>8</v>
      </c>
      <c r="D790" t="s">
        <v>6</v>
      </c>
      <c r="E790" t="s">
        <v>8</v>
      </c>
      <c r="F790">
        <v>2038</v>
      </c>
      <c r="G790">
        <v>1271.61142</v>
      </c>
      <c r="H790">
        <v>2E-3</v>
      </c>
      <c r="I790">
        <v>-1</v>
      </c>
    </row>
    <row r="791" spans="1:9" hidden="1" x14ac:dyDescent="0.25">
      <c r="A791" t="s">
        <v>33</v>
      </c>
      <c r="B791" t="s">
        <v>6</v>
      </c>
      <c r="C791" t="s">
        <v>8</v>
      </c>
      <c r="D791" t="s">
        <v>6</v>
      </c>
      <c r="E791" t="s">
        <v>8</v>
      </c>
      <c r="F791">
        <v>2039</v>
      </c>
      <c r="G791">
        <v>1300.7482070000001</v>
      </c>
      <c r="H791">
        <v>2E-3</v>
      </c>
      <c r="I791">
        <v>-1</v>
      </c>
    </row>
    <row r="792" spans="1:9" hidden="1" x14ac:dyDescent="0.25">
      <c r="A792" t="s">
        <v>33</v>
      </c>
      <c r="B792" t="s">
        <v>6</v>
      </c>
      <c r="C792" t="s">
        <v>8</v>
      </c>
      <c r="D792" t="s">
        <v>6</v>
      </c>
      <c r="E792" t="s">
        <v>8</v>
      </c>
      <c r="F792">
        <v>2040</v>
      </c>
      <c r="G792">
        <v>1330.5526139999999</v>
      </c>
      <c r="H792">
        <v>2E-3</v>
      </c>
      <c r="I792">
        <v>-1</v>
      </c>
    </row>
    <row r="793" spans="1:9" hidden="1" x14ac:dyDescent="0.25">
      <c r="A793" t="s">
        <v>33</v>
      </c>
      <c r="B793" t="s">
        <v>6</v>
      </c>
      <c r="C793" t="s">
        <v>8</v>
      </c>
      <c r="D793" t="s">
        <v>6</v>
      </c>
      <c r="E793" t="s">
        <v>8</v>
      </c>
      <c r="F793">
        <v>2041</v>
      </c>
      <c r="G793">
        <v>1361.0399379999999</v>
      </c>
      <c r="H793">
        <v>2E-3</v>
      </c>
      <c r="I793">
        <v>-1</v>
      </c>
    </row>
    <row r="794" spans="1:9" x14ac:dyDescent="0.25">
      <c r="A794" t="s">
        <v>33</v>
      </c>
      <c r="B794" t="s">
        <v>6</v>
      </c>
      <c r="C794" t="s">
        <v>8</v>
      </c>
      <c r="D794" t="s">
        <v>6</v>
      </c>
      <c r="E794" t="s">
        <v>12</v>
      </c>
      <c r="F794">
        <v>2024</v>
      </c>
      <c r="G794">
        <v>3029.6</v>
      </c>
      <c r="H794">
        <v>8.0000000000000002E-3</v>
      </c>
      <c r="I794">
        <v>-1</v>
      </c>
    </row>
    <row r="795" spans="1:9" hidden="1" x14ac:dyDescent="0.25">
      <c r="A795" t="s">
        <v>33</v>
      </c>
      <c r="B795" t="s">
        <v>6</v>
      </c>
      <c r="C795" t="s">
        <v>8</v>
      </c>
      <c r="D795" t="s">
        <v>6</v>
      </c>
      <c r="E795" t="s">
        <v>9</v>
      </c>
      <c r="F795">
        <v>2025</v>
      </c>
      <c r="G795">
        <v>3917.6590719999999</v>
      </c>
      <c r="H795">
        <v>8.0000000000000002E-3</v>
      </c>
      <c r="I795">
        <v>-1</v>
      </c>
    </row>
    <row r="796" spans="1:9" hidden="1" x14ac:dyDescent="0.25">
      <c r="A796" t="s">
        <v>33</v>
      </c>
      <c r="B796" t="s">
        <v>6</v>
      </c>
      <c r="C796" t="s">
        <v>8</v>
      </c>
      <c r="D796" t="s">
        <v>6</v>
      </c>
      <c r="E796" t="s">
        <v>9</v>
      </c>
      <c r="F796">
        <v>2026</v>
      </c>
      <c r="G796">
        <v>4051.8631970000001</v>
      </c>
      <c r="H796">
        <v>8.0000000000000002E-3</v>
      </c>
      <c r="I796">
        <v>-1</v>
      </c>
    </row>
    <row r="797" spans="1:9" hidden="1" x14ac:dyDescent="0.25">
      <c r="A797" t="s">
        <v>33</v>
      </c>
      <c r="B797" t="s">
        <v>6</v>
      </c>
      <c r="C797" t="s">
        <v>8</v>
      </c>
      <c r="D797" t="s">
        <v>6</v>
      </c>
      <c r="E797" t="s">
        <v>9</v>
      </c>
      <c r="F797">
        <v>2027</v>
      </c>
      <c r="G797">
        <v>4190.6646460000002</v>
      </c>
      <c r="H797">
        <v>8.0000000000000002E-3</v>
      </c>
      <c r="I797">
        <v>-1</v>
      </c>
    </row>
    <row r="798" spans="1:9" hidden="1" x14ac:dyDescent="0.25">
      <c r="A798" t="s">
        <v>33</v>
      </c>
      <c r="B798" t="s">
        <v>6</v>
      </c>
      <c r="C798" t="s">
        <v>8</v>
      </c>
      <c r="D798" t="s">
        <v>6</v>
      </c>
      <c r="E798" t="s">
        <v>9</v>
      </c>
      <c r="F798">
        <v>2028</v>
      </c>
      <c r="G798">
        <v>4334.2209059999996</v>
      </c>
      <c r="H798">
        <v>8.0000000000000002E-3</v>
      </c>
      <c r="I798">
        <v>-1</v>
      </c>
    </row>
    <row r="799" spans="1:9" hidden="1" x14ac:dyDescent="0.25">
      <c r="A799" t="s">
        <v>33</v>
      </c>
      <c r="B799" t="s">
        <v>6</v>
      </c>
      <c r="C799" t="s">
        <v>8</v>
      </c>
      <c r="D799" t="s">
        <v>6</v>
      </c>
      <c r="E799" t="s">
        <v>9</v>
      </c>
      <c r="F799">
        <v>2029</v>
      </c>
      <c r="G799">
        <v>4482.6948579999998</v>
      </c>
      <c r="H799">
        <v>8.0000000000000002E-3</v>
      </c>
      <c r="I799">
        <v>-1</v>
      </c>
    </row>
    <row r="800" spans="1:9" hidden="1" x14ac:dyDescent="0.25">
      <c r="A800" t="s">
        <v>33</v>
      </c>
      <c r="B800" t="s">
        <v>6</v>
      </c>
      <c r="C800" t="s">
        <v>8</v>
      </c>
      <c r="D800" t="s">
        <v>6</v>
      </c>
      <c r="E800" t="s">
        <v>9</v>
      </c>
      <c r="F800">
        <v>2030</v>
      </c>
      <c r="G800">
        <v>4636.2549639999997</v>
      </c>
      <c r="H800">
        <v>8.0000000000000002E-3</v>
      </c>
      <c r="I800">
        <v>-1</v>
      </c>
    </row>
    <row r="801" spans="1:9" hidden="1" x14ac:dyDescent="0.25">
      <c r="A801" t="s">
        <v>33</v>
      </c>
      <c r="B801" t="s">
        <v>6</v>
      </c>
      <c r="C801" t="s">
        <v>8</v>
      </c>
      <c r="D801" t="s">
        <v>6</v>
      </c>
      <c r="E801" t="s">
        <v>9</v>
      </c>
      <c r="F801">
        <v>2031</v>
      </c>
      <c r="G801">
        <v>4795.0754559999996</v>
      </c>
      <c r="H801">
        <v>8.0000000000000002E-3</v>
      </c>
      <c r="I801">
        <v>-1</v>
      </c>
    </row>
    <row r="802" spans="1:9" hidden="1" x14ac:dyDescent="0.25">
      <c r="A802" t="s">
        <v>33</v>
      </c>
      <c r="B802" t="s">
        <v>6</v>
      </c>
      <c r="C802" t="s">
        <v>8</v>
      </c>
      <c r="D802" t="s">
        <v>6</v>
      </c>
      <c r="E802" t="s">
        <v>9</v>
      </c>
      <c r="F802">
        <v>2032</v>
      </c>
      <c r="G802">
        <v>4959.3365350000004</v>
      </c>
      <c r="H802">
        <v>8.0000000000000002E-3</v>
      </c>
      <c r="I802">
        <v>-1</v>
      </c>
    </row>
    <row r="803" spans="1:9" hidden="1" x14ac:dyDescent="0.25">
      <c r="A803" t="s">
        <v>33</v>
      </c>
      <c r="B803" t="s">
        <v>6</v>
      </c>
      <c r="C803" t="s">
        <v>8</v>
      </c>
      <c r="D803" t="s">
        <v>6</v>
      </c>
      <c r="E803" t="s">
        <v>9</v>
      </c>
      <c r="F803">
        <v>2033</v>
      </c>
      <c r="G803">
        <v>5129.2245759999996</v>
      </c>
      <c r="H803">
        <v>8.0000000000000002E-3</v>
      </c>
      <c r="I803">
        <v>-1</v>
      </c>
    </row>
    <row r="804" spans="1:9" hidden="1" x14ac:dyDescent="0.25">
      <c r="A804" t="s">
        <v>33</v>
      </c>
      <c r="B804" t="s">
        <v>6</v>
      </c>
      <c r="C804" t="s">
        <v>8</v>
      </c>
      <c r="D804" t="s">
        <v>6</v>
      </c>
      <c r="E804" t="s">
        <v>9</v>
      </c>
      <c r="F804">
        <v>2034</v>
      </c>
      <c r="G804">
        <v>5304.9323350000004</v>
      </c>
      <c r="H804">
        <v>8.0000000000000002E-3</v>
      </c>
      <c r="I804">
        <v>-1</v>
      </c>
    </row>
    <row r="805" spans="1:9" hidden="1" x14ac:dyDescent="0.25">
      <c r="A805" t="s">
        <v>33</v>
      </c>
      <c r="B805" t="s">
        <v>6</v>
      </c>
      <c r="C805" t="s">
        <v>8</v>
      </c>
      <c r="D805" t="s">
        <v>6</v>
      </c>
      <c r="E805" t="s">
        <v>9</v>
      </c>
      <c r="F805">
        <v>2035</v>
      </c>
      <c r="G805">
        <v>5486.6591749999998</v>
      </c>
      <c r="H805">
        <v>8.0000000000000002E-3</v>
      </c>
      <c r="I805">
        <v>-1</v>
      </c>
    </row>
    <row r="806" spans="1:9" hidden="1" x14ac:dyDescent="0.25">
      <c r="A806" t="s">
        <v>33</v>
      </c>
      <c r="B806" t="s">
        <v>6</v>
      </c>
      <c r="C806" t="s">
        <v>8</v>
      </c>
      <c r="D806" t="s">
        <v>6</v>
      </c>
      <c r="E806" t="s">
        <v>9</v>
      </c>
      <c r="F806">
        <v>2036</v>
      </c>
      <c r="G806">
        <v>5674.6112869999997</v>
      </c>
      <c r="H806">
        <v>8.0000000000000002E-3</v>
      </c>
      <c r="I806">
        <v>-1</v>
      </c>
    </row>
    <row r="807" spans="1:9" hidden="1" x14ac:dyDescent="0.25">
      <c r="A807" t="s">
        <v>33</v>
      </c>
      <c r="B807" t="s">
        <v>6</v>
      </c>
      <c r="C807" t="s">
        <v>8</v>
      </c>
      <c r="D807" t="s">
        <v>6</v>
      </c>
      <c r="E807" t="s">
        <v>9</v>
      </c>
      <c r="F807">
        <v>2037</v>
      </c>
      <c r="G807">
        <v>5869.0019240000001</v>
      </c>
      <c r="H807">
        <v>8.0000000000000002E-3</v>
      </c>
      <c r="I807">
        <v>-1</v>
      </c>
    </row>
    <row r="808" spans="1:9" hidden="1" x14ac:dyDescent="0.25">
      <c r="A808" t="s">
        <v>33</v>
      </c>
      <c r="B808" t="s">
        <v>6</v>
      </c>
      <c r="C808" t="s">
        <v>8</v>
      </c>
      <c r="D808" t="s">
        <v>6</v>
      </c>
      <c r="E808" t="s">
        <v>9</v>
      </c>
      <c r="F808">
        <v>2038</v>
      </c>
      <c r="G808">
        <v>6070.0516459999999</v>
      </c>
      <c r="H808">
        <v>8.0000000000000002E-3</v>
      </c>
      <c r="I808">
        <v>-1</v>
      </c>
    </row>
    <row r="809" spans="1:9" hidden="1" x14ac:dyDescent="0.25">
      <c r="A809" t="s">
        <v>33</v>
      </c>
      <c r="B809" t="s">
        <v>6</v>
      </c>
      <c r="C809" t="s">
        <v>8</v>
      </c>
      <c r="D809" t="s">
        <v>6</v>
      </c>
      <c r="E809" t="s">
        <v>9</v>
      </c>
      <c r="F809">
        <v>2039</v>
      </c>
      <c r="G809">
        <v>6277.9885690000001</v>
      </c>
      <c r="H809">
        <v>8.0000000000000002E-3</v>
      </c>
      <c r="I809">
        <v>-1</v>
      </c>
    </row>
    <row r="810" spans="1:9" hidden="1" x14ac:dyDescent="0.25">
      <c r="A810" t="s">
        <v>33</v>
      </c>
      <c r="B810" t="s">
        <v>6</v>
      </c>
      <c r="C810" t="s">
        <v>8</v>
      </c>
      <c r="D810" t="s">
        <v>6</v>
      </c>
      <c r="E810" t="s">
        <v>9</v>
      </c>
      <c r="F810">
        <v>2040</v>
      </c>
      <c r="G810">
        <v>6493.0486209999999</v>
      </c>
      <c r="H810">
        <v>8.0000000000000002E-3</v>
      </c>
      <c r="I810">
        <v>-1</v>
      </c>
    </row>
    <row r="811" spans="1:9" hidden="1" x14ac:dyDescent="0.25">
      <c r="A811" t="s">
        <v>33</v>
      </c>
      <c r="B811" t="s">
        <v>6</v>
      </c>
      <c r="C811" t="s">
        <v>8</v>
      </c>
      <c r="D811" t="s">
        <v>6</v>
      </c>
      <c r="E811" t="s">
        <v>9</v>
      </c>
      <c r="F811">
        <v>2041</v>
      </c>
      <c r="G811">
        <v>6715.4758140000004</v>
      </c>
      <c r="H811">
        <v>8.0000000000000002E-3</v>
      </c>
      <c r="I811">
        <v>-1</v>
      </c>
    </row>
    <row r="812" spans="1:9" x14ac:dyDescent="0.25">
      <c r="A812" t="s">
        <v>33</v>
      </c>
      <c r="B812" t="s">
        <v>6</v>
      </c>
      <c r="C812" t="s">
        <v>8</v>
      </c>
      <c r="D812" t="s">
        <v>6</v>
      </c>
      <c r="E812" t="s">
        <v>9</v>
      </c>
      <c r="F812">
        <v>2024</v>
      </c>
      <c r="G812">
        <v>3787.9</v>
      </c>
      <c r="H812">
        <v>8.0000000000000002E-3</v>
      </c>
      <c r="I812">
        <v>-1</v>
      </c>
    </row>
    <row r="813" spans="1:9" hidden="1" x14ac:dyDescent="0.25">
      <c r="A813" t="s">
        <v>33</v>
      </c>
      <c r="B813" t="s">
        <v>6</v>
      </c>
      <c r="C813" t="s">
        <v>9</v>
      </c>
      <c r="D813" t="s">
        <v>6</v>
      </c>
      <c r="E813" t="s">
        <v>10</v>
      </c>
      <c r="F813">
        <v>2025</v>
      </c>
      <c r="G813">
        <v>2497.6</v>
      </c>
      <c r="H813">
        <v>8.0000000000000002E-3</v>
      </c>
      <c r="I813">
        <v>-1</v>
      </c>
    </row>
    <row r="814" spans="1:9" hidden="1" x14ac:dyDescent="0.25">
      <c r="A814" t="s">
        <v>33</v>
      </c>
      <c r="B814" t="s">
        <v>6</v>
      </c>
      <c r="C814" t="s">
        <v>9</v>
      </c>
      <c r="D814" t="s">
        <v>6</v>
      </c>
      <c r="E814" t="s">
        <v>10</v>
      </c>
      <c r="F814">
        <v>2026</v>
      </c>
      <c r="G814">
        <v>2497.6</v>
      </c>
      <c r="H814">
        <v>8.0000000000000002E-3</v>
      </c>
      <c r="I814">
        <v>-1</v>
      </c>
    </row>
    <row r="815" spans="1:9" hidden="1" x14ac:dyDescent="0.25">
      <c r="A815" t="s">
        <v>33</v>
      </c>
      <c r="B815" t="s">
        <v>6</v>
      </c>
      <c r="C815" t="s">
        <v>9</v>
      </c>
      <c r="D815" t="s">
        <v>6</v>
      </c>
      <c r="E815" t="s">
        <v>10</v>
      </c>
      <c r="F815">
        <v>2027</v>
      </c>
      <c r="G815">
        <v>2497.6</v>
      </c>
      <c r="H815">
        <v>8.0000000000000002E-3</v>
      </c>
      <c r="I815">
        <v>-1</v>
      </c>
    </row>
    <row r="816" spans="1:9" hidden="1" x14ac:dyDescent="0.25">
      <c r="A816" t="s">
        <v>33</v>
      </c>
      <c r="B816" t="s">
        <v>6</v>
      </c>
      <c r="C816" t="s">
        <v>9</v>
      </c>
      <c r="D816" t="s">
        <v>6</v>
      </c>
      <c r="E816" t="s">
        <v>10</v>
      </c>
      <c r="F816">
        <v>2028</v>
      </c>
      <c r="G816">
        <v>2497.6</v>
      </c>
      <c r="H816">
        <v>8.0000000000000002E-3</v>
      </c>
      <c r="I816">
        <v>-1</v>
      </c>
    </row>
    <row r="817" spans="1:9" hidden="1" x14ac:dyDescent="0.25">
      <c r="A817" t="s">
        <v>33</v>
      </c>
      <c r="B817" t="s">
        <v>6</v>
      </c>
      <c r="C817" t="s">
        <v>9</v>
      </c>
      <c r="D817" t="s">
        <v>6</v>
      </c>
      <c r="E817" t="s">
        <v>10</v>
      </c>
      <c r="F817">
        <v>2029</v>
      </c>
      <c r="G817">
        <v>2497.6</v>
      </c>
      <c r="H817">
        <v>8.0000000000000002E-3</v>
      </c>
      <c r="I817">
        <v>-1</v>
      </c>
    </row>
    <row r="818" spans="1:9" hidden="1" x14ac:dyDescent="0.25">
      <c r="A818" t="s">
        <v>33</v>
      </c>
      <c r="B818" t="s">
        <v>6</v>
      </c>
      <c r="C818" t="s">
        <v>9</v>
      </c>
      <c r="D818" t="s">
        <v>6</v>
      </c>
      <c r="E818" t="s">
        <v>10</v>
      </c>
      <c r="F818">
        <v>2030</v>
      </c>
      <c r="G818">
        <v>2497.6</v>
      </c>
      <c r="H818">
        <v>8.0000000000000002E-3</v>
      </c>
      <c r="I818">
        <v>-1</v>
      </c>
    </row>
    <row r="819" spans="1:9" hidden="1" x14ac:dyDescent="0.25">
      <c r="A819" t="s">
        <v>33</v>
      </c>
      <c r="B819" t="s">
        <v>6</v>
      </c>
      <c r="C819" t="s">
        <v>9</v>
      </c>
      <c r="D819" t="s">
        <v>6</v>
      </c>
      <c r="E819" t="s">
        <v>10</v>
      </c>
      <c r="F819">
        <v>2031</v>
      </c>
      <c r="G819">
        <v>2497.6</v>
      </c>
      <c r="H819">
        <v>8.0000000000000002E-3</v>
      </c>
      <c r="I819">
        <v>-1</v>
      </c>
    </row>
    <row r="820" spans="1:9" hidden="1" x14ac:dyDescent="0.25">
      <c r="A820" t="s">
        <v>33</v>
      </c>
      <c r="B820" t="s">
        <v>6</v>
      </c>
      <c r="C820" t="s">
        <v>9</v>
      </c>
      <c r="D820" t="s">
        <v>6</v>
      </c>
      <c r="E820" t="s">
        <v>10</v>
      </c>
      <c r="F820">
        <v>2032</v>
      </c>
      <c r="G820">
        <v>2497.6</v>
      </c>
      <c r="H820">
        <v>8.0000000000000002E-3</v>
      </c>
      <c r="I820">
        <v>-1</v>
      </c>
    </row>
    <row r="821" spans="1:9" hidden="1" x14ac:dyDescent="0.25">
      <c r="A821" t="s">
        <v>33</v>
      </c>
      <c r="B821" t="s">
        <v>6</v>
      </c>
      <c r="C821" t="s">
        <v>9</v>
      </c>
      <c r="D821" t="s">
        <v>6</v>
      </c>
      <c r="E821" t="s">
        <v>10</v>
      </c>
      <c r="F821">
        <v>2033</v>
      </c>
      <c r="G821">
        <v>2497.6</v>
      </c>
      <c r="H821">
        <v>8.0000000000000002E-3</v>
      </c>
      <c r="I821">
        <v>-1</v>
      </c>
    </row>
    <row r="822" spans="1:9" hidden="1" x14ac:dyDescent="0.25">
      <c r="A822" t="s">
        <v>33</v>
      </c>
      <c r="B822" t="s">
        <v>6</v>
      </c>
      <c r="C822" t="s">
        <v>9</v>
      </c>
      <c r="D822" t="s">
        <v>6</v>
      </c>
      <c r="E822" t="s">
        <v>10</v>
      </c>
      <c r="F822">
        <v>2034</v>
      </c>
      <c r="G822">
        <v>2497.6</v>
      </c>
      <c r="H822">
        <v>8.0000000000000002E-3</v>
      </c>
      <c r="I822">
        <v>-1</v>
      </c>
    </row>
    <row r="823" spans="1:9" hidden="1" x14ac:dyDescent="0.25">
      <c r="A823" t="s">
        <v>33</v>
      </c>
      <c r="B823" t="s">
        <v>6</v>
      </c>
      <c r="C823" t="s">
        <v>9</v>
      </c>
      <c r="D823" t="s">
        <v>6</v>
      </c>
      <c r="E823" t="s">
        <v>10</v>
      </c>
      <c r="F823">
        <v>2035</v>
      </c>
      <c r="G823">
        <v>2497.6</v>
      </c>
      <c r="H823">
        <v>8.0000000000000002E-3</v>
      </c>
      <c r="I823">
        <v>-1</v>
      </c>
    </row>
    <row r="824" spans="1:9" hidden="1" x14ac:dyDescent="0.25">
      <c r="A824" t="s">
        <v>33</v>
      </c>
      <c r="B824" t="s">
        <v>6</v>
      </c>
      <c r="C824" t="s">
        <v>9</v>
      </c>
      <c r="D824" t="s">
        <v>6</v>
      </c>
      <c r="E824" t="s">
        <v>10</v>
      </c>
      <c r="F824">
        <v>2036</v>
      </c>
      <c r="G824">
        <v>2497.6</v>
      </c>
      <c r="H824">
        <v>8.0000000000000002E-3</v>
      </c>
      <c r="I824">
        <v>-1</v>
      </c>
    </row>
    <row r="825" spans="1:9" hidden="1" x14ac:dyDescent="0.25">
      <c r="A825" t="s">
        <v>33</v>
      </c>
      <c r="B825" t="s">
        <v>6</v>
      </c>
      <c r="C825" t="s">
        <v>9</v>
      </c>
      <c r="D825" t="s">
        <v>6</v>
      </c>
      <c r="E825" t="s">
        <v>10</v>
      </c>
      <c r="F825">
        <v>2037</v>
      </c>
      <c r="G825">
        <v>2497.6</v>
      </c>
      <c r="H825">
        <v>8.0000000000000002E-3</v>
      </c>
      <c r="I825">
        <v>-1</v>
      </c>
    </row>
    <row r="826" spans="1:9" hidden="1" x14ac:dyDescent="0.25">
      <c r="A826" t="s">
        <v>33</v>
      </c>
      <c r="B826" t="s">
        <v>6</v>
      </c>
      <c r="C826" t="s">
        <v>9</v>
      </c>
      <c r="D826" t="s">
        <v>6</v>
      </c>
      <c r="E826" t="s">
        <v>10</v>
      </c>
      <c r="F826">
        <v>2038</v>
      </c>
      <c r="G826">
        <v>2497.6</v>
      </c>
      <c r="H826">
        <v>8.0000000000000002E-3</v>
      </c>
      <c r="I826">
        <v>-1</v>
      </c>
    </row>
    <row r="827" spans="1:9" hidden="1" x14ac:dyDescent="0.25">
      <c r="A827" t="s">
        <v>33</v>
      </c>
      <c r="B827" t="s">
        <v>6</v>
      </c>
      <c r="C827" t="s">
        <v>9</v>
      </c>
      <c r="D827" t="s">
        <v>6</v>
      </c>
      <c r="E827" t="s">
        <v>10</v>
      </c>
      <c r="F827">
        <v>2039</v>
      </c>
      <c r="G827">
        <v>2497.6</v>
      </c>
      <c r="H827">
        <v>8.0000000000000002E-3</v>
      </c>
      <c r="I827">
        <v>-1</v>
      </c>
    </row>
    <row r="828" spans="1:9" hidden="1" x14ac:dyDescent="0.25">
      <c r="A828" t="s">
        <v>33</v>
      </c>
      <c r="B828" t="s">
        <v>6</v>
      </c>
      <c r="C828" t="s">
        <v>9</v>
      </c>
      <c r="D828" t="s">
        <v>6</v>
      </c>
      <c r="E828" t="s">
        <v>10</v>
      </c>
      <c r="F828">
        <v>2040</v>
      </c>
      <c r="G828">
        <v>2497.6</v>
      </c>
      <c r="H828">
        <v>8.0000000000000002E-3</v>
      </c>
      <c r="I828">
        <v>-1</v>
      </c>
    </row>
    <row r="829" spans="1:9" hidden="1" x14ac:dyDescent="0.25">
      <c r="A829" t="s">
        <v>33</v>
      </c>
      <c r="B829" t="s">
        <v>6</v>
      </c>
      <c r="C829" t="s">
        <v>9</v>
      </c>
      <c r="D829" t="s">
        <v>6</v>
      </c>
      <c r="E829" t="s">
        <v>10</v>
      </c>
      <c r="F829">
        <v>2041</v>
      </c>
      <c r="G829">
        <v>2497.6</v>
      </c>
      <c r="H829">
        <v>8.0000000000000002E-3</v>
      </c>
      <c r="I829">
        <v>-1</v>
      </c>
    </row>
    <row r="830" spans="1:9" x14ac:dyDescent="0.25">
      <c r="A830" t="s">
        <v>33</v>
      </c>
      <c r="B830" t="s">
        <v>6</v>
      </c>
      <c r="C830" t="s">
        <v>9</v>
      </c>
      <c r="D830" t="s">
        <v>6</v>
      </c>
      <c r="E830" t="s">
        <v>10</v>
      </c>
      <c r="F830">
        <v>2024</v>
      </c>
      <c r="G830">
        <v>2497.6</v>
      </c>
      <c r="H830">
        <v>8.0000000000000002E-3</v>
      </c>
      <c r="I830">
        <v>-1</v>
      </c>
    </row>
    <row r="831" spans="1:9" hidden="1" x14ac:dyDescent="0.25">
      <c r="A831" t="s">
        <v>33</v>
      </c>
      <c r="B831" t="s">
        <v>6</v>
      </c>
      <c r="C831" t="s">
        <v>9</v>
      </c>
      <c r="D831" t="s">
        <v>6</v>
      </c>
      <c r="E831" t="s">
        <v>11</v>
      </c>
      <c r="F831">
        <v>2025</v>
      </c>
      <c r="G831">
        <v>3469.4124339999998</v>
      </c>
      <c r="H831">
        <v>8.0000000000000002E-3</v>
      </c>
      <c r="I831">
        <v>-1</v>
      </c>
    </row>
    <row r="832" spans="1:9" hidden="1" x14ac:dyDescent="0.25">
      <c r="A832" t="s">
        <v>33</v>
      </c>
      <c r="B832" t="s">
        <v>6</v>
      </c>
      <c r="C832" t="s">
        <v>9</v>
      </c>
      <c r="D832" t="s">
        <v>6</v>
      </c>
      <c r="E832" t="s">
        <v>11</v>
      </c>
      <c r="F832">
        <v>2026</v>
      </c>
      <c r="G832">
        <v>3588.2613310000002</v>
      </c>
      <c r="H832">
        <v>8.0000000000000002E-3</v>
      </c>
      <c r="I832">
        <v>-1</v>
      </c>
    </row>
    <row r="833" spans="1:9" hidden="1" x14ac:dyDescent="0.25">
      <c r="A833" t="s">
        <v>33</v>
      </c>
      <c r="B833" t="s">
        <v>6</v>
      </c>
      <c r="C833" t="s">
        <v>9</v>
      </c>
      <c r="D833" t="s">
        <v>6</v>
      </c>
      <c r="E833" t="s">
        <v>11</v>
      </c>
      <c r="F833">
        <v>2027</v>
      </c>
      <c r="G833">
        <v>3711.18154</v>
      </c>
      <c r="H833">
        <v>8.0000000000000002E-3</v>
      </c>
      <c r="I833">
        <v>-1</v>
      </c>
    </row>
    <row r="834" spans="1:9" hidden="1" x14ac:dyDescent="0.25">
      <c r="A834" t="s">
        <v>33</v>
      </c>
      <c r="B834" t="s">
        <v>6</v>
      </c>
      <c r="C834" t="s">
        <v>9</v>
      </c>
      <c r="D834" t="s">
        <v>6</v>
      </c>
      <c r="E834" t="s">
        <v>11</v>
      </c>
      <c r="F834">
        <v>2028</v>
      </c>
      <c r="G834">
        <v>3838.3125289999998</v>
      </c>
      <c r="H834">
        <v>8.0000000000000002E-3</v>
      </c>
      <c r="I834">
        <v>-1</v>
      </c>
    </row>
    <row r="835" spans="1:9" hidden="1" x14ac:dyDescent="0.25">
      <c r="A835" t="s">
        <v>33</v>
      </c>
      <c r="B835" t="s">
        <v>6</v>
      </c>
      <c r="C835" t="s">
        <v>9</v>
      </c>
      <c r="D835" t="s">
        <v>6</v>
      </c>
      <c r="E835" t="s">
        <v>11</v>
      </c>
      <c r="F835">
        <v>2029</v>
      </c>
      <c r="G835">
        <v>3969.7985429999999</v>
      </c>
      <c r="H835">
        <v>8.0000000000000002E-3</v>
      </c>
      <c r="I835">
        <v>-1</v>
      </c>
    </row>
    <row r="836" spans="1:9" hidden="1" x14ac:dyDescent="0.25">
      <c r="A836" t="s">
        <v>33</v>
      </c>
      <c r="B836" t="s">
        <v>6</v>
      </c>
      <c r="C836" t="s">
        <v>9</v>
      </c>
      <c r="D836" t="s">
        <v>6</v>
      </c>
      <c r="E836" t="s">
        <v>11</v>
      </c>
      <c r="F836">
        <v>2030</v>
      </c>
      <c r="G836">
        <v>4105.7887689999998</v>
      </c>
      <c r="H836">
        <v>8.0000000000000002E-3</v>
      </c>
      <c r="I836">
        <v>-1</v>
      </c>
    </row>
    <row r="837" spans="1:9" hidden="1" x14ac:dyDescent="0.25">
      <c r="A837" t="s">
        <v>33</v>
      </c>
      <c r="B837" t="s">
        <v>6</v>
      </c>
      <c r="C837" t="s">
        <v>9</v>
      </c>
      <c r="D837" t="s">
        <v>6</v>
      </c>
      <c r="E837" t="s">
        <v>11</v>
      </c>
      <c r="F837">
        <v>2031</v>
      </c>
      <c r="G837">
        <v>4246.4375030000001</v>
      </c>
      <c r="H837">
        <v>8.0000000000000002E-3</v>
      </c>
      <c r="I837">
        <v>-1</v>
      </c>
    </row>
    <row r="838" spans="1:9" hidden="1" x14ac:dyDescent="0.25">
      <c r="A838" t="s">
        <v>33</v>
      </c>
      <c r="B838" t="s">
        <v>6</v>
      </c>
      <c r="C838" t="s">
        <v>9</v>
      </c>
      <c r="D838" t="s">
        <v>6</v>
      </c>
      <c r="E838" t="s">
        <v>11</v>
      </c>
      <c r="F838">
        <v>2032</v>
      </c>
      <c r="G838">
        <v>4391.904329</v>
      </c>
      <c r="H838">
        <v>8.0000000000000002E-3</v>
      </c>
      <c r="I838">
        <v>-1</v>
      </c>
    </row>
    <row r="839" spans="1:9" hidden="1" x14ac:dyDescent="0.25">
      <c r="A839" t="s">
        <v>33</v>
      </c>
      <c r="B839" t="s">
        <v>6</v>
      </c>
      <c r="C839" t="s">
        <v>9</v>
      </c>
      <c r="D839" t="s">
        <v>6</v>
      </c>
      <c r="E839" t="s">
        <v>11</v>
      </c>
      <c r="F839">
        <v>2033</v>
      </c>
      <c r="G839">
        <v>4542.3542960000004</v>
      </c>
      <c r="H839">
        <v>8.0000000000000002E-3</v>
      </c>
      <c r="I839">
        <v>-1</v>
      </c>
    </row>
    <row r="840" spans="1:9" hidden="1" x14ac:dyDescent="0.25">
      <c r="A840" t="s">
        <v>33</v>
      </c>
      <c r="B840" t="s">
        <v>6</v>
      </c>
      <c r="C840" t="s">
        <v>9</v>
      </c>
      <c r="D840" t="s">
        <v>6</v>
      </c>
      <c r="E840" t="s">
        <v>11</v>
      </c>
      <c r="F840">
        <v>2034</v>
      </c>
      <c r="G840">
        <v>4697.9581079999998</v>
      </c>
      <c r="H840">
        <v>8.0000000000000002E-3</v>
      </c>
      <c r="I840">
        <v>-1</v>
      </c>
    </row>
    <row r="841" spans="1:9" hidden="1" x14ac:dyDescent="0.25">
      <c r="A841" t="s">
        <v>33</v>
      </c>
      <c r="B841" t="s">
        <v>6</v>
      </c>
      <c r="C841" t="s">
        <v>9</v>
      </c>
      <c r="D841" t="s">
        <v>6</v>
      </c>
      <c r="E841" t="s">
        <v>11</v>
      </c>
      <c r="F841">
        <v>2035</v>
      </c>
      <c r="G841">
        <v>4858.8923160000004</v>
      </c>
      <c r="H841">
        <v>8.0000000000000002E-3</v>
      </c>
      <c r="I841">
        <v>-1</v>
      </c>
    </row>
    <row r="842" spans="1:9" hidden="1" x14ac:dyDescent="0.25">
      <c r="A842" t="s">
        <v>33</v>
      </c>
      <c r="B842" t="s">
        <v>6</v>
      </c>
      <c r="C842" t="s">
        <v>9</v>
      </c>
      <c r="D842" t="s">
        <v>6</v>
      </c>
      <c r="E842" t="s">
        <v>11</v>
      </c>
      <c r="F842">
        <v>2036</v>
      </c>
      <c r="G842">
        <v>5025.3395179999998</v>
      </c>
      <c r="H842">
        <v>8.0000000000000002E-3</v>
      </c>
      <c r="I842">
        <v>-1</v>
      </c>
    </row>
    <row r="843" spans="1:9" hidden="1" x14ac:dyDescent="0.25">
      <c r="A843" t="s">
        <v>33</v>
      </c>
      <c r="B843" t="s">
        <v>6</v>
      </c>
      <c r="C843" t="s">
        <v>9</v>
      </c>
      <c r="D843" t="s">
        <v>6</v>
      </c>
      <c r="E843" t="s">
        <v>11</v>
      </c>
      <c r="F843">
        <v>2037</v>
      </c>
      <c r="G843">
        <v>5197.4885700000004</v>
      </c>
      <c r="H843">
        <v>8.0000000000000002E-3</v>
      </c>
      <c r="I843">
        <v>-1</v>
      </c>
    </row>
    <row r="844" spans="1:9" hidden="1" x14ac:dyDescent="0.25">
      <c r="A844" t="s">
        <v>33</v>
      </c>
      <c r="B844" t="s">
        <v>6</v>
      </c>
      <c r="C844" t="s">
        <v>9</v>
      </c>
      <c r="D844" t="s">
        <v>6</v>
      </c>
      <c r="E844" t="s">
        <v>11</v>
      </c>
      <c r="F844">
        <v>2038</v>
      </c>
      <c r="G844">
        <v>5375.5347940000001</v>
      </c>
      <c r="H844">
        <v>8.0000000000000002E-3</v>
      </c>
      <c r="I844">
        <v>-1</v>
      </c>
    </row>
    <row r="845" spans="1:9" hidden="1" x14ac:dyDescent="0.25">
      <c r="A845" t="s">
        <v>33</v>
      </c>
      <c r="B845" t="s">
        <v>6</v>
      </c>
      <c r="C845" t="s">
        <v>9</v>
      </c>
      <c r="D845" t="s">
        <v>6</v>
      </c>
      <c r="E845" t="s">
        <v>11</v>
      </c>
      <c r="F845">
        <v>2039</v>
      </c>
      <c r="G845">
        <v>5559.6802070000003</v>
      </c>
      <c r="H845">
        <v>8.0000000000000002E-3</v>
      </c>
      <c r="I845">
        <v>-1</v>
      </c>
    </row>
    <row r="846" spans="1:9" hidden="1" x14ac:dyDescent="0.25">
      <c r="A846" t="s">
        <v>33</v>
      </c>
      <c r="B846" t="s">
        <v>6</v>
      </c>
      <c r="C846" t="s">
        <v>9</v>
      </c>
      <c r="D846" t="s">
        <v>6</v>
      </c>
      <c r="E846" t="s">
        <v>11</v>
      </c>
      <c r="F846">
        <v>2040</v>
      </c>
      <c r="G846">
        <v>5750.133742</v>
      </c>
      <c r="H846">
        <v>8.0000000000000002E-3</v>
      </c>
      <c r="I846">
        <v>-1</v>
      </c>
    </row>
    <row r="847" spans="1:9" hidden="1" x14ac:dyDescent="0.25">
      <c r="A847" t="s">
        <v>33</v>
      </c>
      <c r="B847" t="s">
        <v>6</v>
      </c>
      <c r="C847" t="s">
        <v>9</v>
      </c>
      <c r="D847" t="s">
        <v>6</v>
      </c>
      <c r="E847" t="s">
        <v>11</v>
      </c>
      <c r="F847">
        <v>2041</v>
      </c>
      <c r="G847">
        <v>5947.111492</v>
      </c>
      <c r="H847">
        <v>8.0000000000000002E-3</v>
      </c>
      <c r="I847">
        <v>-1</v>
      </c>
    </row>
    <row r="848" spans="1:9" x14ac:dyDescent="0.25">
      <c r="A848" t="s">
        <v>33</v>
      </c>
      <c r="B848" t="s">
        <v>6</v>
      </c>
      <c r="C848" t="s">
        <v>9</v>
      </c>
      <c r="D848" t="s">
        <v>6</v>
      </c>
      <c r="E848" t="s">
        <v>11</v>
      </c>
      <c r="F848">
        <v>2024</v>
      </c>
      <c r="G848">
        <v>3354.5</v>
      </c>
      <c r="H848">
        <v>8.0000000000000002E-3</v>
      </c>
      <c r="I848">
        <v>-1</v>
      </c>
    </row>
    <row r="849" spans="1:9" hidden="1" x14ac:dyDescent="0.25">
      <c r="A849" t="s">
        <v>33</v>
      </c>
      <c r="B849" t="s">
        <v>6</v>
      </c>
      <c r="C849" t="s">
        <v>9</v>
      </c>
      <c r="D849" t="s">
        <v>6</v>
      </c>
      <c r="E849" t="s">
        <v>12</v>
      </c>
      <c r="F849">
        <v>2025</v>
      </c>
      <c r="G849">
        <v>3282.7291890000001</v>
      </c>
      <c r="H849">
        <v>8.0000000000000002E-3</v>
      </c>
      <c r="I849">
        <v>-1</v>
      </c>
    </row>
    <row r="850" spans="1:9" hidden="1" x14ac:dyDescent="0.25">
      <c r="A850" t="s">
        <v>33</v>
      </c>
      <c r="B850" t="s">
        <v>6</v>
      </c>
      <c r="C850" t="s">
        <v>9</v>
      </c>
      <c r="D850" t="s">
        <v>6</v>
      </c>
      <c r="E850" t="s">
        <v>12</v>
      </c>
      <c r="F850">
        <v>2026</v>
      </c>
      <c r="G850">
        <v>3395.183027</v>
      </c>
      <c r="H850">
        <v>8.0000000000000002E-3</v>
      </c>
      <c r="I850">
        <v>-1</v>
      </c>
    </row>
    <row r="851" spans="1:9" hidden="1" x14ac:dyDescent="0.25">
      <c r="A851" t="s">
        <v>33</v>
      </c>
      <c r="B851" t="s">
        <v>6</v>
      </c>
      <c r="C851" t="s">
        <v>9</v>
      </c>
      <c r="D851" t="s">
        <v>6</v>
      </c>
      <c r="E851" t="s">
        <v>12</v>
      </c>
      <c r="F851">
        <v>2027</v>
      </c>
      <c r="G851">
        <v>3511.4891069999999</v>
      </c>
      <c r="H851">
        <v>8.0000000000000002E-3</v>
      </c>
      <c r="I851">
        <v>-1</v>
      </c>
    </row>
    <row r="852" spans="1:9" hidden="1" x14ac:dyDescent="0.25">
      <c r="A852" t="s">
        <v>33</v>
      </c>
      <c r="B852" t="s">
        <v>6</v>
      </c>
      <c r="C852" t="s">
        <v>9</v>
      </c>
      <c r="D852" t="s">
        <v>6</v>
      </c>
      <c r="E852" t="s">
        <v>12</v>
      </c>
      <c r="F852">
        <v>2028</v>
      </c>
      <c r="G852">
        <v>3631.779391</v>
      </c>
      <c r="H852">
        <v>8.0000000000000002E-3</v>
      </c>
      <c r="I852">
        <v>-1</v>
      </c>
    </row>
    <row r="853" spans="1:9" hidden="1" x14ac:dyDescent="0.25">
      <c r="A853" t="s">
        <v>33</v>
      </c>
      <c r="B853" t="s">
        <v>6</v>
      </c>
      <c r="C853" t="s">
        <v>9</v>
      </c>
      <c r="D853" t="s">
        <v>6</v>
      </c>
      <c r="E853" t="s">
        <v>12</v>
      </c>
      <c r="F853">
        <v>2029</v>
      </c>
      <c r="G853">
        <v>3756.190364</v>
      </c>
      <c r="H853">
        <v>8.0000000000000002E-3</v>
      </c>
      <c r="I853">
        <v>-1</v>
      </c>
    </row>
    <row r="854" spans="1:9" hidden="1" x14ac:dyDescent="0.25">
      <c r="A854" t="s">
        <v>33</v>
      </c>
      <c r="B854" t="s">
        <v>6</v>
      </c>
      <c r="C854" t="s">
        <v>9</v>
      </c>
      <c r="D854" t="s">
        <v>6</v>
      </c>
      <c r="E854" t="s">
        <v>12</v>
      </c>
      <c r="F854">
        <v>2030</v>
      </c>
      <c r="G854">
        <v>3884.8631839999998</v>
      </c>
      <c r="H854">
        <v>8.0000000000000002E-3</v>
      </c>
      <c r="I854">
        <v>-1</v>
      </c>
    </row>
    <row r="855" spans="1:9" hidden="1" x14ac:dyDescent="0.25">
      <c r="A855" t="s">
        <v>33</v>
      </c>
      <c r="B855" t="s">
        <v>6</v>
      </c>
      <c r="C855" t="s">
        <v>9</v>
      </c>
      <c r="D855" t="s">
        <v>6</v>
      </c>
      <c r="E855" t="s">
        <v>12</v>
      </c>
      <c r="F855">
        <v>2031</v>
      </c>
      <c r="G855">
        <v>4017.943847</v>
      </c>
      <c r="H855">
        <v>8.0000000000000002E-3</v>
      </c>
      <c r="I855">
        <v>-1</v>
      </c>
    </row>
    <row r="856" spans="1:9" hidden="1" x14ac:dyDescent="0.25">
      <c r="A856" t="s">
        <v>33</v>
      </c>
      <c r="B856" t="s">
        <v>6</v>
      </c>
      <c r="C856" t="s">
        <v>9</v>
      </c>
      <c r="D856" t="s">
        <v>6</v>
      </c>
      <c r="E856" t="s">
        <v>12</v>
      </c>
      <c r="F856">
        <v>2032</v>
      </c>
      <c r="G856">
        <v>4155.5833480000001</v>
      </c>
      <c r="H856">
        <v>8.0000000000000002E-3</v>
      </c>
      <c r="I856">
        <v>-1</v>
      </c>
    </row>
    <row r="857" spans="1:9" hidden="1" x14ac:dyDescent="0.25">
      <c r="A857" t="s">
        <v>33</v>
      </c>
      <c r="B857" t="s">
        <v>6</v>
      </c>
      <c r="C857" t="s">
        <v>9</v>
      </c>
      <c r="D857" t="s">
        <v>6</v>
      </c>
      <c r="E857" t="s">
        <v>12</v>
      </c>
      <c r="F857">
        <v>2033</v>
      </c>
      <c r="G857">
        <v>4297.9378559999996</v>
      </c>
      <c r="H857">
        <v>8.0000000000000002E-3</v>
      </c>
      <c r="I857">
        <v>-1</v>
      </c>
    </row>
    <row r="858" spans="1:9" hidden="1" x14ac:dyDescent="0.25">
      <c r="A858" t="s">
        <v>33</v>
      </c>
      <c r="B858" t="s">
        <v>6</v>
      </c>
      <c r="C858" t="s">
        <v>9</v>
      </c>
      <c r="D858" t="s">
        <v>6</v>
      </c>
      <c r="E858" t="s">
        <v>12</v>
      </c>
      <c r="F858">
        <v>2034</v>
      </c>
      <c r="G858">
        <v>4445.1688880000002</v>
      </c>
      <c r="H858">
        <v>8.0000000000000002E-3</v>
      </c>
      <c r="I858">
        <v>-1</v>
      </c>
    </row>
    <row r="859" spans="1:9" hidden="1" x14ac:dyDescent="0.25">
      <c r="A859" t="s">
        <v>33</v>
      </c>
      <c r="B859" t="s">
        <v>6</v>
      </c>
      <c r="C859" t="s">
        <v>9</v>
      </c>
      <c r="D859" t="s">
        <v>6</v>
      </c>
      <c r="E859" t="s">
        <v>12</v>
      </c>
      <c r="F859">
        <v>2035</v>
      </c>
      <c r="G859">
        <v>4597.4434970000002</v>
      </c>
      <c r="H859">
        <v>8.0000000000000002E-3</v>
      </c>
      <c r="I859">
        <v>-1</v>
      </c>
    </row>
    <row r="860" spans="1:9" hidden="1" x14ac:dyDescent="0.25">
      <c r="A860" t="s">
        <v>33</v>
      </c>
      <c r="B860" t="s">
        <v>6</v>
      </c>
      <c r="C860" t="s">
        <v>9</v>
      </c>
      <c r="D860" t="s">
        <v>6</v>
      </c>
      <c r="E860" t="s">
        <v>12</v>
      </c>
      <c r="F860">
        <v>2036</v>
      </c>
      <c r="G860">
        <v>4754.9344549999996</v>
      </c>
      <c r="H860">
        <v>8.0000000000000002E-3</v>
      </c>
      <c r="I860">
        <v>-1</v>
      </c>
    </row>
    <row r="861" spans="1:9" hidden="1" x14ac:dyDescent="0.25">
      <c r="A861" t="s">
        <v>33</v>
      </c>
      <c r="B861" t="s">
        <v>6</v>
      </c>
      <c r="C861" t="s">
        <v>9</v>
      </c>
      <c r="D861" t="s">
        <v>6</v>
      </c>
      <c r="E861" t="s">
        <v>12</v>
      </c>
      <c r="F861">
        <v>2037</v>
      </c>
      <c r="G861">
        <v>4917.8204560000004</v>
      </c>
      <c r="H861">
        <v>8.0000000000000002E-3</v>
      </c>
      <c r="I861">
        <v>-1</v>
      </c>
    </row>
    <row r="862" spans="1:9" hidden="1" x14ac:dyDescent="0.25">
      <c r="A862" t="s">
        <v>33</v>
      </c>
      <c r="B862" t="s">
        <v>6</v>
      </c>
      <c r="C862" t="s">
        <v>9</v>
      </c>
      <c r="D862" t="s">
        <v>6</v>
      </c>
      <c r="E862" t="s">
        <v>12</v>
      </c>
      <c r="F862">
        <v>2038</v>
      </c>
      <c r="G862">
        <v>5086.2863129999996</v>
      </c>
      <c r="H862">
        <v>8.0000000000000002E-3</v>
      </c>
      <c r="I862">
        <v>-1</v>
      </c>
    </row>
    <row r="863" spans="1:9" hidden="1" x14ac:dyDescent="0.25">
      <c r="A863" t="s">
        <v>33</v>
      </c>
      <c r="B863" t="s">
        <v>6</v>
      </c>
      <c r="C863" t="s">
        <v>9</v>
      </c>
      <c r="D863" t="s">
        <v>6</v>
      </c>
      <c r="E863" t="s">
        <v>12</v>
      </c>
      <c r="F863">
        <v>2039</v>
      </c>
      <c r="G863">
        <v>5260.5231709999998</v>
      </c>
      <c r="H863">
        <v>8.0000000000000002E-3</v>
      </c>
      <c r="I863">
        <v>-1</v>
      </c>
    </row>
    <row r="864" spans="1:9" hidden="1" x14ac:dyDescent="0.25">
      <c r="A864" t="s">
        <v>33</v>
      </c>
      <c r="B864" t="s">
        <v>6</v>
      </c>
      <c r="C864" t="s">
        <v>9</v>
      </c>
      <c r="D864" t="s">
        <v>6</v>
      </c>
      <c r="E864" t="s">
        <v>12</v>
      </c>
      <c r="F864">
        <v>2040</v>
      </c>
      <c r="G864">
        <v>5440.7287210000004</v>
      </c>
      <c r="H864">
        <v>8.0000000000000002E-3</v>
      </c>
      <c r="I864">
        <v>-1</v>
      </c>
    </row>
    <row r="865" spans="1:9" hidden="1" x14ac:dyDescent="0.25">
      <c r="A865" t="s">
        <v>33</v>
      </c>
      <c r="B865" t="s">
        <v>6</v>
      </c>
      <c r="C865" t="s">
        <v>9</v>
      </c>
      <c r="D865" t="s">
        <v>6</v>
      </c>
      <c r="E865" t="s">
        <v>12</v>
      </c>
      <c r="F865">
        <v>2041</v>
      </c>
      <c r="G865">
        <v>5627.10743</v>
      </c>
      <c r="H865">
        <v>8.0000000000000002E-3</v>
      </c>
      <c r="I865">
        <v>-1</v>
      </c>
    </row>
    <row r="866" spans="1:9" x14ac:dyDescent="0.25">
      <c r="A866" t="s">
        <v>33</v>
      </c>
      <c r="B866" t="s">
        <v>6</v>
      </c>
      <c r="C866" t="s">
        <v>9</v>
      </c>
      <c r="D866" t="s">
        <v>6</v>
      </c>
      <c r="E866" t="s">
        <v>12</v>
      </c>
      <c r="F866">
        <v>2024</v>
      </c>
      <c r="G866">
        <v>3174</v>
      </c>
      <c r="H866">
        <v>8.0000000000000002E-3</v>
      </c>
      <c r="I866">
        <v>-1</v>
      </c>
    </row>
    <row r="867" spans="1:9" hidden="1" x14ac:dyDescent="0.25">
      <c r="A867" t="s">
        <v>33</v>
      </c>
      <c r="B867" t="s">
        <v>6</v>
      </c>
      <c r="C867" t="s">
        <v>9</v>
      </c>
      <c r="D867" t="s">
        <v>6</v>
      </c>
      <c r="E867" t="s">
        <v>8</v>
      </c>
      <c r="F867">
        <v>2025</v>
      </c>
      <c r="G867">
        <v>3917.6590719999999</v>
      </c>
      <c r="H867">
        <v>8.0000000000000002E-3</v>
      </c>
      <c r="I867">
        <v>-1</v>
      </c>
    </row>
    <row r="868" spans="1:9" hidden="1" x14ac:dyDescent="0.25">
      <c r="A868" t="s">
        <v>33</v>
      </c>
      <c r="B868" t="s">
        <v>6</v>
      </c>
      <c r="C868" t="s">
        <v>9</v>
      </c>
      <c r="D868" t="s">
        <v>6</v>
      </c>
      <c r="E868" t="s">
        <v>8</v>
      </c>
      <c r="F868">
        <v>2026</v>
      </c>
      <c r="G868">
        <v>4051.8631970000001</v>
      </c>
      <c r="H868">
        <v>8.0000000000000002E-3</v>
      </c>
      <c r="I868">
        <v>-1</v>
      </c>
    </row>
    <row r="869" spans="1:9" hidden="1" x14ac:dyDescent="0.25">
      <c r="A869" t="s">
        <v>33</v>
      </c>
      <c r="B869" t="s">
        <v>6</v>
      </c>
      <c r="C869" t="s">
        <v>9</v>
      </c>
      <c r="D869" t="s">
        <v>6</v>
      </c>
      <c r="E869" t="s">
        <v>8</v>
      </c>
      <c r="F869">
        <v>2027</v>
      </c>
      <c r="G869">
        <v>4190.6646460000002</v>
      </c>
      <c r="H869">
        <v>8.0000000000000002E-3</v>
      </c>
      <c r="I869">
        <v>-1</v>
      </c>
    </row>
    <row r="870" spans="1:9" hidden="1" x14ac:dyDescent="0.25">
      <c r="A870" t="s">
        <v>33</v>
      </c>
      <c r="B870" t="s">
        <v>6</v>
      </c>
      <c r="C870" t="s">
        <v>9</v>
      </c>
      <c r="D870" t="s">
        <v>6</v>
      </c>
      <c r="E870" t="s">
        <v>8</v>
      </c>
      <c r="F870">
        <v>2028</v>
      </c>
      <c r="G870">
        <v>4334.2209059999996</v>
      </c>
      <c r="H870">
        <v>8.0000000000000002E-3</v>
      </c>
      <c r="I870">
        <v>-1</v>
      </c>
    </row>
    <row r="871" spans="1:9" hidden="1" x14ac:dyDescent="0.25">
      <c r="A871" t="s">
        <v>33</v>
      </c>
      <c r="B871" t="s">
        <v>6</v>
      </c>
      <c r="C871" t="s">
        <v>9</v>
      </c>
      <c r="D871" t="s">
        <v>6</v>
      </c>
      <c r="E871" t="s">
        <v>8</v>
      </c>
      <c r="F871">
        <v>2029</v>
      </c>
      <c r="G871">
        <v>4482.6948579999998</v>
      </c>
      <c r="H871">
        <v>8.0000000000000002E-3</v>
      </c>
      <c r="I871">
        <v>-1</v>
      </c>
    </row>
    <row r="872" spans="1:9" hidden="1" x14ac:dyDescent="0.25">
      <c r="A872" t="s">
        <v>33</v>
      </c>
      <c r="B872" t="s">
        <v>6</v>
      </c>
      <c r="C872" t="s">
        <v>9</v>
      </c>
      <c r="D872" t="s">
        <v>6</v>
      </c>
      <c r="E872" t="s">
        <v>8</v>
      </c>
      <c r="F872">
        <v>2030</v>
      </c>
      <c r="G872">
        <v>4636.2549639999997</v>
      </c>
      <c r="H872">
        <v>8.0000000000000002E-3</v>
      </c>
      <c r="I872">
        <v>-1</v>
      </c>
    </row>
    <row r="873" spans="1:9" hidden="1" x14ac:dyDescent="0.25">
      <c r="A873" t="s">
        <v>33</v>
      </c>
      <c r="B873" t="s">
        <v>6</v>
      </c>
      <c r="C873" t="s">
        <v>9</v>
      </c>
      <c r="D873" t="s">
        <v>6</v>
      </c>
      <c r="E873" t="s">
        <v>8</v>
      </c>
      <c r="F873">
        <v>2031</v>
      </c>
      <c r="G873">
        <v>4795.0754559999996</v>
      </c>
      <c r="H873">
        <v>8.0000000000000002E-3</v>
      </c>
      <c r="I873">
        <v>-1</v>
      </c>
    </row>
    <row r="874" spans="1:9" hidden="1" x14ac:dyDescent="0.25">
      <c r="A874" t="s">
        <v>33</v>
      </c>
      <c r="B874" t="s">
        <v>6</v>
      </c>
      <c r="C874" t="s">
        <v>9</v>
      </c>
      <c r="D874" t="s">
        <v>6</v>
      </c>
      <c r="E874" t="s">
        <v>8</v>
      </c>
      <c r="F874">
        <v>2032</v>
      </c>
      <c r="G874">
        <v>4959.3365350000004</v>
      </c>
      <c r="H874">
        <v>8.0000000000000002E-3</v>
      </c>
      <c r="I874">
        <v>-1</v>
      </c>
    </row>
    <row r="875" spans="1:9" hidden="1" x14ac:dyDescent="0.25">
      <c r="A875" t="s">
        <v>33</v>
      </c>
      <c r="B875" t="s">
        <v>6</v>
      </c>
      <c r="C875" t="s">
        <v>9</v>
      </c>
      <c r="D875" t="s">
        <v>6</v>
      </c>
      <c r="E875" t="s">
        <v>8</v>
      </c>
      <c r="F875">
        <v>2033</v>
      </c>
      <c r="G875">
        <v>5129.2245759999996</v>
      </c>
      <c r="H875">
        <v>8.0000000000000002E-3</v>
      </c>
      <c r="I875">
        <v>-1</v>
      </c>
    </row>
    <row r="876" spans="1:9" hidden="1" x14ac:dyDescent="0.25">
      <c r="A876" t="s">
        <v>33</v>
      </c>
      <c r="B876" t="s">
        <v>6</v>
      </c>
      <c r="C876" t="s">
        <v>9</v>
      </c>
      <c r="D876" t="s">
        <v>6</v>
      </c>
      <c r="E876" t="s">
        <v>8</v>
      </c>
      <c r="F876">
        <v>2034</v>
      </c>
      <c r="G876">
        <v>5304.9323350000004</v>
      </c>
      <c r="H876">
        <v>8.0000000000000002E-3</v>
      </c>
      <c r="I876">
        <v>-1</v>
      </c>
    </row>
    <row r="877" spans="1:9" hidden="1" x14ac:dyDescent="0.25">
      <c r="A877" t="s">
        <v>33</v>
      </c>
      <c r="B877" t="s">
        <v>6</v>
      </c>
      <c r="C877" t="s">
        <v>9</v>
      </c>
      <c r="D877" t="s">
        <v>6</v>
      </c>
      <c r="E877" t="s">
        <v>8</v>
      </c>
      <c r="F877">
        <v>2035</v>
      </c>
      <c r="G877">
        <v>5486.6591749999998</v>
      </c>
      <c r="H877">
        <v>8.0000000000000002E-3</v>
      </c>
      <c r="I877">
        <v>-1</v>
      </c>
    </row>
    <row r="878" spans="1:9" hidden="1" x14ac:dyDescent="0.25">
      <c r="A878" t="s">
        <v>33</v>
      </c>
      <c r="B878" t="s">
        <v>6</v>
      </c>
      <c r="C878" t="s">
        <v>9</v>
      </c>
      <c r="D878" t="s">
        <v>6</v>
      </c>
      <c r="E878" t="s">
        <v>8</v>
      </c>
      <c r="F878">
        <v>2036</v>
      </c>
      <c r="G878">
        <v>5674.6112869999997</v>
      </c>
      <c r="H878">
        <v>8.0000000000000002E-3</v>
      </c>
      <c r="I878">
        <v>-1</v>
      </c>
    </row>
    <row r="879" spans="1:9" hidden="1" x14ac:dyDescent="0.25">
      <c r="A879" t="s">
        <v>33</v>
      </c>
      <c r="B879" t="s">
        <v>6</v>
      </c>
      <c r="C879" t="s">
        <v>9</v>
      </c>
      <c r="D879" t="s">
        <v>6</v>
      </c>
      <c r="E879" t="s">
        <v>8</v>
      </c>
      <c r="F879">
        <v>2037</v>
      </c>
      <c r="G879">
        <v>5869.0019240000001</v>
      </c>
      <c r="H879">
        <v>8.0000000000000002E-3</v>
      </c>
      <c r="I879">
        <v>-1</v>
      </c>
    </row>
    <row r="880" spans="1:9" hidden="1" x14ac:dyDescent="0.25">
      <c r="A880" t="s">
        <v>33</v>
      </c>
      <c r="B880" t="s">
        <v>6</v>
      </c>
      <c r="C880" t="s">
        <v>9</v>
      </c>
      <c r="D880" t="s">
        <v>6</v>
      </c>
      <c r="E880" t="s">
        <v>8</v>
      </c>
      <c r="F880">
        <v>2038</v>
      </c>
      <c r="G880">
        <v>6070.0516459999999</v>
      </c>
      <c r="H880">
        <v>8.0000000000000002E-3</v>
      </c>
      <c r="I880">
        <v>-1</v>
      </c>
    </row>
    <row r="881" spans="1:9" hidden="1" x14ac:dyDescent="0.25">
      <c r="A881" t="s">
        <v>33</v>
      </c>
      <c r="B881" t="s">
        <v>6</v>
      </c>
      <c r="C881" t="s">
        <v>9</v>
      </c>
      <c r="D881" t="s">
        <v>6</v>
      </c>
      <c r="E881" t="s">
        <v>8</v>
      </c>
      <c r="F881">
        <v>2039</v>
      </c>
      <c r="G881">
        <v>6277.9885690000001</v>
      </c>
      <c r="H881">
        <v>8.0000000000000002E-3</v>
      </c>
      <c r="I881">
        <v>-1</v>
      </c>
    </row>
    <row r="882" spans="1:9" hidden="1" x14ac:dyDescent="0.25">
      <c r="A882" t="s">
        <v>33</v>
      </c>
      <c r="B882" t="s">
        <v>6</v>
      </c>
      <c r="C882" t="s">
        <v>9</v>
      </c>
      <c r="D882" t="s">
        <v>6</v>
      </c>
      <c r="E882" t="s">
        <v>8</v>
      </c>
      <c r="F882">
        <v>2040</v>
      </c>
      <c r="G882">
        <v>6493.0486209999999</v>
      </c>
      <c r="H882">
        <v>8.0000000000000002E-3</v>
      </c>
      <c r="I882">
        <v>-1</v>
      </c>
    </row>
    <row r="883" spans="1:9" hidden="1" x14ac:dyDescent="0.25">
      <c r="A883" t="s">
        <v>33</v>
      </c>
      <c r="B883" t="s">
        <v>6</v>
      </c>
      <c r="C883" t="s">
        <v>9</v>
      </c>
      <c r="D883" t="s">
        <v>6</v>
      </c>
      <c r="E883" t="s">
        <v>8</v>
      </c>
      <c r="F883">
        <v>2041</v>
      </c>
      <c r="G883">
        <v>6715.4758140000004</v>
      </c>
      <c r="H883">
        <v>8.0000000000000002E-3</v>
      </c>
      <c r="I883">
        <v>-1</v>
      </c>
    </row>
    <row r="884" spans="1:9" x14ac:dyDescent="0.25">
      <c r="A884" t="s">
        <v>33</v>
      </c>
      <c r="B884" t="s">
        <v>6</v>
      </c>
      <c r="C884" t="s">
        <v>9</v>
      </c>
      <c r="D884" t="s">
        <v>6</v>
      </c>
      <c r="E884" t="s">
        <v>8</v>
      </c>
      <c r="F884">
        <v>2024</v>
      </c>
      <c r="G884">
        <v>3787.9</v>
      </c>
      <c r="H884">
        <v>8.0000000000000002E-3</v>
      </c>
      <c r="I884">
        <v>-1</v>
      </c>
    </row>
    <row r="885" spans="1:9" hidden="1" x14ac:dyDescent="0.25">
      <c r="A885" t="s">
        <v>33</v>
      </c>
      <c r="B885" t="s">
        <v>6</v>
      </c>
      <c r="C885" t="s">
        <v>9</v>
      </c>
      <c r="D885" t="s">
        <v>6</v>
      </c>
      <c r="E885" t="s">
        <v>9</v>
      </c>
      <c r="F885">
        <v>2025</v>
      </c>
      <c r="G885">
        <v>815.46646629999998</v>
      </c>
      <c r="H885">
        <v>2E-3</v>
      </c>
      <c r="I885">
        <v>-1</v>
      </c>
    </row>
    <row r="886" spans="1:9" hidden="1" x14ac:dyDescent="0.25">
      <c r="A886" t="s">
        <v>33</v>
      </c>
      <c r="B886" t="s">
        <v>6</v>
      </c>
      <c r="C886" t="s">
        <v>9</v>
      </c>
      <c r="D886" t="s">
        <v>6</v>
      </c>
      <c r="E886" t="s">
        <v>9</v>
      </c>
      <c r="F886">
        <v>2026</v>
      </c>
      <c r="G886">
        <v>834.15147730000001</v>
      </c>
      <c r="H886">
        <v>2E-3</v>
      </c>
      <c r="I886">
        <v>-1</v>
      </c>
    </row>
    <row r="887" spans="1:9" hidden="1" x14ac:dyDescent="0.25">
      <c r="A887" t="s">
        <v>33</v>
      </c>
      <c r="B887" t="s">
        <v>6</v>
      </c>
      <c r="C887" t="s">
        <v>9</v>
      </c>
      <c r="D887" t="s">
        <v>6</v>
      </c>
      <c r="E887" t="s">
        <v>9</v>
      </c>
      <c r="F887">
        <v>2027</v>
      </c>
      <c r="G887">
        <v>853.26462309999999</v>
      </c>
      <c r="H887">
        <v>2E-3</v>
      </c>
      <c r="I887">
        <v>-1</v>
      </c>
    </row>
    <row r="888" spans="1:9" hidden="1" x14ac:dyDescent="0.25">
      <c r="A888" t="s">
        <v>33</v>
      </c>
      <c r="B888" t="s">
        <v>6</v>
      </c>
      <c r="C888" t="s">
        <v>9</v>
      </c>
      <c r="D888" t="s">
        <v>6</v>
      </c>
      <c r="E888" t="s">
        <v>9</v>
      </c>
      <c r="F888">
        <v>2028</v>
      </c>
      <c r="G888">
        <v>872.81571380000003</v>
      </c>
      <c r="H888">
        <v>2E-3</v>
      </c>
      <c r="I888">
        <v>-1</v>
      </c>
    </row>
    <row r="889" spans="1:9" hidden="1" x14ac:dyDescent="0.25">
      <c r="A889" t="s">
        <v>33</v>
      </c>
      <c r="B889" t="s">
        <v>6</v>
      </c>
      <c r="C889" t="s">
        <v>9</v>
      </c>
      <c r="D889" t="s">
        <v>6</v>
      </c>
      <c r="E889" t="s">
        <v>9</v>
      </c>
      <c r="F889">
        <v>2029</v>
      </c>
      <c r="G889">
        <v>892.8147841</v>
      </c>
      <c r="H889">
        <v>2E-3</v>
      </c>
      <c r="I889">
        <v>-1</v>
      </c>
    </row>
    <row r="890" spans="1:9" hidden="1" x14ac:dyDescent="0.25">
      <c r="A890" t="s">
        <v>33</v>
      </c>
      <c r="B890" t="s">
        <v>6</v>
      </c>
      <c r="C890" t="s">
        <v>9</v>
      </c>
      <c r="D890" t="s">
        <v>6</v>
      </c>
      <c r="E890" t="s">
        <v>9</v>
      </c>
      <c r="F890">
        <v>2030</v>
      </c>
      <c r="G890">
        <v>913.27209870000002</v>
      </c>
      <c r="H890">
        <v>2E-3</v>
      </c>
      <c r="I890">
        <v>-1</v>
      </c>
    </row>
    <row r="891" spans="1:9" hidden="1" x14ac:dyDescent="0.25">
      <c r="A891" t="s">
        <v>33</v>
      </c>
      <c r="B891" t="s">
        <v>6</v>
      </c>
      <c r="C891" t="s">
        <v>9</v>
      </c>
      <c r="D891" t="s">
        <v>6</v>
      </c>
      <c r="E891" t="s">
        <v>9</v>
      </c>
      <c r="F891">
        <v>2031</v>
      </c>
      <c r="G891">
        <v>934.19815749999998</v>
      </c>
      <c r="H891">
        <v>2E-3</v>
      </c>
      <c r="I891">
        <v>-1</v>
      </c>
    </row>
    <row r="892" spans="1:9" hidden="1" x14ac:dyDescent="0.25">
      <c r="A892" t="s">
        <v>33</v>
      </c>
      <c r="B892" t="s">
        <v>6</v>
      </c>
      <c r="C892" t="s">
        <v>9</v>
      </c>
      <c r="D892" t="s">
        <v>6</v>
      </c>
      <c r="E892" t="s">
        <v>9</v>
      </c>
      <c r="F892">
        <v>2032</v>
      </c>
      <c r="G892">
        <v>955.60370090000004</v>
      </c>
      <c r="H892">
        <v>2E-3</v>
      </c>
      <c r="I892">
        <v>-1</v>
      </c>
    </row>
    <row r="893" spans="1:9" hidden="1" x14ac:dyDescent="0.25">
      <c r="A893" t="s">
        <v>33</v>
      </c>
      <c r="B893" t="s">
        <v>6</v>
      </c>
      <c r="C893" t="s">
        <v>9</v>
      </c>
      <c r="D893" t="s">
        <v>6</v>
      </c>
      <c r="E893" t="s">
        <v>9</v>
      </c>
      <c r="F893">
        <v>2033</v>
      </c>
      <c r="G893">
        <v>977.49971540000001</v>
      </c>
      <c r="H893">
        <v>2E-3</v>
      </c>
      <c r="I893">
        <v>-1</v>
      </c>
    </row>
    <row r="894" spans="1:9" hidden="1" x14ac:dyDescent="0.25">
      <c r="A894" t="s">
        <v>33</v>
      </c>
      <c r="B894" t="s">
        <v>6</v>
      </c>
      <c r="C894" t="s">
        <v>9</v>
      </c>
      <c r="D894" t="s">
        <v>6</v>
      </c>
      <c r="E894" t="s">
        <v>9</v>
      </c>
      <c r="F894">
        <v>2034</v>
      </c>
      <c r="G894">
        <v>999.89743950000002</v>
      </c>
      <c r="H894">
        <v>2E-3</v>
      </c>
      <c r="I894">
        <v>-1</v>
      </c>
    </row>
    <row r="895" spans="1:9" hidden="1" x14ac:dyDescent="0.25">
      <c r="A895" t="s">
        <v>33</v>
      </c>
      <c r="B895" t="s">
        <v>6</v>
      </c>
      <c r="C895" t="s">
        <v>9</v>
      </c>
      <c r="D895" t="s">
        <v>6</v>
      </c>
      <c r="E895" t="s">
        <v>9</v>
      </c>
      <c r="F895">
        <v>2035</v>
      </c>
      <c r="G895">
        <v>1022.808369</v>
      </c>
      <c r="H895">
        <v>2E-3</v>
      </c>
      <c r="I895">
        <v>-1</v>
      </c>
    </row>
    <row r="896" spans="1:9" hidden="1" x14ac:dyDescent="0.25">
      <c r="A896" t="s">
        <v>33</v>
      </c>
      <c r="B896" t="s">
        <v>6</v>
      </c>
      <c r="C896" t="s">
        <v>9</v>
      </c>
      <c r="D896" t="s">
        <v>6</v>
      </c>
      <c r="E896" t="s">
        <v>9</v>
      </c>
      <c r="F896">
        <v>2036</v>
      </c>
      <c r="G896">
        <v>1046.244263</v>
      </c>
      <c r="H896">
        <v>2E-3</v>
      </c>
      <c r="I896">
        <v>-1</v>
      </c>
    </row>
    <row r="897" spans="1:9" hidden="1" x14ac:dyDescent="0.25">
      <c r="A897" t="s">
        <v>33</v>
      </c>
      <c r="B897" t="s">
        <v>6</v>
      </c>
      <c r="C897" t="s">
        <v>9</v>
      </c>
      <c r="D897" t="s">
        <v>6</v>
      </c>
      <c r="E897" t="s">
        <v>9</v>
      </c>
      <c r="F897">
        <v>2037</v>
      </c>
      <c r="G897">
        <v>1070.2171499999999</v>
      </c>
      <c r="H897">
        <v>2E-3</v>
      </c>
      <c r="I897">
        <v>-1</v>
      </c>
    </row>
    <row r="898" spans="1:9" hidden="1" x14ac:dyDescent="0.25">
      <c r="A898" t="s">
        <v>33</v>
      </c>
      <c r="B898" t="s">
        <v>6</v>
      </c>
      <c r="C898" t="s">
        <v>9</v>
      </c>
      <c r="D898" t="s">
        <v>6</v>
      </c>
      <c r="E898" t="s">
        <v>9</v>
      </c>
      <c r="F898">
        <v>2038</v>
      </c>
      <c r="G898">
        <v>1094.7393340000001</v>
      </c>
      <c r="H898">
        <v>2E-3</v>
      </c>
      <c r="I898">
        <v>-1</v>
      </c>
    </row>
    <row r="899" spans="1:9" hidden="1" x14ac:dyDescent="0.25">
      <c r="A899" t="s">
        <v>33</v>
      </c>
      <c r="B899" t="s">
        <v>6</v>
      </c>
      <c r="C899" t="s">
        <v>9</v>
      </c>
      <c r="D899" t="s">
        <v>6</v>
      </c>
      <c r="E899" t="s">
        <v>9</v>
      </c>
      <c r="F899">
        <v>2039</v>
      </c>
      <c r="G899">
        <v>1119.8234030000001</v>
      </c>
      <c r="H899">
        <v>2E-3</v>
      </c>
      <c r="I899">
        <v>-1</v>
      </c>
    </row>
    <row r="900" spans="1:9" hidden="1" x14ac:dyDescent="0.25">
      <c r="A900" t="s">
        <v>33</v>
      </c>
      <c r="B900" t="s">
        <v>6</v>
      </c>
      <c r="C900" t="s">
        <v>9</v>
      </c>
      <c r="D900" t="s">
        <v>6</v>
      </c>
      <c r="E900" t="s">
        <v>9</v>
      </c>
      <c r="F900">
        <v>2040</v>
      </c>
      <c r="G900">
        <v>1145.482229</v>
      </c>
      <c r="H900">
        <v>2E-3</v>
      </c>
      <c r="I900">
        <v>-1</v>
      </c>
    </row>
    <row r="901" spans="1:9" hidden="1" x14ac:dyDescent="0.25">
      <c r="A901" t="s">
        <v>33</v>
      </c>
      <c r="B901" t="s">
        <v>6</v>
      </c>
      <c r="C901" t="s">
        <v>9</v>
      </c>
      <c r="D901" t="s">
        <v>6</v>
      </c>
      <c r="E901" t="s">
        <v>9</v>
      </c>
      <c r="F901">
        <v>2041</v>
      </c>
      <c r="G901">
        <v>1171.7289840000001</v>
      </c>
      <c r="H901">
        <v>2E-3</v>
      </c>
      <c r="I901">
        <v>-1</v>
      </c>
    </row>
    <row r="902" spans="1:9" hidden="1" x14ac:dyDescent="0.25">
      <c r="A902" t="s">
        <v>34</v>
      </c>
      <c r="B902" t="s">
        <v>6</v>
      </c>
      <c r="C902" t="s">
        <v>12</v>
      </c>
      <c r="D902" t="s">
        <v>6</v>
      </c>
      <c r="E902" t="s">
        <v>12</v>
      </c>
      <c r="F902">
        <v>2024</v>
      </c>
      <c r="G902">
        <v>2.6248298320000001</v>
      </c>
      <c r="H902">
        <v>0.14930632299999999</v>
      </c>
      <c r="I902">
        <v>-1</v>
      </c>
    </row>
    <row r="903" spans="1:9" hidden="1" x14ac:dyDescent="0.25">
      <c r="A903" t="s">
        <v>34</v>
      </c>
      <c r="B903" t="s">
        <v>6</v>
      </c>
      <c r="C903" t="s">
        <v>12</v>
      </c>
      <c r="D903" t="s">
        <v>6</v>
      </c>
      <c r="E903" t="s">
        <v>12</v>
      </c>
      <c r="F903">
        <v>2025</v>
      </c>
      <c r="G903">
        <v>2.6432302970000001</v>
      </c>
      <c r="H903">
        <v>0.14296185</v>
      </c>
      <c r="I903">
        <v>-1</v>
      </c>
    </row>
    <row r="904" spans="1:9" hidden="1" x14ac:dyDescent="0.25">
      <c r="A904" t="s">
        <v>34</v>
      </c>
      <c r="B904" t="s">
        <v>6</v>
      </c>
      <c r="C904" t="s">
        <v>12</v>
      </c>
      <c r="D904" t="s">
        <v>6</v>
      </c>
      <c r="E904" t="s">
        <v>12</v>
      </c>
      <c r="F904">
        <v>2026</v>
      </c>
      <c r="G904">
        <v>2.6642995229999999</v>
      </c>
      <c r="H904">
        <v>0.13683577599999999</v>
      </c>
      <c r="I904">
        <v>-1</v>
      </c>
    </row>
    <row r="905" spans="1:9" hidden="1" x14ac:dyDescent="0.25">
      <c r="A905" t="s">
        <v>34</v>
      </c>
      <c r="B905" t="s">
        <v>6</v>
      </c>
      <c r="C905" t="s">
        <v>12</v>
      </c>
      <c r="D905" t="s">
        <v>6</v>
      </c>
      <c r="E905" t="s">
        <v>12</v>
      </c>
      <c r="F905">
        <v>2027</v>
      </c>
      <c r="G905">
        <v>2.6844169959999999</v>
      </c>
      <c r="H905">
        <v>0.13092058300000001</v>
      </c>
      <c r="I905">
        <v>-1</v>
      </c>
    </row>
    <row r="906" spans="1:9" hidden="1" x14ac:dyDescent="0.25">
      <c r="A906" t="s">
        <v>34</v>
      </c>
      <c r="B906" t="s">
        <v>6</v>
      </c>
      <c r="C906" t="s">
        <v>12</v>
      </c>
      <c r="D906" t="s">
        <v>6</v>
      </c>
      <c r="E906" t="s">
        <v>12</v>
      </c>
      <c r="F906">
        <v>2028</v>
      </c>
      <c r="G906">
        <v>2.7022309199999999</v>
      </c>
      <c r="H906">
        <v>0.12520901200000001</v>
      </c>
      <c r="I906">
        <v>-1</v>
      </c>
    </row>
    <row r="907" spans="1:9" hidden="1" x14ac:dyDescent="0.25">
      <c r="A907" t="s">
        <v>34</v>
      </c>
      <c r="B907" t="s">
        <v>6</v>
      </c>
      <c r="C907" t="s">
        <v>12</v>
      </c>
      <c r="D907" t="s">
        <v>6</v>
      </c>
      <c r="E907" t="s">
        <v>12</v>
      </c>
      <c r="F907">
        <v>2029</v>
      </c>
      <c r="G907">
        <v>2.7174070490000002</v>
      </c>
      <c r="H907">
        <v>0.11969405299999999</v>
      </c>
      <c r="I907">
        <v>-1</v>
      </c>
    </row>
    <row r="908" spans="1:9" hidden="1" x14ac:dyDescent="0.25">
      <c r="A908" t="s">
        <v>34</v>
      </c>
      <c r="B908" t="s">
        <v>6</v>
      </c>
      <c r="C908" t="s">
        <v>12</v>
      </c>
      <c r="D908" t="s">
        <v>6</v>
      </c>
      <c r="E908" t="s">
        <v>12</v>
      </c>
      <c r="F908">
        <v>2030</v>
      </c>
      <c r="G908">
        <v>2.7300541329999999</v>
      </c>
      <c r="H908">
        <v>0.114368938</v>
      </c>
      <c r="I908">
        <v>-1</v>
      </c>
    </row>
    <row r="909" spans="1:9" hidden="1" x14ac:dyDescent="0.25">
      <c r="A909" t="s">
        <v>34</v>
      </c>
      <c r="B909" t="s">
        <v>6</v>
      </c>
      <c r="C909" t="s">
        <v>12</v>
      </c>
      <c r="D909" t="s">
        <v>6</v>
      </c>
      <c r="E909" t="s">
        <v>12</v>
      </c>
      <c r="F909">
        <v>2031</v>
      </c>
      <c r="G909">
        <v>2.740453402</v>
      </c>
      <c r="H909">
        <v>0.109227133</v>
      </c>
      <c r="I909">
        <v>-1</v>
      </c>
    </row>
    <row r="910" spans="1:9" hidden="1" x14ac:dyDescent="0.25">
      <c r="A910" t="s">
        <v>34</v>
      </c>
      <c r="B910" t="s">
        <v>6</v>
      </c>
      <c r="C910" t="s">
        <v>12</v>
      </c>
      <c r="D910" t="s">
        <v>6</v>
      </c>
      <c r="E910" t="s">
        <v>12</v>
      </c>
      <c r="F910">
        <v>2032</v>
      </c>
      <c r="G910">
        <v>2.7510842069999999</v>
      </c>
      <c r="H910">
        <v>0.104262327</v>
      </c>
      <c r="I910">
        <v>-1</v>
      </c>
    </row>
    <row r="911" spans="1:9" hidden="1" x14ac:dyDescent="0.25">
      <c r="A911" t="s">
        <v>34</v>
      </c>
      <c r="B911" t="s">
        <v>6</v>
      </c>
      <c r="C911" t="s">
        <v>12</v>
      </c>
      <c r="D911" t="s">
        <v>6</v>
      </c>
      <c r="E911" t="s">
        <v>12</v>
      </c>
      <c r="F911">
        <v>2033</v>
      </c>
      <c r="G911">
        <v>2.761882382</v>
      </c>
      <c r="H911">
        <v>9.9468426999999998E-2</v>
      </c>
      <c r="I911">
        <v>-1</v>
      </c>
    </row>
    <row r="912" spans="1:9" hidden="1" x14ac:dyDescent="0.25">
      <c r="A912" t="s">
        <v>34</v>
      </c>
      <c r="B912" t="s">
        <v>6</v>
      </c>
      <c r="C912" t="s">
        <v>12</v>
      </c>
      <c r="D912" t="s">
        <v>6</v>
      </c>
      <c r="E912" t="s">
        <v>12</v>
      </c>
      <c r="F912">
        <v>2034</v>
      </c>
      <c r="G912">
        <v>2.7728163559999999</v>
      </c>
      <c r="H912">
        <v>9.4839549999999995E-2</v>
      </c>
      <c r="I912">
        <v>-1</v>
      </c>
    </row>
    <row r="913" spans="1:9" hidden="1" x14ac:dyDescent="0.25">
      <c r="A913" t="s">
        <v>34</v>
      </c>
      <c r="B913" t="s">
        <v>6</v>
      </c>
      <c r="C913" t="s">
        <v>12</v>
      </c>
      <c r="D913" t="s">
        <v>6</v>
      </c>
      <c r="E913" t="s">
        <v>12</v>
      </c>
      <c r="F913">
        <v>2035</v>
      </c>
      <c r="G913">
        <v>2.7838708419999998</v>
      </c>
      <c r="H913">
        <v>9.0370014999999998E-2</v>
      </c>
      <c r="I913">
        <v>-1</v>
      </c>
    </row>
    <row r="914" spans="1:9" hidden="1" x14ac:dyDescent="0.25">
      <c r="A914" t="s">
        <v>34</v>
      </c>
      <c r="B914" t="s">
        <v>6</v>
      </c>
      <c r="C914" t="s">
        <v>12</v>
      </c>
      <c r="D914" t="s">
        <v>6</v>
      </c>
      <c r="E914" t="s">
        <v>12</v>
      </c>
      <c r="F914">
        <v>2036</v>
      </c>
      <c r="G914">
        <v>2.795038699</v>
      </c>
      <c r="H914">
        <v>8.6054336999999995E-2</v>
      </c>
      <c r="I914">
        <v>-1</v>
      </c>
    </row>
    <row r="915" spans="1:9" hidden="1" x14ac:dyDescent="0.25">
      <c r="A915" t="s">
        <v>34</v>
      </c>
      <c r="B915" t="s">
        <v>6</v>
      </c>
      <c r="C915" t="s">
        <v>12</v>
      </c>
      <c r="D915" t="s">
        <v>6</v>
      </c>
      <c r="E915" t="s">
        <v>12</v>
      </c>
      <c r="F915">
        <v>2037</v>
      </c>
      <c r="G915">
        <v>2.8063168620000001</v>
      </c>
      <c r="H915">
        <v>8.5000000000000006E-2</v>
      </c>
      <c r="I915">
        <v>-1</v>
      </c>
    </row>
    <row r="916" spans="1:9" hidden="1" x14ac:dyDescent="0.25">
      <c r="A916" t="s">
        <v>34</v>
      </c>
      <c r="B916" t="s">
        <v>6</v>
      </c>
      <c r="C916" t="s">
        <v>12</v>
      </c>
      <c r="D916" t="s">
        <v>6</v>
      </c>
      <c r="E916" t="s">
        <v>12</v>
      </c>
      <c r="F916">
        <v>2038</v>
      </c>
      <c r="G916">
        <v>2.8177043070000001</v>
      </c>
      <c r="H916">
        <v>8.5000000000000006E-2</v>
      </c>
      <c r="I916">
        <v>-1</v>
      </c>
    </row>
    <row r="917" spans="1:9" hidden="1" x14ac:dyDescent="0.25">
      <c r="A917" t="s">
        <v>34</v>
      </c>
      <c r="B917" t="s">
        <v>6</v>
      </c>
      <c r="C917" t="s">
        <v>12</v>
      </c>
      <c r="D917" t="s">
        <v>6</v>
      </c>
      <c r="E917" t="s">
        <v>12</v>
      </c>
      <c r="F917">
        <v>2039</v>
      </c>
      <c r="G917">
        <v>2.8292010369999998</v>
      </c>
      <c r="H917">
        <v>8.5000000000000006E-2</v>
      </c>
      <c r="I917">
        <v>-1</v>
      </c>
    </row>
    <row r="918" spans="1:9" hidden="1" x14ac:dyDescent="0.25">
      <c r="A918" t="s">
        <v>34</v>
      </c>
      <c r="B918" t="s">
        <v>6</v>
      </c>
      <c r="C918" t="s">
        <v>12</v>
      </c>
      <c r="D918" t="s">
        <v>6</v>
      </c>
      <c r="E918" t="s">
        <v>12</v>
      </c>
      <c r="F918">
        <v>2040</v>
      </c>
      <c r="G918">
        <v>2.8408075739999998</v>
      </c>
      <c r="H918">
        <v>8.5000000000000006E-2</v>
      </c>
      <c r="I918">
        <v>-1</v>
      </c>
    </row>
    <row r="919" spans="1:9" hidden="1" x14ac:dyDescent="0.25">
      <c r="A919" t="s">
        <v>34</v>
      </c>
      <c r="B919" t="s">
        <v>6</v>
      </c>
      <c r="C919" t="s">
        <v>12</v>
      </c>
      <c r="D919" t="s">
        <v>6</v>
      </c>
      <c r="E919" t="s">
        <v>12</v>
      </c>
      <c r="F919">
        <v>2041</v>
      </c>
      <c r="G919">
        <v>2.8525247029999998</v>
      </c>
      <c r="H919">
        <v>8.5000000000000006E-2</v>
      </c>
      <c r="I919">
        <v>-1</v>
      </c>
    </row>
    <row r="920" spans="1:9" hidden="1" x14ac:dyDescent="0.25">
      <c r="A920" t="s">
        <v>34</v>
      </c>
      <c r="B920" t="s">
        <v>6</v>
      </c>
      <c r="C920" t="s">
        <v>11</v>
      </c>
      <c r="D920" t="s">
        <v>6</v>
      </c>
      <c r="E920" t="s">
        <v>11</v>
      </c>
      <c r="F920">
        <v>2024</v>
      </c>
      <c r="G920">
        <v>1.8783627890000001</v>
      </c>
      <c r="H920">
        <v>0.12258155699999999</v>
      </c>
      <c r="I920">
        <v>-1</v>
      </c>
    </row>
    <row r="921" spans="1:9" hidden="1" x14ac:dyDescent="0.25">
      <c r="A921" t="s">
        <v>34</v>
      </c>
      <c r="B921" t="s">
        <v>6</v>
      </c>
      <c r="C921" t="s">
        <v>11</v>
      </c>
      <c r="D921" t="s">
        <v>6</v>
      </c>
      <c r="E921" t="s">
        <v>11</v>
      </c>
      <c r="F921">
        <v>2025</v>
      </c>
      <c r="G921">
        <v>1.8936775459999999</v>
      </c>
      <c r="H921">
        <v>0.11665518699999999</v>
      </c>
      <c r="I921">
        <v>-1</v>
      </c>
    </row>
    <row r="922" spans="1:9" hidden="1" x14ac:dyDescent="0.25">
      <c r="A922" t="s">
        <v>34</v>
      </c>
      <c r="B922" t="s">
        <v>6</v>
      </c>
      <c r="C922" t="s">
        <v>11</v>
      </c>
      <c r="D922" t="s">
        <v>6</v>
      </c>
      <c r="E922" t="s">
        <v>11</v>
      </c>
      <c r="F922">
        <v>2026</v>
      </c>
      <c r="G922">
        <v>1.907631265</v>
      </c>
      <c r="H922">
        <v>0.110951697</v>
      </c>
      <c r="I922">
        <v>-1</v>
      </c>
    </row>
    <row r="923" spans="1:9" hidden="1" x14ac:dyDescent="0.25">
      <c r="A923" t="s">
        <v>34</v>
      </c>
      <c r="B923" t="s">
        <v>6</v>
      </c>
      <c r="C923" t="s">
        <v>11</v>
      </c>
      <c r="D923" t="s">
        <v>6</v>
      </c>
      <c r="E923" t="s">
        <v>11</v>
      </c>
      <c r="F923">
        <v>2027</v>
      </c>
      <c r="G923">
        <v>1.9196908500000001</v>
      </c>
      <c r="H923">
        <v>0.105462705</v>
      </c>
      <c r="I923">
        <v>-1</v>
      </c>
    </row>
    <row r="924" spans="1:9" hidden="1" x14ac:dyDescent="0.25">
      <c r="A924" t="s">
        <v>34</v>
      </c>
      <c r="B924" t="s">
        <v>6</v>
      </c>
      <c r="C924" t="s">
        <v>11</v>
      </c>
      <c r="D924" t="s">
        <v>6</v>
      </c>
      <c r="E924" t="s">
        <v>11</v>
      </c>
      <c r="F924">
        <v>2028</v>
      </c>
      <c r="G924">
        <v>1.9298198769999999</v>
      </c>
      <c r="H924">
        <v>0.100180145</v>
      </c>
      <c r="I924">
        <v>-1</v>
      </c>
    </row>
    <row r="925" spans="1:9" hidden="1" x14ac:dyDescent="0.25">
      <c r="A925" t="s">
        <v>34</v>
      </c>
      <c r="B925" t="s">
        <v>6</v>
      </c>
      <c r="C925" t="s">
        <v>11</v>
      </c>
      <c r="D925" t="s">
        <v>6</v>
      </c>
      <c r="E925" t="s">
        <v>11</v>
      </c>
      <c r="F925">
        <v>2029</v>
      </c>
      <c r="G925">
        <v>1.9381859079999999</v>
      </c>
      <c r="H925">
        <v>9.5096253000000006E-2</v>
      </c>
      <c r="I925">
        <v>-1</v>
      </c>
    </row>
    <row r="926" spans="1:9" hidden="1" x14ac:dyDescent="0.25">
      <c r="A926" t="s">
        <v>34</v>
      </c>
      <c r="B926" t="s">
        <v>6</v>
      </c>
      <c r="C926" t="s">
        <v>11</v>
      </c>
      <c r="D926" t="s">
        <v>6</v>
      </c>
      <c r="E926" t="s">
        <v>11</v>
      </c>
      <c r="F926">
        <v>2030</v>
      </c>
      <c r="G926">
        <v>1.946768281</v>
      </c>
      <c r="H926">
        <v>9.0203557000000004E-2</v>
      </c>
      <c r="I926">
        <v>-1</v>
      </c>
    </row>
    <row r="927" spans="1:9" hidden="1" x14ac:dyDescent="0.25">
      <c r="A927" t="s">
        <v>34</v>
      </c>
      <c r="B927" t="s">
        <v>6</v>
      </c>
      <c r="C927" t="s">
        <v>11</v>
      </c>
      <c r="D927" t="s">
        <v>6</v>
      </c>
      <c r="E927" t="s">
        <v>11</v>
      </c>
      <c r="F927">
        <v>2031</v>
      </c>
      <c r="G927">
        <v>1.955499493</v>
      </c>
      <c r="H927">
        <v>8.5494867000000002E-2</v>
      </c>
      <c r="I927">
        <v>-1</v>
      </c>
    </row>
    <row r="928" spans="1:9" hidden="1" x14ac:dyDescent="0.25">
      <c r="A928" t="s">
        <v>34</v>
      </c>
      <c r="B928" t="s">
        <v>6</v>
      </c>
      <c r="C928" t="s">
        <v>11</v>
      </c>
      <c r="D928" t="s">
        <v>6</v>
      </c>
      <c r="E928" t="s">
        <v>11</v>
      </c>
      <c r="F928">
        <v>2032</v>
      </c>
      <c r="G928">
        <v>1.9643462060000001</v>
      </c>
      <c r="H928">
        <v>8.5000000000000006E-2</v>
      </c>
      <c r="I928">
        <v>-1</v>
      </c>
    </row>
    <row r="929" spans="1:9" hidden="1" x14ac:dyDescent="0.25">
      <c r="A929" t="s">
        <v>34</v>
      </c>
      <c r="B929" t="s">
        <v>6</v>
      </c>
      <c r="C929" t="s">
        <v>11</v>
      </c>
      <c r="D929" t="s">
        <v>6</v>
      </c>
      <c r="E929" t="s">
        <v>11</v>
      </c>
      <c r="F929">
        <v>2033</v>
      </c>
      <c r="G929">
        <v>1.973292139</v>
      </c>
      <c r="H929">
        <v>8.5000000000000006E-2</v>
      </c>
      <c r="I929">
        <v>-1</v>
      </c>
    </row>
    <row r="930" spans="1:9" hidden="1" x14ac:dyDescent="0.25">
      <c r="A930" t="s">
        <v>34</v>
      </c>
      <c r="B930" t="s">
        <v>6</v>
      </c>
      <c r="C930" t="s">
        <v>11</v>
      </c>
      <c r="D930" t="s">
        <v>6</v>
      </c>
      <c r="E930" t="s">
        <v>11</v>
      </c>
      <c r="F930">
        <v>2034</v>
      </c>
      <c r="G930">
        <v>1.9823295400000001</v>
      </c>
      <c r="H930">
        <v>8.5000000000000006E-2</v>
      </c>
      <c r="I930">
        <v>-1</v>
      </c>
    </row>
    <row r="931" spans="1:9" hidden="1" x14ac:dyDescent="0.25">
      <c r="A931" t="s">
        <v>34</v>
      </c>
      <c r="B931" t="s">
        <v>6</v>
      </c>
      <c r="C931" t="s">
        <v>11</v>
      </c>
      <c r="D931" t="s">
        <v>6</v>
      </c>
      <c r="E931" t="s">
        <v>11</v>
      </c>
      <c r="F931">
        <v>2035</v>
      </c>
      <c r="G931">
        <v>1.99145492</v>
      </c>
      <c r="H931">
        <v>8.5000000000000006E-2</v>
      </c>
      <c r="I931">
        <v>-1</v>
      </c>
    </row>
    <row r="932" spans="1:9" hidden="1" x14ac:dyDescent="0.25">
      <c r="A932" t="s">
        <v>34</v>
      </c>
      <c r="B932" t="s">
        <v>6</v>
      </c>
      <c r="C932" t="s">
        <v>11</v>
      </c>
      <c r="D932" t="s">
        <v>6</v>
      </c>
      <c r="E932" t="s">
        <v>11</v>
      </c>
      <c r="F932">
        <v>2036</v>
      </c>
      <c r="G932">
        <v>2.000666925</v>
      </c>
      <c r="H932">
        <v>8.5000000000000006E-2</v>
      </c>
      <c r="I932">
        <v>-1</v>
      </c>
    </row>
    <row r="933" spans="1:9" hidden="1" x14ac:dyDescent="0.25">
      <c r="A933" t="s">
        <v>34</v>
      </c>
      <c r="B933" t="s">
        <v>6</v>
      </c>
      <c r="C933" t="s">
        <v>11</v>
      </c>
      <c r="D933" t="s">
        <v>6</v>
      </c>
      <c r="E933" t="s">
        <v>11</v>
      </c>
      <c r="F933">
        <v>2037</v>
      </c>
      <c r="G933">
        <v>2.0099652739999998</v>
      </c>
      <c r="H933">
        <v>8.5000000000000006E-2</v>
      </c>
      <c r="I933">
        <v>-1</v>
      </c>
    </row>
    <row r="934" spans="1:9" hidden="1" x14ac:dyDescent="0.25">
      <c r="A934" t="s">
        <v>34</v>
      </c>
      <c r="B934" t="s">
        <v>6</v>
      </c>
      <c r="C934" t="s">
        <v>11</v>
      </c>
      <c r="D934" t="s">
        <v>6</v>
      </c>
      <c r="E934" t="s">
        <v>11</v>
      </c>
      <c r="F934">
        <v>2038</v>
      </c>
      <c r="G934">
        <v>2.019350223</v>
      </c>
      <c r="H934">
        <v>8.5000000000000006E-2</v>
      </c>
      <c r="I934">
        <v>-1</v>
      </c>
    </row>
    <row r="935" spans="1:9" hidden="1" x14ac:dyDescent="0.25">
      <c r="A935" t="s">
        <v>34</v>
      </c>
      <c r="B935" t="s">
        <v>6</v>
      </c>
      <c r="C935" t="s">
        <v>11</v>
      </c>
      <c r="D935" t="s">
        <v>6</v>
      </c>
      <c r="E935" t="s">
        <v>11</v>
      </c>
      <c r="F935">
        <v>2039</v>
      </c>
      <c r="G935">
        <v>2.0288223040000002</v>
      </c>
      <c r="H935">
        <v>8.5000000000000006E-2</v>
      </c>
      <c r="I935">
        <v>-1</v>
      </c>
    </row>
    <row r="936" spans="1:9" hidden="1" x14ac:dyDescent="0.25">
      <c r="A936" t="s">
        <v>34</v>
      </c>
      <c r="B936" t="s">
        <v>6</v>
      </c>
      <c r="C936" t="s">
        <v>11</v>
      </c>
      <c r="D936" t="s">
        <v>6</v>
      </c>
      <c r="E936" t="s">
        <v>11</v>
      </c>
      <c r="F936">
        <v>2040</v>
      </c>
      <c r="G936">
        <v>2.0383821869999998</v>
      </c>
      <c r="H936">
        <v>8.5000000000000006E-2</v>
      </c>
      <c r="I936">
        <v>-1</v>
      </c>
    </row>
    <row r="937" spans="1:9" hidden="1" x14ac:dyDescent="0.25">
      <c r="A937" t="s">
        <v>34</v>
      </c>
      <c r="B937" t="s">
        <v>6</v>
      </c>
      <c r="C937" t="s">
        <v>11</v>
      </c>
      <c r="D937" t="s">
        <v>6</v>
      </c>
      <c r="E937" t="s">
        <v>11</v>
      </c>
      <c r="F937">
        <v>2041</v>
      </c>
      <c r="G937">
        <v>2.0480306170000002</v>
      </c>
      <c r="H937">
        <v>8.5000000000000006E-2</v>
      </c>
      <c r="I937">
        <v>-1</v>
      </c>
    </row>
    <row r="938" spans="1:9" hidden="1" x14ac:dyDescent="0.25">
      <c r="A938" t="s">
        <v>34</v>
      </c>
      <c r="B938" t="s">
        <v>6</v>
      </c>
      <c r="C938" t="s">
        <v>8</v>
      </c>
      <c r="D938" t="s">
        <v>6</v>
      </c>
      <c r="E938" t="s">
        <v>8</v>
      </c>
      <c r="F938">
        <v>2024</v>
      </c>
      <c r="G938">
        <v>2.8361182519999999</v>
      </c>
      <c r="H938">
        <v>0.106457711</v>
      </c>
      <c r="I938">
        <v>-1</v>
      </c>
    </row>
    <row r="939" spans="1:9" hidden="1" x14ac:dyDescent="0.25">
      <c r="A939" t="s">
        <v>34</v>
      </c>
      <c r="B939" t="s">
        <v>6</v>
      </c>
      <c r="C939" t="s">
        <v>8</v>
      </c>
      <c r="D939" t="s">
        <v>6</v>
      </c>
      <c r="E939" t="s">
        <v>8</v>
      </c>
      <c r="F939">
        <v>2025</v>
      </c>
      <c r="G939">
        <v>2.8761036500000001</v>
      </c>
      <c r="H939">
        <v>0.10306196400000001</v>
      </c>
      <c r="I939">
        <v>-1</v>
      </c>
    </row>
    <row r="940" spans="1:9" hidden="1" x14ac:dyDescent="0.25">
      <c r="A940" t="s">
        <v>34</v>
      </c>
      <c r="B940" t="s">
        <v>6</v>
      </c>
      <c r="C940" t="s">
        <v>8</v>
      </c>
      <c r="D940" t="s">
        <v>6</v>
      </c>
      <c r="E940" t="s">
        <v>8</v>
      </c>
      <c r="F940">
        <v>2026</v>
      </c>
      <c r="G940">
        <v>2.9091458129999999</v>
      </c>
      <c r="H940">
        <v>9.9747733000000005E-2</v>
      </c>
      <c r="I940">
        <v>-1</v>
      </c>
    </row>
    <row r="941" spans="1:9" hidden="1" x14ac:dyDescent="0.25">
      <c r="A941" t="s">
        <v>34</v>
      </c>
      <c r="B941" t="s">
        <v>6</v>
      </c>
      <c r="C941" t="s">
        <v>8</v>
      </c>
      <c r="D941" t="s">
        <v>6</v>
      </c>
      <c r="E941" t="s">
        <v>8</v>
      </c>
      <c r="F941">
        <v>2027</v>
      </c>
      <c r="G941">
        <v>2.9362653179999998</v>
      </c>
      <c r="H941">
        <v>9.6513060999999997E-2</v>
      </c>
      <c r="I941">
        <v>-1</v>
      </c>
    </row>
    <row r="942" spans="1:9" hidden="1" x14ac:dyDescent="0.25">
      <c r="A942" t="s">
        <v>34</v>
      </c>
      <c r="B942" t="s">
        <v>6</v>
      </c>
      <c r="C942" t="s">
        <v>8</v>
      </c>
      <c r="D942" t="s">
        <v>6</v>
      </c>
      <c r="E942" t="s">
        <v>8</v>
      </c>
      <c r="F942">
        <v>2028</v>
      </c>
      <c r="G942">
        <v>2.9584235169999999</v>
      </c>
      <c r="H942">
        <v>9.3356039000000002E-2</v>
      </c>
      <c r="I942">
        <v>-1</v>
      </c>
    </row>
    <row r="943" spans="1:9" hidden="1" x14ac:dyDescent="0.25">
      <c r="A943" t="s">
        <v>34</v>
      </c>
      <c r="B943" t="s">
        <v>6</v>
      </c>
      <c r="C943" t="s">
        <v>8</v>
      </c>
      <c r="D943" t="s">
        <v>6</v>
      </c>
      <c r="E943" t="s">
        <v>8</v>
      </c>
      <c r="F943">
        <v>2029</v>
      </c>
      <c r="G943">
        <v>2.976475743</v>
      </c>
      <c r="H943">
        <v>9.0274802000000001E-2</v>
      </c>
      <c r="I943">
        <v>-1</v>
      </c>
    </row>
    <row r="944" spans="1:9" hidden="1" x14ac:dyDescent="0.25">
      <c r="A944" t="s">
        <v>34</v>
      </c>
      <c r="B944" t="s">
        <v>6</v>
      </c>
      <c r="C944" t="s">
        <v>8</v>
      </c>
      <c r="D944" t="s">
        <v>6</v>
      </c>
      <c r="E944" t="s">
        <v>8</v>
      </c>
      <c r="F944">
        <v>2030</v>
      </c>
      <c r="G944">
        <v>2.9938597150000001</v>
      </c>
      <c r="H944">
        <v>8.7267531999999995E-2</v>
      </c>
      <c r="I944">
        <v>-1</v>
      </c>
    </row>
    <row r="945" spans="1:9" hidden="1" x14ac:dyDescent="0.25">
      <c r="A945" t="s">
        <v>34</v>
      </c>
      <c r="B945" t="s">
        <v>6</v>
      </c>
      <c r="C945" t="s">
        <v>8</v>
      </c>
      <c r="D945" t="s">
        <v>6</v>
      </c>
      <c r="E945" t="s">
        <v>8</v>
      </c>
      <c r="F945">
        <v>2031</v>
      </c>
      <c r="G945">
        <v>3.0114031909999999</v>
      </c>
      <c r="H945">
        <v>8.5000000000000006E-2</v>
      </c>
      <c r="I945">
        <v>-1</v>
      </c>
    </row>
    <row r="946" spans="1:9" hidden="1" x14ac:dyDescent="0.25">
      <c r="A946" t="s">
        <v>34</v>
      </c>
      <c r="B946" t="s">
        <v>6</v>
      </c>
      <c r="C946" t="s">
        <v>8</v>
      </c>
      <c r="D946" t="s">
        <v>6</v>
      </c>
      <c r="E946" t="s">
        <v>8</v>
      </c>
      <c r="F946">
        <v>2032</v>
      </c>
      <c r="G946">
        <v>3.0291012930000001</v>
      </c>
      <c r="H946">
        <v>8.5000000000000006E-2</v>
      </c>
      <c r="I946">
        <v>-1</v>
      </c>
    </row>
    <row r="947" spans="1:9" hidden="1" x14ac:dyDescent="0.25">
      <c r="A947" t="s">
        <v>34</v>
      </c>
      <c r="B947" t="s">
        <v>6</v>
      </c>
      <c r="C947" t="s">
        <v>8</v>
      </c>
      <c r="D947" t="s">
        <v>6</v>
      </c>
      <c r="E947" t="s">
        <v>8</v>
      </c>
      <c r="F947">
        <v>2033</v>
      </c>
      <c r="G947">
        <v>3.046952229</v>
      </c>
      <c r="H947">
        <v>8.5000000000000006E-2</v>
      </c>
      <c r="I947">
        <v>-1</v>
      </c>
    </row>
    <row r="948" spans="1:9" hidden="1" x14ac:dyDescent="0.25">
      <c r="A948" t="s">
        <v>34</v>
      </c>
      <c r="B948" t="s">
        <v>6</v>
      </c>
      <c r="C948" t="s">
        <v>8</v>
      </c>
      <c r="D948" t="s">
        <v>6</v>
      </c>
      <c r="E948" t="s">
        <v>8</v>
      </c>
      <c r="F948">
        <v>2034</v>
      </c>
      <c r="G948">
        <v>3.0649557569999999</v>
      </c>
      <c r="H948">
        <v>8.5000000000000006E-2</v>
      </c>
      <c r="I948">
        <v>-1</v>
      </c>
    </row>
    <row r="949" spans="1:9" hidden="1" x14ac:dyDescent="0.25">
      <c r="A949" t="s">
        <v>34</v>
      </c>
      <c r="B949" t="s">
        <v>6</v>
      </c>
      <c r="C949" t="s">
        <v>8</v>
      </c>
      <c r="D949" t="s">
        <v>6</v>
      </c>
      <c r="E949" t="s">
        <v>8</v>
      </c>
      <c r="F949">
        <v>2035</v>
      </c>
      <c r="G949">
        <v>3.08311241</v>
      </c>
      <c r="H949">
        <v>8.5000000000000006E-2</v>
      </c>
      <c r="I949">
        <v>-1</v>
      </c>
    </row>
    <row r="950" spans="1:9" hidden="1" x14ac:dyDescent="0.25">
      <c r="A950" t="s">
        <v>34</v>
      </c>
      <c r="B950" t="s">
        <v>6</v>
      </c>
      <c r="C950" t="s">
        <v>8</v>
      </c>
      <c r="D950" t="s">
        <v>6</v>
      </c>
      <c r="E950" t="s">
        <v>8</v>
      </c>
      <c r="F950">
        <v>2036</v>
      </c>
      <c r="G950">
        <v>3.1014231209999998</v>
      </c>
      <c r="H950">
        <v>8.5000000000000006E-2</v>
      </c>
      <c r="I950">
        <v>-1</v>
      </c>
    </row>
    <row r="951" spans="1:9" hidden="1" x14ac:dyDescent="0.25">
      <c r="A951" t="s">
        <v>34</v>
      </c>
      <c r="B951" t="s">
        <v>6</v>
      </c>
      <c r="C951" t="s">
        <v>8</v>
      </c>
      <c r="D951" t="s">
        <v>6</v>
      </c>
      <c r="E951" t="s">
        <v>8</v>
      </c>
      <c r="F951">
        <v>2037</v>
      </c>
      <c r="G951">
        <v>3.1198890229999998</v>
      </c>
      <c r="H951">
        <v>8.5000000000000006E-2</v>
      </c>
      <c r="I951">
        <v>-1</v>
      </c>
    </row>
    <row r="952" spans="1:9" hidden="1" x14ac:dyDescent="0.25">
      <c r="A952" t="s">
        <v>34</v>
      </c>
      <c r="B952" t="s">
        <v>6</v>
      </c>
      <c r="C952" t="s">
        <v>8</v>
      </c>
      <c r="D952" t="s">
        <v>6</v>
      </c>
      <c r="E952" t="s">
        <v>8</v>
      </c>
      <c r="F952">
        <v>2038</v>
      </c>
      <c r="G952">
        <v>3.1385113580000001</v>
      </c>
      <c r="H952">
        <v>8.5000000000000006E-2</v>
      </c>
      <c r="I952">
        <v>-1</v>
      </c>
    </row>
    <row r="953" spans="1:9" hidden="1" x14ac:dyDescent="0.25">
      <c r="A953" t="s">
        <v>34</v>
      </c>
      <c r="B953" t="s">
        <v>6</v>
      </c>
      <c r="C953" t="s">
        <v>8</v>
      </c>
      <c r="D953" t="s">
        <v>6</v>
      </c>
      <c r="E953" t="s">
        <v>8</v>
      </c>
      <c r="F953">
        <v>2039</v>
      </c>
      <c r="G953">
        <v>3.1572914270000001</v>
      </c>
      <c r="H953">
        <v>8.5000000000000006E-2</v>
      </c>
      <c r="I953">
        <v>-1</v>
      </c>
    </row>
    <row r="954" spans="1:9" hidden="1" x14ac:dyDescent="0.25">
      <c r="A954" t="s">
        <v>34</v>
      </c>
      <c r="B954" t="s">
        <v>6</v>
      </c>
      <c r="C954" t="s">
        <v>8</v>
      </c>
      <c r="D954" t="s">
        <v>6</v>
      </c>
      <c r="E954" t="s">
        <v>8</v>
      </c>
      <c r="F954">
        <v>2040</v>
      </c>
      <c r="G954">
        <v>3.1762305679999998</v>
      </c>
      <c r="H954">
        <v>8.5000000000000006E-2</v>
      </c>
      <c r="I954">
        <v>-1</v>
      </c>
    </row>
    <row r="955" spans="1:9" hidden="1" x14ac:dyDescent="0.25">
      <c r="A955" t="s">
        <v>34</v>
      </c>
      <c r="B955" t="s">
        <v>6</v>
      </c>
      <c r="C955" t="s">
        <v>8</v>
      </c>
      <c r="D955" t="s">
        <v>6</v>
      </c>
      <c r="E955" t="s">
        <v>8</v>
      </c>
      <c r="F955">
        <v>2041</v>
      </c>
      <c r="G955">
        <v>3.1953301409999999</v>
      </c>
      <c r="H955">
        <v>8.5000000000000006E-2</v>
      </c>
      <c r="I955">
        <v>-1</v>
      </c>
    </row>
    <row r="956" spans="1:9" hidden="1" x14ac:dyDescent="0.25">
      <c r="A956" t="s">
        <v>34</v>
      </c>
      <c r="B956" t="s">
        <v>6</v>
      </c>
      <c r="C956" t="s">
        <v>10</v>
      </c>
      <c r="D956" t="s">
        <v>6</v>
      </c>
      <c r="E956" t="s">
        <v>10</v>
      </c>
      <c r="F956">
        <v>2024</v>
      </c>
      <c r="G956">
        <v>1.827294889</v>
      </c>
      <c r="H956">
        <v>0.17367141</v>
      </c>
      <c r="I956">
        <v>-1</v>
      </c>
    </row>
    <row r="957" spans="1:9" hidden="1" x14ac:dyDescent="0.25">
      <c r="A957" t="s">
        <v>34</v>
      </c>
      <c r="B957" t="s">
        <v>6</v>
      </c>
      <c r="C957" t="s">
        <v>10</v>
      </c>
      <c r="D957" t="s">
        <v>6</v>
      </c>
      <c r="E957" t="s">
        <v>10</v>
      </c>
      <c r="F957">
        <v>2025</v>
      </c>
      <c r="G957">
        <v>1.8263236309999999</v>
      </c>
      <c r="H957">
        <v>0.169152197</v>
      </c>
      <c r="I957">
        <v>-1</v>
      </c>
    </row>
    <row r="958" spans="1:9" hidden="1" x14ac:dyDescent="0.25">
      <c r="A958" t="s">
        <v>34</v>
      </c>
      <c r="B958" t="s">
        <v>6</v>
      </c>
      <c r="C958" t="s">
        <v>10</v>
      </c>
      <c r="D958" t="s">
        <v>6</v>
      </c>
      <c r="E958" t="s">
        <v>10</v>
      </c>
      <c r="F958">
        <v>2026</v>
      </c>
      <c r="G958">
        <v>1.828470168</v>
      </c>
      <c r="H958">
        <v>0.16473085700000001</v>
      </c>
      <c r="I958">
        <v>-1</v>
      </c>
    </row>
    <row r="959" spans="1:9" hidden="1" x14ac:dyDescent="0.25">
      <c r="A959" t="s">
        <v>34</v>
      </c>
      <c r="B959" t="s">
        <v>6</v>
      </c>
      <c r="C959" t="s">
        <v>10</v>
      </c>
      <c r="D959" t="s">
        <v>6</v>
      </c>
      <c r="E959" t="s">
        <v>10</v>
      </c>
      <c r="F959">
        <v>2027</v>
      </c>
      <c r="G959">
        <v>1.8316589409999999</v>
      </c>
      <c r="H959">
        <v>0.16040527099999999</v>
      </c>
      <c r="I959">
        <v>-1</v>
      </c>
    </row>
    <row r="960" spans="1:9" hidden="1" x14ac:dyDescent="0.25">
      <c r="A960" t="s">
        <v>34</v>
      </c>
      <c r="B960" t="s">
        <v>6</v>
      </c>
      <c r="C960" t="s">
        <v>10</v>
      </c>
      <c r="D960" t="s">
        <v>6</v>
      </c>
      <c r="E960" t="s">
        <v>10</v>
      </c>
      <c r="F960">
        <v>2028</v>
      </c>
      <c r="G960">
        <v>1.834962677</v>
      </c>
      <c r="H960">
        <v>0.15617336400000001</v>
      </c>
      <c r="I960">
        <v>-1</v>
      </c>
    </row>
    <row r="961" spans="1:9" hidden="1" x14ac:dyDescent="0.25">
      <c r="A961" t="s">
        <v>34</v>
      </c>
      <c r="B961" t="s">
        <v>6</v>
      </c>
      <c r="C961" t="s">
        <v>10</v>
      </c>
      <c r="D961" t="s">
        <v>6</v>
      </c>
      <c r="E961" t="s">
        <v>10</v>
      </c>
      <c r="F961">
        <v>2029</v>
      </c>
      <c r="G961">
        <v>1.837995528</v>
      </c>
      <c r="H961">
        <v>0.152033107</v>
      </c>
      <c r="I961">
        <v>-1</v>
      </c>
    </row>
    <row r="962" spans="1:9" hidden="1" x14ac:dyDescent="0.25">
      <c r="A962" t="s">
        <v>34</v>
      </c>
      <c r="B962" t="s">
        <v>6</v>
      </c>
      <c r="C962" t="s">
        <v>10</v>
      </c>
      <c r="D962" t="s">
        <v>6</v>
      </c>
      <c r="E962" t="s">
        <v>10</v>
      </c>
      <c r="F962">
        <v>2030</v>
      </c>
      <c r="G962">
        <v>1.8406260569999999</v>
      </c>
      <c r="H962">
        <v>0.14798251700000001</v>
      </c>
      <c r="I962">
        <v>-1</v>
      </c>
    </row>
    <row r="963" spans="1:9" hidden="1" x14ac:dyDescent="0.25">
      <c r="A963" t="s">
        <v>34</v>
      </c>
      <c r="B963" t="s">
        <v>6</v>
      </c>
      <c r="C963" t="s">
        <v>10</v>
      </c>
      <c r="D963" t="s">
        <v>6</v>
      </c>
      <c r="E963" t="s">
        <v>10</v>
      </c>
      <c r="F963">
        <v>2031</v>
      </c>
      <c r="G963">
        <v>1.842838744</v>
      </c>
      <c r="H963">
        <v>0.14401965</v>
      </c>
      <c r="I963">
        <v>-1</v>
      </c>
    </row>
    <row r="964" spans="1:9" hidden="1" x14ac:dyDescent="0.25">
      <c r="A964" t="s">
        <v>34</v>
      </c>
      <c r="B964" t="s">
        <v>6</v>
      </c>
      <c r="C964" t="s">
        <v>10</v>
      </c>
      <c r="D964" t="s">
        <v>6</v>
      </c>
      <c r="E964" t="s">
        <v>10</v>
      </c>
      <c r="F964">
        <v>2032</v>
      </c>
      <c r="G964">
        <v>1.84514095</v>
      </c>
      <c r="H964">
        <v>0.140142608</v>
      </c>
      <c r="I964">
        <v>-1</v>
      </c>
    </row>
    <row r="965" spans="1:9" hidden="1" x14ac:dyDescent="0.25">
      <c r="A965" t="s">
        <v>34</v>
      </c>
      <c r="B965" t="s">
        <v>6</v>
      </c>
      <c r="C965" t="s">
        <v>10</v>
      </c>
      <c r="D965" t="s">
        <v>6</v>
      </c>
      <c r="E965" t="s">
        <v>10</v>
      </c>
      <c r="F965">
        <v>2033</v>
      </c>
      <c r="G965">
        <v>1.8474990920000001</v>
      </c>
      <c r="H965">
        <v>0.136349531</v>
      </c>
      <c r="I965">
        <v>-1</v>
      </c>
    </row>
    <row r="966" spans="1:9" hidden="1" x14ac:dyDescent="0.25">
      <c r="A966" t="s">
        <v>34</v>
      </c>
      <c r="B966" t="s">
        <v>6</v>
      </c>
      <c r="C966" t="s">
        <v>10</v>
      </c>
      <c r="D966" t="s">
        <v>6</v>
      </c>
      <c r="E966" t="s">
        <v>10</v>
      </c>
      <c r="F966">
        <v>2034</v>
      </c>
      <c r="G966">
        <v>1.849896489</v>
      </c>
      <c r="H966">
        <v>0.13263860099999999</v>
      </c>
      <c r="I966">
        <v>-1</v>
      </c>
    </row>
    <row r="967" spans="1:9" hidden="1" x14ac:dyDescent="0.25">
      <c r="A967" t="s">
        <v>34</v>
      </c>
      <c r="B967" t="s">
        <v>6</v>
      </c>
      <c r="C967" t="s">
        <v>10</v>
      </c>
      <c r="D967" t="s">
        <v>6</v>
      </c>
      <c r="E967" t="s">
        <v>10</v>
      </c>
      <c r="F967">
        <v>2035</v>
      </c>
      <c r="G967">
        <v>1.8523249100000001</v>
      </c>
      <c r="H967">
        <v>0.12900803899999999</v>
      </c>
      <c r="I967">
        <v>-1</v>
      </c>
    </row>
    <row r="968" spans="1:9" hidden="1" x14ac:dyDescent="0.25">
      <c r="A968" t="s">
        <v>34</v>
      </c>
      <c r="B968" t="s">
        <v>6</v>
      </c>
      <c r="C968" t="s">
        <v>10</v>
      </c>
      <c r="D968" t="s">
        <v>6</v>
      </c>
      <c r="E968" t="s">
        <v>10</v>
      </c>
      <c r="F968">
        <v>2036</v>
      </c>
      <c r="G968">
        <v>1.854780345</v>
      </c>
      <c r="H968">
        <v>0.12545610400000001</v>
      </c>
      <c r="I968">
        <v>-1</v>
      </c>
    </row>
    <row r="969" spans="1:9" hidden="1" x14ac:dyDescent="0.25">
      <c r="A969" t="s">
        <v>34</v>
      </c>
      <c r="B969" t="s">
        <v>6</v>
      </c>
      <c r="C969" t="s">
        <v>10</v>
      </c>
      <c r="D969" t="s">
        <v>6</v>
      </c>
      <c r="E969" t="s">
        <v>10</v>
      </c>
      <c r="F969">
        <v>2037</v>
      </c>
      <c r="G969">
        <v>1.8572608960000001</v>
      </c>
      <c r="H969">
        <v>0.121981094</v>
      </c>
      <c r="I969">
        <v>-1</v>
      </c>
    </row>
    <row r="970" spans="1:9" hidden="1" x14ac:dyDescent="0.25">
      <c r="A970" t="s">
        <v>34</v>
      </c>
      <c r="B970" t="s">
        <v>6</v>
      </c>
      <c r="C970" t="s">
        <v>10</v>
      </c>
      <c r="D970" t="s">
        <v>6</v>
      </c>
      <c r="E970" t="s">
        <v>10</v>
      </c>
      <c r="F970">
        <v>2038</v>
      </c>
      <c r="G970">
        <v>1.8597657249999999</v>
      </c>
      <c r="H970">
        <v>0.11858134200000001</v>
      </c>
      <c r="I970">
        <v>-1</v>
      </c>
    </row>
    <row r="971" spans="1:9" hidden="1" x14ac:dyDescent="0.25">
      <c r="A971" t="s">
        <v>34</v>
      </c>
      <c r="B971" t="s">
        <v>6</v>
      </c>
      <c r="C971" t="s">
        <v>10</v>
      </c>
      <c r="D971" t="s">
        <v>6</v>
      </c>
      <c r="E971" t="s">
        <v>10</v>
      </c>
      <c r="F971">
        <v>2039</v>
      </c>
      <c r="G971">
        <v>1.8622945200000001</v>
      </c>
      <c r="H971">
        <v>0.11525521900000001</v>
      </c>
      <c r="I971">
        <v>-1</v>
      </c>
    </row>
    <row r="972" spans="1:9" hidden="1" x14ac:dyDescent="0.25">
      <c r="A972" t="s">
        <v>34</v>
      </c>
      <c r="B972" t="s">
        <v>6</v>
      </c>
      <c r="C972" t="s">
        <v>10</v>
      </c>
      <c r="D972" t="s">
        <v>6</v>
      </c>
      <c r="E972" t="s">
        <v>10</v>
      </c>
      <c r="F972">
        <v>2040</v>
      </c>
      <c r="G972">
        <v>1.864847237</v>
      </c>
      <c r="H972">
        <v>0.11200113</v>
      </c>
      <c r="I972">
        <v>-1</v>
      </c>
    </row>
    <row r="973" spans="1:9" hidden="1" x14ac:dyDescent="0.25">
      <c r="A973" t="s">
        <v>34</v>
      </c>
      <c r="B973" t="s">
        <v>6</v>
      </c>
      <c r="C973" t="s">
        <v>10</v>
      </c>
      <c r="D973" t="s">
        <v>6</v>
      </c>
      <c r="E973" t="s">
        <v>10</v>
      </c>
      <c r="F973">
        <v>2041</v>
      </c>
      <c r="G973">
        <v>1.867423966</v>
      </c>
      <c r="H973">
        <v>0.108817515</v>
      </c>
      <c r="I973">
        <v>-1</v>
      </c>
    </row>
    <row r="974" spans="1:9" hidden="1" x14ac:dyDescent="0.25">
      <c r="A974" t="s">
        <v>34</v>
      </c>
      <c r="B974" t="s">
        <v>6</v>
      </c>
      <c r="C974" t="s">
        <v>9</v>
      </c>
      <c r="D974" t="s">
        <v>6</v>
      </c>
      <c r="E974" t="s">
        <v>9</v>
      </c>
      <c r="F974">
        <v>2024</v>
      </c>
      <c r="G974">
        <v>4.6461250850000004</v>
      </c>
      <c r="H974">
        <v>0.15154467499999999</v>
      </c>
      <c r="I974">
        <v>-1</v>
      </c>
    </row>
    <row r="975" spans="1:9" hidden="1" x14ac:dyDescent="0.25">
      <c r="A975" t="s">
        <v>34</v>
      </c>
      <c r="B975" t="s">
        <v>6</v>
      </c>
      <c r="C975" t="s">
        <v>9</v>
      </c>
      <c r="D975" t="s">
        <v>6</v>
      </c>
      <c r="E975" t="s">
        <v>9</v>
      </c>
      <c r="F975">
        <v>2025</v>
      </c>
      <c r="G975">
        <v>4.6808030150000004</v>
      </c>
      <c r="H975">
        <v>0.14325871000000001</v>
      </c>
      <c r="I975">
        <v>-1</v>
      </c>
    </row>
    <row r="976" spans="1:9" hidden="1" x14ac:dyDescent="0.25">
      <c r="A976" t="s">
        <v>34</v>
      </c>
      <c r="B976" t="s">
        <v>6</v>
      </c>
      <c r="C976" t="s">
        <v>9</v>
      </c>
      <c r="D976" t="s">
        <v>6</v>
      </c>
      <c r="E976" t="s">
        <v>9</v>
      </c>
      <c r="F976">
        <v>2026</v>
      </c>
      <c r="G976">
        <v>4.709137181</v>
      </c>
      <c r="H976">
        <v>0.13534079099999999</v>
      </c>
      <c r="I976">
        <v>-1</v>
      </c>
    </row>
    <row r="977" spans="1:9" hidden="1" x14ac:dyDescent="0.25">
      <c r="A977" t="s">
        <v>34</v>
      </c>
      <c r="B977" t="s">
        <v>6</v>
      </c>
      <c r="C977" t="s">
        <v>9</v>
      </c>
      <c r="D977" t="s">
        <v>6</v>
      </c>
      <c r="E977" t="s">
        <v>9</v>
      </c>
      <c r="F977">
        <v>2027</v>
      </c>
      <c r="G977">
        <v>4.7379564749999998</v>
      </c>
      <c r="H977">
        <v>0.127774572</v>
      </c>
      <c r="I977">
        <v>-1</v>
      </c>
    </row>
    <row r="978" spans="1:9" hidden="1" x14ac:dyDescent="0.25">
      <c r="A978" t="s">
        <v>34</v>
      </c>
      <c r="B978" t="s">
        <v>6</v>
      </c>
      <c r="C978" t="s">
        <v>9</v>
      </c>
      <c r="D978" t="s">
        <v>6</v>
      </c>
      <c r="E978" t="s">
        <v>9</v>
      </c>
      <c r="F978">
        <v>2028</v>
      </c>
      <c r="G978">
        <v>4.7671380790000004</v>
      </c>
      <c r="H978">
        <v>0.12054443099999999</v>
      </c>
      <c r="I978">
        <v>-1</v>
      </c>
    </row>
    <row r="979" spans="1:9" hidden="1" x14ac:dyDescent="0.25">
      <c r="A979" t="s">
        <v>34</v>
      </c>
      <c r="B979" t="s">
        <v>6</v>
      </c>
      <c r="C979" t="s">
        <v>9</v>
      </c>
      <c r="D979" t="s">
        <v>6</v>
      </c>
      <c r="E979" t="s">
        <v>9</v>
      </c>
      <c r="F979">
        <v>2029</v>
      </c>
      <c r="G979">
        <v>4.7966216580000003</v>
      </c>
      <c r="H979">
        <v>0.11363543800000001</v>
      </c>
      <c r="I979">
        <v>-1</v>
      </c>
    </row>
    <row r="980" spans="1:9" hidden="1" x14ac:dyDescent="0.25">
      <c r="A980" t="s">
        <v>34</v>
      </c>
      <c r="B980" t="s">
        <v>6</v>
      </c>
      <c r="C980" t="s">
        <v>9</v>
      </c>
      <c r="D980" t="s">
        <v>6</v>
      </c>
      <c r="E980" t="s">
        <v>9</v>
      </c>
      <c r="F980">
        <v>2030</v>
      </c>
      <c r="G980">
        <v>4.8263780580000004</v>
      </c>
      <c r="H980">
        <v>0.10703333</v>
      </c>
      <c r="I980">
        <v>-1</v>
      </c>
    </row>
    <row r="981" spans="1:9" hidden="1" x14ac:dyDescent="0.25">
      <c r="A981" t="s">
        <v>34</v>
      </c>
      <c r="B981" t="s">
        <v>6</v>
      </c>
      <c r="C981" t="s">
        <v>9</v>
      </c>
      <c r="D981" t="s">
        <v>6</v>
      </c>
      <c r="E981" t="s">
        <v>9</v>
      </c>
      <c r="F981">
        <v>2031</v>
      </c>
      <c r="G981">
        <v>4.8563937020000001</v>
      </c>
      <c r="H981">
        <v>0.10072447599999999</v>
      </c>
      <c r="I981">
        <v>-1</v>
      </c>
    </row>
    <row r="982" spans="1:9" hidden="1" x14ac:dyDescent="0.25">
      <c r="A982" t="s">
        <v>34</v>
      </c>
      <c r="B982" t="s">
        <v>6</v>
      </c>
      <c r="C982" t="s">
        <v>9</v>
      </c>
      <c r="D982" t="s">
        <v>6</v>
      </c>
      <c r="E982" t="s">
        <v>9</v>
      </c>
      <c r="F982">
        <v>2032</v>
      </c>
      <c r="G982">
        <v>4.8866628099999998</v>
      </c>
      <c r="H982">
        <v>9.4695847999999999E-2</v>
      </c>
      <c r="I982">
        <v>-1</v>
      </c>
    </row>
    <row r="983" spans="1:9" hidden="1" x14ac:dyDescent="0.25">
      <c r="A983" t="s">
        <v>34</v>
      </c>
      <c r="B983" t="s">
        <v>6</v>
      </c>
      <c r="C983" t="s">
        <v>9</v>
      </c>
      <c r="D983" t="s">
        <v>6</v>
      </c>
      <c r="E983" t="s">
        <v>9</v>
      </c>
      <c r="F983">
        <v>2033</v>
      </c>
      <c r="G983">
        <v>4.9171835049999997</v>
      </c>
      <c r="H983">
        <v>8.8935001999999999E-2</v>
      </c>
      <c r="I983">
        <v>-1</v>
      </c>
    </row>
    <row r="984" spans="1:9" hidden="1" x14ac:dyDescent="0.25">
      <c r="A984" t="s">
        <v>34</v>
      </c>
      <c r="B984" t="s">
        <v>6</v>
      </c>
      <c r="C984" t="s">
        <v>9</v>
      </c>
      <c r="D984" t="s">
        <v>6</v>
      </c>
      <c r="E984" t="s">
        <v>9</v>
      </c>
      <c r="F984">
        <v>2034</v>
      </c>
      <c r="G984">
        <v>4.9479558690000003</v>
      </c>
      <c r="H984">
        <v>8.5000000000000006E-2</v>
      </c>
      <c r="I984">
        <v>-1</v>
      </c>
    </row>
    <row r="985" spans="1:9" hidden="1" x14ac:dyDescent="0.25">
      <c r="A985" t="s">
        <v>34</v>
      </c>
      <c r="B985" t="s">
        <v>6</v>
      </c>
      <c r="C985" t="s">
        <v>9</v>
      </c>
      <c r="D985" t="s">
        <v>6</v>
      </c>
      <c r="E985" t="s">
        <v>9</v>
      </c>
      <c r="F985">
        <v>2035</v>
      </c>
      <c r="G985">
        <v>4.9789809749999998</v>
      </c>
      <c r="H985">
        <v>8.5000000000000006E-2</v>
      </c>
      <c r="I985">
        <v>-1</v>
      </c>
    </row>
    <row r="986" spans="1:9" hidden="1" x14ac:dyDescent="0.25">
      <c r="A986" t="s">
        <v>34</v>
      </c>
      <c r="B986" t="s">
        <v>6</v>
      </c>
      <c r="C986" t="s">
        <v>9</v>
      </c>
      <c r="D986" t="s">
        <v>6</v>
      </c>
      <c r="E986" t="s">
        <v>9</v>
      </c>
      <c r="F986">
        <v>2036</v>
      </c>
      <c r="G986">
        <v>5.0102603950000004</v>
      </c>
      <c r="H986">
        <v>8.5000000000000006E-2</v>
      </c>
      <c r="I986">
        <v>-1</v>
      </c>
    </row>
    <row r="987" spans="1:9" hidden="1" x14ac:dyDescent="0.25">
      <c r="A987" t="s">
        <v>34</v>
      </c>
      <c r="B987" t="s">
        <v>6</v>
      </c>
      <c r="C987" t="s">
        <v>9</v>
      </c>
      <c r="D987" t="s">
        <v>6</v>
      </c>
      <c r="E987" t="s">
        <v>9</v>
      </c>
      <c r="F987">
        <v>2037</v>
      </c>
      <c r="G987">
        <v>5.0417959640000003</v>
      </c>
      <c r="H987">
        <v>8.5000000000000006E-2</v>
      </c>
      <c r="I987">
        <v>-1</v>
      </c>
    </row>
    <row r="988" spans="1:9" hidden="1" x14ac:dyDescent="0.25">
      <c r="A988" t="s">
        <v>34</v>
      </c>
      <c r="B988" t="s">
        <v>6</v>
      </c>
      <c r="C988" t="s">
        <v>9</v>
      </c>
      <c r="D988" t="s">
        <v>6</v>
      </c>
      <c r="E988" t="s">
        <v>9</v>
      </c>
      <c r="F988">
        <v>2038</v>
      </c>
      <c r="G988">
        <v>5.073589653</v>
      </c>
      <c r="H988">
        <v>8.5000000000000006E-2</v>
      </c>
      <c r="I988">
        <v>-1</v>
      </c>
    </row>
    <row r="989" spans="1:9" hidden="1" x14ac:dyDescent="0.25">
      <c r="A989" t="s">
        <v>34</v>
      </c>
      <c r="B989" t="s">
        <v>6</v>
      </c>
      <c r="C989" t="s">
        <v>9</v>
      </c>
      <c r="D989" t="s">
        <v>6</v>
      </c>
      <c r="E989" t="s">
        <v>9</v>
      </c>
      <c r="F989">
        <v>2039</v>
      </c>
      <c r="G989">
        <v>5.1056435139999996</v>
      </c>
      <c r="H989">
        <v>8.5000000000000006E-2</v>
      </c>
      <c r="I989">
        <v>-1</v>
      </c>
    </row>
    <row r="990" spans="1:9" hidden="1" x14ac:dyDescent="0.25">
      <c r="A990" t="s">
        <v>34</v>
      </c>
      <c r="B990" t="s">
        <v>6</v>
      </c>
      <c r="C990" t="s">
        <v>9</v>
      </c>
      <c r="D990" t="s">
        <v>6</v>
      </c>
      <c r="E990" t="s">
        <v>9</v>
      </c>
      <c r="F990">
        <v>2040</v>
      </c>
      <c r="G990">
        <v>5.1379596420000002</v>
      </c>
      <c r="H990">
        <v>8.5000000000000006E-2</v>
      </c>
      <c r="I990">
        <v>-1</v>
      </c>
    </row>
    <row r="991" spans="1:9" hidden="1" x14ac:dyDescent="0.25">
      <c r="A991" t="s">
        <v>34</v>
      </c>
      <c r="B991" t="s">
        <v>6</v>
      </c>
      <c r="C991" t="s">
        <v>9</v>
      </c>
      <c r="D991" t="s">
        <v>6</v>
      </c>
      <c r="E991" t="s">
        <v>9</v>
      </c>
      <c r="F991">
        <v>2041</v>
      </c>
      <c r="G991">
        <v>5.1705401699999998</v>
      </c>
      <c r="H991">
        <v>8.5000000000000006E-2</v>
      </c>
      <c r="I991">
        <v>-1</v>
      </c>
    </row>
    <row r="992" spans="1:9" hidden="1" x14ac:dyDescent="0.25">
      <c r="A992" t="s">
        <v>34</v>
      </c>
      <c r="B992" t="s">
        <v>6</v>
      </c>
      <c r="C992" t="s">
        <v>12</v>
      </c>
      <c r="D992" t="s">
        <v>6</v>
      </c>
      <c r="E992" t="s">
        <v>11</v>
      </c>
      <c r="F992">
        <v>2024</v>
      </c>
      <c r="G992">
        <v>0.50994571399999999</v>
      </c>
      <c r="H992">
        <v>3.5000000000000003E-2</v>
      </c>
      <c r="I992">
        <v>36.72</v>
      </c>
    </row>
    <row r="993" spans="1:9" hidden="1" x14ac:dyDescent="0.25">
      <c r="A993" t="s">
        <v>34</v>
      </c>
      <c r="B993" t="s">
        <v>6</v>
      </c>
      <c r="C993" t="s">
        <v>12</v>
      </c>
      <c r="D993" t="s">
        <v>6</v>
      </c>
      <c r="E993" t="s">
        <v>11</v>
      </c>
      <c r="F993">
        <v>2025</v>
      </c>
      <c r="G993">
        <v>0.52524408600000005</v>
      </c>
      <c r="H993">
        <v>3.5000000000000003E-2</v>
      </c>
      <c r="I993">
        <v>38.32</v>
      </c>
    </row>
    <row r="994" spans="1:9" hidden="1" x14ac:dyDescent="0.25">
      <c r="A994" t="s">
        <v>34</v>
      </c>
      <c r="B994" t="s">
        <v>6</v>
      </c>
      <c r="C994" t="s">
        <v>12</v>
      </c>
      <c r="D994" t="s">
        <v>6</v>
      </c>
      <c r="E994" t="s">
        <v>11</v>
      </c>
      <c r="F994">
        <v>2026</v>
      </c>
      <c r="G994">
        <v>0.54100140799999996</v>
      </c>
      <c r="H994">
        <v>3.5000000000000003E-2</v>
      </c>
      <c r="I994">
        <v>38.32</v>
      </c>
    </row>
    <row r="995" spans="1:9" hidden="1" x14ac:dyDescent="0.25">
      <c r="A995" t="s">
        <v>34</v>
      </c>
      <c r="B995" t="s">
        <v>6</v>
      </c>
      <c r="C995" t="s">
        <v>12</v>
      </c>
      <c r="D995" t="s">
        <v>6</v>
      </c>
      <c r="E995" t="s">
        <v>11</v>
      </c>
      <c r="F995">
        <v>2027</v>
      </c>
      <c r="G995">
        <v>0.55723145100000004</v>
      </c>
      <c r="H995">
        <v>3.5000000000000003E-2</v>
      </c>
      <c r="I995">
        <v>38.32</v>
      </c>
    </row>
    <row r="996" spans="1:9" hidden="1" x14ac:dyDescent="0.25">
      <c r="A996" t="s">
        <v>34</v>
      </c>
      <c r="B996" t="s">
        <v>6</v>
      </c>
      <c r="C996" t="s">
        <v>12</v>
      </c>
      <c r="D996" t="s">
        <v>6</v>
      </c>
      <c r="E996" t="s">
        <v>11</v>
      </c>
      <c r="F996">
        <v>2028</v>
      </c>
      <c r="G996">
        <v>0.57394839399999997</v>
      </c>
      <c r="H996">
        <v>3.5000000000000003E-2</v>
      </c>
      <c r="I996">
        <v>40.72</v>
      </c>
    </row>
    <row r="997" spans="1:9" hidden="1" x14ac:dyDescent="0.25">
      <c r="A997" t="s">
        <v>34</v>
      </c>
      <c r="B997" t="s">
        <v>6</v>
      </c>
      <c r="C997" t="s">
        <v>12</v>
      </c>
      <c r="D997" t="s">
        <v>6</v>
      </c>
      <c r="E997" t="s">
        <v>11</v>
      </c>
      <c r="F997">
        <v>2029</v>
      </c>
      <c r="G997">
        <v>0.59116684600000002</v>
      </c>
      <c r="H997">
        <v>3.5000000000000003E-2</v>
      </c>
      <c r="I997">
        <v>40.72</v>
      </c>
    </row>
    <row r="998" spans="1:9" hidden="1" x14ac:dyDescent="0.25">
      <c r="A998" t="s">
        <v>34</v>
      </c>
      <c r="B998" t="s">
        <v>6</v>
      </c>
      <c r="C998" t="s">
        <v>12</v>
      </c>
      <c r="D998" t="s">
        <v>6</v>
      </c>
      <c r="E998" t="s">
        <v>11</v>
      </c>
      <c r="F998">
        <v>2030</v>
      </c>
      <c r="G998">
        <v>0.60890185100000005</v>
      </c>
      <c r="H998">
        <v>3.5000000000000003E-2</v>
      </c>
      <c r="I998">
        <v>41.19</v>
      </c>
    </row>
    <row r="999" spans="1:9" hidden="1" x14ac:dyDescent="0.25">
      <c r="A999" t="s">
        <v>34</v>
      </c>
      <c r="B999" t="s">
        <v>6</v>
      </c>
      <c r="C999" t="s">
        <v>12</v>
      </c>
      <c r="D999" t="s">
        <v>6</v>
      </c>
      <c r="E999" t="s">
        <v>11</v>
      </c>
      <c r="F999">
        <v>2031</v>
      </c>
      <c r="G999">
        <v>0.62716890700000005</v>
      </c>
      <c r="H999">
        <v>3.5000000000000003E-2</v>
      </c>
      <c r="I999">
        <v>42.13</v>
      </c>
    </row>
    <row r="1000" spans="1:9" hidden="1" x14ac:dyDescent="0.25">
      <c r="A1000" t="s">
        <v>34</v>
      </c>
      <c r="B1000" t="s">
        <v>6</v>
      </c>
      <c r="C1000" t="s">
        <v>12</v>
      </c>
      <c r="D1000" t="s">
        <v>6</v>
      </c>
      <c r="E1000" t="s">
        <v>11</v>
      </c>
      <c r="F1000">
        <v>2032</v>
      </c>
      <c r="G1000">
        <v>0.64598397399999996</v>
      </c>
      <c r="H1000">
        <v>3.5000000000000003E-2</v>
      </c>
      <c r="I1000">
        <v>43.65</v>
      </c>
    </row>
    <row r="1001" spans="1:9" hidden="1" x14ac:dyDescent="0.25">
      <c r="A1001" t="s">
        <v>34</v>
      </c>
      <c r="B1001" t="s">
        <v>6</v>
      </c>
      <c r="C1001" t="s">
        <v>12</v>
      </c>
      <c r="D1001" t="s">
        <v>6</v>
      </c>
      <c r="E1001" t="s">
        <v>11</v>
      </c>
      <c r="F1001">
        <v>2033</v>
      </c>
      <c r="G1001">
        <v>0.66536349299999997</v>
      </c>
      <c r="H1001">
        <v>3.5000000000000003E-2</v>
      </c>
      <c r="I1001">
        <v>45.24</v>
      </c>
    </row>
    <row r="1002" spans="1:9" hidden="1" x14ac:dyDescent="0.25">
      <c r="A1002" t="s">
        <v>34</v>
      </c>
      <c r="B1002" t="s">
        <v>6</v>
      </c>
      <c r="C1002" t="s">
        <v>12</v>
      </c>
      <c r="D1002" t="s">
        <v>6</v>
      </c>
      <c r="E1002" t="s">
        <v>11</v>
      </c>
      <c r="F1002">
        <v>2034</v>
      </c>
      <c r="G1002">
        <v>0.685324398</v>
      </c>
      <c r="H1002">
        <v>3.5000000000000003E-2</v>
      </c>
      <c r="I1002">
        <v>46.87</v>
      </c>
    </row>
    <row r="1003" spans="1:9" hidden="1" x14ac:dyDescent="0.25">
      <c r="A1003" t="s">
        <v>34</v>
      </c>
      <c r="B1003" t="s">
        <v>6</v>
      </c>
      <c r="C1003" t="s">
        <v>12</v>
      </c>
      <c r="D1003" t="s">
        <v>6</v>
      </c>
      <c r="E1003" t="s">
        <v>11</v>
      </c>
      <c r="F1003">
        <v>2035</v>
      </c>
      <c r="G1003">
        <v>0.70588413000000005</v>
      </c>
      <c r="H1003">
        <v>3.5000000000000003E-2</v>
      </c>
      <c r="I1003">
        <v>48.57</v>
      </c>
    </row>
    <row r="1004" spans="1:9" hidden="1" x14ac:dyDescent="0.25">
      <c r="A1004" t="s">
        <v>34</v>
      </c>
      <c r="B1004" t="s">
        <v>6</v>
      </c>
      <c r="C1004" t="s">
        <v>12</v>
      </c>
      <c r="D1004" t="s">
        <v>6</v>
      </c>
      <c r="E1004" t="s">
        <v>11</v>
      </c>
      <c r="F1004">
        <v>2036</v>
      </c>
      <c r="G1004">
        <v>0.72706065399999997</v>
      </c>
      <c r="H1004">
        <v>3.5000000000000003E-2</v>
      </c>
      <c r="I1004">
        <v>50.33</v>
      </c>
    </row>
    <row r="1005" spans="1:9" hidden="1" x14ac:dyDescent="0.25">
      <c r="A1005" t="s">
        <v>34</v>
      </c>
      <c r="B1005" t="s">
        <v>6</v>
      </c>
      <c r="C1005" t="s">
        <v>12</v>
      </c>
      <c r="D1005" t="s">
        <v>6</v>
      </c>
      <c r="E1005" t="s">
        <v>11</v>
      </c>
      <c r="F1005">
        <v>2037</v>
      </c>
      <c r="G1005">
        <v>0.74887247300000004</v>
      </c>
      <c r="H1005">
        <v>3.5000000000000003E-2</v>
      </c>
      <c r="I1005">
        <v>52.15</v>
      </c>
    </row>
    <row r="1006" spans="1:9" hidden="1" x14ac:dyDescent="0.25">
      <c r="A1006" t="s">
        <v>34</v>
      </c>
      <c r="B1006" t="s">
        <v>6</v>
      </c>
      <c r="C1006" t="s">
        <v>12</v>
      </c>
      <c r="D1006" t="s">
        <v>6</v>
      </c>
      <c r="E1006" t="s">
        <v>11</v>
      </c>
      <c r="F1006">
        <v>2038</v>
      </c>
      <c r="G1006">
        <v>0.77133864799999996</v>
      </c>
      <c r="H1006">
        <v>3.5000000000000003E-2</v>
      </c>
      <c r="I1006">
        <v>54.04</v>
      </c>
    </row>
    <row r="1007" spans="1:9" hidden="1" x14ac:dyDescent="0.25">
      <c r="A1007" t="s">
        <v>34</v>
      </c>
      <c r="B1007" t="s">
        <v>6</v>
      </c>
      <c r="C1007" t="s">
        <v>12</v>
      </c>
      <c r="D1007" t="s">
        <v>6</v>
      </c>
      <c r="E1007" t="s">
        <v>11</v>
      </c>
      <c r="F1007">
        <v>2039</v>
      </c>
      <c r="G1007">
        <v>0.79447880699999995</v>
      </c>
      <c r="H1007">
        <v>3.5000000000000003E-2</v>
      </c>
      <c r="I1007">
        <v>56</v>
      </c>
    </row>
    <row r="1008" spans="1:9" hidden="1" x14ac:dyDescent="0.25">
      <c r="A1008" t="s">
        <v>34</v>
      </c>
      <c r="B1008" t="s">
        <v>6</v>
      </c>
      <c r="C1008" t="s">
        <v>12</v>
      </c>
      <c r="D1008" t="s">
        <v>6</v>
      </c>
      <c r="E1008" t="s">
        <v>11</v>
      </c>
      <c r="F1008">
        <v>2040</v>
      </c>
      <c r="G1008">
        <v>0.81831317100000001</v>
      </c>
      <c r="H1008">
        <v>3.5000000000000003E-2</v>
      </c>
      <c r="I1008">
        <v>58.03</v>
      </c>
    </row>
    <row r="1009" spans="1:9" hidden="1" x14ac:dyDescent="0.25">
      <c r="A1009" t="s">
        <v>34</v>
      </c>
      <c r="B1009" t="s">
        <v>6</v>
      </c>
      <c r="C1009" t="s">
        <v>12</v>
      </c>
      <c r="D1009" t="s">
        <v>6</v>
      </c>
      <c r="E1009" t="s">
        <v>11</v>
      </c>
      <c r="F1009">
        <v>2041</v>
      </c>
      <c r="G1009">
        <v>0.84286256599999998</v>
      </c>
      <c r="H1009">
        <v>3.5000000000000003E-2</v>
      </c>
      <c r="I1009">
        <v>60.13</v>
      </c>
    </row>
    <row r="1010" spans="1:9" hidden="1" x14ac:dyDescent="0.25">
      <c r="A1010" t="s">
        <v>34</v>
      </c>
      <c r="B1010" t="s">
        <v>6</v>
      </c>
      <c r="C1010" t="s">
        <v>11</v>
      </c>
      <c r="D1010" t="s">
        <v>6</v>
      </c>
      <c r="E1010" t="s">
        <v>8</v>
      </c>
      <c r="F1010">
        <v>2024</v>
      </c>
      <c r="G1010">
        <v>0.50994571399999999</v>
      </c>
      <c r="H1010">
        <v>3.5000000000000003E-2</v>
      </c>
      <c r="I1010">
        <v>22.32</v>
      </c>
    </row>
    <row r="1011" spans="1:9" hidden="1" x14ac:dyDescent="0.25">
      <c r="A1011" t="s">
        <v>34</v>
      </c>
      <c r="B1011" t="s">
        <v>6</v>
      </c>
      <c r="C1011" t="s">
        <v>11</v>
      </c>
      <c r="D1011" t="s">
        <v>6</v>
      </c>
      <c r="E1011" t="s">
        <v>8</v>
      </c>
      <c r="F1011">
        <v>2025</v>
      </c>
      <c r="G1011">
        <v>0.52524408600000005</v>
      </c>
      <c r="H1011">
        <v>3.5000000000000003E-2</v>
      </c>
      <c r="I1011">
        <v>22.32</v>
      </c>
    </row>
    <row r="1012" spans="1:9" hidden="1" x14ac:dyDescent="0.25">
      <c r="A1012" t="s">
        <v>34</v>
      </c>
      <c r="B1012" t="s">
        <v>6</v>
      </c>
      <c r="C1012" t="s">
        <v>11</v>
      </c>
      <c r="D1012" t="s">
        <v>6</v>
      </c>
      <c r="E1012" t="s">
        <v>8</v>
      </c>
      <c r="F1012">
        <v>2026</v>
      </c>
      <c r="G1012">
        <v>0.54100140799999996</v>
      </c>
      <c r="H1012">
        <v>3.5000000000000003E-2</v>
      </c>
      <c r="I1012">
        <v>22.32</v>
      </c>
    </row>
    <row r="1013" spans="1:9" hidden="1" x14ac:dyDescent="0.25">
      <c r="A1013" t="s">
        <v>34</v>
      </c>
      <c r="B1013" t="s">
        <v>6</v>
      </c>
      <c r="C1013" t="s">
        <v>11</v>
      </c>
      <c r="D1013" t="s">
        <v>6</v>
      </c>
      <c r="E1013" t="s">
        <v>8</v>
      </c>
      <c r="F1013">
        <v>2027</v>
      </c>
      <c r="G1013">
        <v>0.55723145100000004</v>
      </c>
      <c r="H1013">
        <v>3.5000000000000003E-2</v>
      </c>
      <c r="I1013">
        <v>22.32</v>
      </c>
    </row>
    <row r="1014" spans="1:9" hidden="1" x14ac:dyDescent="0.25">
      <c r="A1014" t="s">
        <v>34</v>
      </c>
      <c r="B1014" t="s">
        <v>6</v>
      </c>
      <c r="C1014" t="s">
        <v>11</v>
      </c>
      <c r="D1014" t="s">
        <v>6</v>
      </c>
      <c r="E1014" t="s">
        <v>8</v>
      </c>
      <c r="F1014">
        <v>2028</v>
      </c>
      <c r="G1014">
        <v>0.57394839399999997</v>
      </c>
      <c r="H1014">
        <v>3.5000000000000003E-2</v>
      </c>
      <c r="I1014">
        <v>28.12</v>
      </c>
    </row>
    <row r="1015" spans="1:9" hidden="1" x14ac:dyDescent="0.25">
      <c r="A1015" t="s">
        <v>34</v>
      </c>
      <c r="B1015" t="s">
        <v>6</v>
      </c>
      <c r="C1015" t="s">
        <v>11</v>
      </c>
      <c r="D1015" t="s">
        <v>6</v>
      </c>
      <c r="E1015" t="s">
        <v>8</v>
      </c>
      <c r="F1015">
        <v>2029</v>
      </c>
      <c r="G1015">
        <v>0.59116684600000002</v>
      </c>
      <c r="H1015">
        <v>3.5000000000000003E-2</v>
      </c>
      <c r="I1015">
        <v>28.12</v>
      </c>
    </row>
    <row r="1016" spans="1:9" hidden="1" x14ac:dyDescent="0.25">
      <c r="A1016" t="s">
        <v>34</v>
      </c>
      <c r="B1016" t="s">
        <v>6</v>
      </c>
      <c r="C1016" t="s">
        <v>11</v>
      </c>
      <c r="D1016" t="s">
        <v>6</v>
      </c>
      <c r="E1016" t="s">
        <v>8</v>
      </c>
      <c r="F1016">
        <v>2030</v>
      </c>
      <c r="G1016">
        <v>0.60890185100000005</v>
      </c>
      <c r="H1016">
        <v>3.5000000000000003E-2</v>
      </c>
      <c r="I1016">
        <v>28.12</v>
      </c>
    </row>
    <row r="1017" spans="1:9" hidden="1" x14ac:dyDescent="0.25">
      <c r="A1017" t="s">
        <v>34</v>
      </c>
      <c r="B1017" t="s">
        <v>6</v>
      </c>
      <c r="C1017" t="s">
        <v>11</v>
      </c>
      <c r="D1017" t="s">
        <v>6</v>
      </c>
      <c r="E1017" t="s">
        <v>8</v>
      </c>
      <c r="F1017">
        <v>2031</v>
      </c>
      <c r="G1017">
        <v>0.62716890700000005</v>
      </c>
      <c r="H1017">
        <v>3.5000000000000003E-2</v>
      </c>
      <c r="I1017">
        <v>32.32</v>
      </c>
    </row>
    <row r="1018" spans="1:9" hidden="1" x14ac:dyDescent="0.25">
      <c r="A1018" t="s">
        <v>34</v>
      </c>
      <c r="B1018" t="s">
        <v>6</v>
      </c>
      <c r="C1018" t="s">
        <v>11</v>
      </c>
      <c r="D1018" t="s">
        <v>6</v>
      </c>
      <c r="E1018" t="s">
        <v>8</v>
      </c>
      <c r="F1018">
        <v>2032</v>
      </c>
      <c r="G1018">
        <v>0.64598397399999996</v>
      </c>
      <c r="H1018">
        <v>3.5000000000000003E-2</v>
      </c>
      <c r="I1018">
        <v>34.24</v>
      </c>
    </row>
    <row r="1019" spans="1:9" hidden="1" x14ac:dyDescent="0.25">
      <c r="A1019" t="s">
        <v>34</v>
      </c>
      <c r="B1019" t="s">
        <v>6</v>
      </c>
      <c r="C1019" t="s">
        <v>11</v>
      </c>
      <c r="D1019" t="s">
        <v>6</v>
      </c>
      <c r="E1019" t="s">
        <v>8</v>
      </c>
      <c r="F1019">
        <v>2033</v>
      </c>
      <c r="G1019">
        <v>0.66536349299999997</v>
      </c>
      <c r="H1019">
        <v>3.5000000000000003E-2</v>
      </c>
      <c r="I1019">
        <v>36.270000000000003</v>
      </c>
    </row>
    <row r="1020" spans="1:9" hidden="1" x14ac:dyDescent="0.25">
      <c r="A1020" t="s">
        <v>34</v>
      </c>
      <c r="B1020" t="s">
        <v>6</v>
      </c>
      <c r="C1020" t="s">
        <v>11</v>
      </c>
      <c r="D1020" t="s">
        <v>6</v>
      </c>
      <c r="E1020" t="s">
        <v>8</v>
      </c>
      <c r="F1020">
        <v>2034</v>
      </c>
      <c r="G1020">
        <v>0.685324398</v>
      </c>
      <c r="H1020">
        <v>3.5000000000000003E-2</v>
      </c>
      <c r="I1020">
        <v>38.43</v>
      </c>
    </row>
    <row r="1021" spans="1:9" hidden="1" x14ac:dyDescent="0.25">
      <c r="A1021" t="s">
        <v>34</v>
      </c>
      <c r="B1021" t="s">
        <v>6</v>
      </c>
      <c r="C1021" t="s">
        <v>11</v>
      </c>
      <c r="D1021" t="s">
        <v>6</v>
      </c>
      <c r="E1021" t="s">
        <v>8</v>
      </c>
      <c r="F1021">
        <v>2035</v>
      </c>
      <c r="G1021">
        <v>0.70588413000000005</v>
      </c>
      <c r="H1021">
        <v>3.5000000000000003E-2</v>
      </c>
      <c r="I1021">
        <v>40.71</v>
      </c>
    </row>
    <row r="1022" spans="1:9" hidden="1" x14ac:dyDescent="0.25">
      <c r="A1022" t="s">
        <v>34</v>
      </c>
      <c r="B1022" t="s">
        <v>6</v>
      </c>
      <c r="C1022" t="s">
        <v>11</v>
      </c>
      <c r="D1022" t="s">
        <v>6</v>
      </c>
      <c r="E1022" t="s">
        <v>8</v>
      </c>
      <c r="F1022">
        <v>2036</v>
      </c>
      <c r="G1022">
        <v>0.72706065399999997</v>
      </c>
      <c r="H1022">
        <v>3.5000000000000003E-2</v>
      </c>
      <c r="I1022">
        <v>43.13</v>
      </c>
    </row>
    <row r="1023" spans="1:9" hidden="1" x14ac:dyDescent="0.25">
      <c r="A1023" t="s">
        <v>34</v>
      </c>
      <c r="B1023" t="s">
        <v>6</v>
      </c>
      <c r="C1023" t="s">
        <v>11</v>
      </c>
      <c r="D1023" t="s">
        <v>6</v>
      </c>
      <c r="E1023" t="s">
        <v>8</v>
      </c>
      <c r="F1023">
        <v>2037</v>
      </c>
      <c r="G1023">
        <v>0.74887247300000004</v>
      </c>
      <c r="H1023">
        <v>3.5000000000000003E-2</v>
      </c>
      <c r="I1023">
        <v>45.7</v>
      </c>
    </row>
    <row r="1024" spans="1:9" hidden="1" x14ac:dyDescent="0.25">
      <c r="A1024" t="s">
        <v>34</v>
      </c>
      <c r="B1024" t="s">
        <v>6</v>
      </c>
      <c r="C1024" t="s">
        <v>11</v>
      </c>
      <c r="D1024" t="s">
        <v>6</v>
      </c>
      <c r="E1024" t="s">
        <v>8</v>
      </c>
      <c r="F1024">
        <v>2038</v>
      </c>
      <c r="G1024">
        <v>0.77133864799999996</v>
      </c>
      <c r="H1024">
        <v>3.5000000000000003E-2</v>
      </c>
      <c r="I1024">
        <v>48.42</v>
      </c>
    </row>
    <row r="1025" spans="1:9" hidden="1" x14ac:dyDescent="0.25">
      <c r="A1025" t="s">
        <v>34</v>
      </c>
      <c r="B1025" t="s">
        <v>6</v>
      </c>
      <c r="C1025" t="s">
        <v>11</v>
      </c>
      <c r="D1025" t="s">
        <v>6</v>
      </c>
      <c r="E1025" t="s">
        <v>8</v>
      </c>
      <c r="F1025">
        <v>2039</v>
      </c>
      <c r="G1025">
        <v>0.79447880699999995</v>
      </c>
      <c r="H1025">
        <v>3.5000000000000003E-2</v>
      </c>
      <c r="I1025">
        <v>51.29</v>
      </c>
    </row>
    <row r="1026" spans="1:9" hidden="1" x14ac:dyDescent="0.25">
      <c r="A1026" t="s">
        <v>34</v>
      </c>
      <c r="B1026" t="s">
        <v>6</v>
      </c>
      <c r="C1026" t="s">
        <v>11</v>
      </c>
      <c r="D1026" t="s">
        <v>6</v>
      </c>
      <c r="E1026" t="s">
        <v>8</v>
      </c>
      <c r="F1026">
        <v>2040</v>
      </c>
      <c r="G1026">
        <v>0.81831317100000001</v>
      </c>
      <c r="H1026">
        <v>3.5000000000000003E-2</v>
      </c>
      <c r="I1026">
        <v>54.34</v>
      </c>
    </row>
    <row r="1027" spans="1:9" hidden="1" x14ac:dyDescent="0.25">
      <c r="A1027" t="s">
        <v>34</v>
      </c>
      <c r="B1027" t="s">
        <v>6</v>
      </c>
      <c r="C1027" t="s">
        <v>11</v>
      </c>
      <c r="D1027" t="s">
        <v>6</v>
      </c>
      <c r="E1027" t="s">
        <v>8</v>
      </c>
      <c r="F1027">
        <v>2041</v>
      </c>
      <c r="G1027">
        <v>0.84286256599999998</v>
      </c>
      <c r="H1027">
        <v>3.5000000000000003E-2</v>
      </c>
      <c r="I1027">
        <v>57.58</v>
      </c>
    </row>
    <row r="1028" spans="1:9" hidden="1" x14ac:dyDescent="0.25">
      <c r="A1028" t="s">
        <v>34</v>
      </c>
      <c r="B1028" t="s">
        <v>6</v>
      </c>
      <c r="C1028" t="s">
        <v>8</v>
      </c>
      <c r="D1028" t="s">
        <v>6</v>
      </c>
      <c r="E1028" t="s">
        <v>10</v>
      </c>
      <c r="F1028">
        <v>2024</v>
      </c>
      <c r="G1028">
        <v>0.50994571399999999</v>
      </c>
      <c r="H1028">
        <v>3.5000000000000003E-2</v>
      </c>
      <c r="I1028">
        <v>5.83</v>
      </c>
    </row>
    <row r="1029" spans="1:9" hidden="1" x14ac:dyDescent="0.25">
      <c r="A1029" t="s">
        <v>34</v>
      </c>
      <c r="B1029" t="s">
        <v>6</v>
      </c>
      <c r="C1029" t="s">
        <v>8</v>
      </c>
      <c r="D1029" t="s">
        <v>6</v>
      </c>
      <c r="E1029" t="s">
        <v>10</v>
      </c>
      <c r="F1029">
        <v>2025</v>
      </c>
      <c r="G1029">
        <v>0.52524408600000005</v>
      </c>
      <c r="H1029">
        <v>3.5000000000000003E-2</v>
      </c>
      <c r="I1029">
        <v>5.83</v>
      </c>
    </row>
    <row r="1030" spans="1:9" hidden="1" x14ac:dyDescent="0.25">
      <c r="A1030" t="s">
        <v>34</v>
      </c>
      <c r="B1030" t="s">
        <v>6</v>
      </c>
      <c r="C1030" t="s">
        <v>8</v>
      </c>
      <c r="D1030" t="s">
        <v>6</v>
      </c>
      <c r="E1030" t="s">
        <v>10</v>
      </c>
      <c r="F1030">
        <v>2026</v>
      </c>
      <c r="G1030">
        <v>0.54100140799999996</v>
      </c>
      <c r="H1030">
        <v>3.5000000000000003E-2</v>
      </c>
      <c r="I1030">
        <v>5.83</v>
      </c>
    </row>
    <row r="1031" spans="1:9" hidden="1" x14ac:dyDescent="0.25">
      <c r="A1031" t="s">
        <v>34</v>
      </c>
      <c r="B1031" t="s">
        <v>6</v>
      </c>
      <c r="C1031" t="s">
        <v>8</v>
      </c>
      <c r="D1031" t="s">
        <v>6</v>
      </c>
      <c r="E1031" t="s">
        <v>10</v>
      </c>
      <c r="F1031">
        <v>2027</v>
      </c>
      <c r="G1031">
        <v>0.55723145100000004</v>
      </c>
      <c r="H1031">
        <v>3.5000000000000003E-2</v>
      </c>
      <c r="I1031">
        <v>5.83</v>
      </c>
    </row>
    <row r="1032" spans="1:9" hidden="1" x14ac:dyDescent="0.25">
      <c r="A1032" t="s">
        <v>34</v>
      </c>
      <c r="B1032" t="s">
        <v>6</v>
      </c>
      <c r="C1032" t="s">
        <v>8</v>
      </c>
      <c r="D1032" t="s">
        <v>6</v>
      </c>
      <c r="E1032" t="s">
        <v>10</v>
      </c>
      <c r="F1032">
        <v>2028</v>
      </c>
      <c r="G1032">
        <v>0.57394839399999997</v>
      </c>
      <c r="H1032">
        <v>3.5000000000000003E-2</v>
      </c>
      <c r="I1032">
        <v>5.83</v>
      </c>
    </row>
    <row r="1033" spans="1:9" hidden="1" x14ac:dyDescent="0.25">
      <c r="A1033" t="s">
        <v>34</v>
      </c>
      <c r="B1033" t="s">
        <v>6</v>
      </c>
      <c r="C1033" t="s">
        <v>8</v>
      </c>
      <c r="D1033" t="s">
        <v>6</v>
      </c>
      <c r="E1033" t="s">
        <v>10</v>
      </c>
      <c r="F1033">
        <v>2029</v>
      </c>
      <c r="G1033">
        <v>0.59116684600000002</v>
      </c>
      <c r="H1033">
        <v>3.5000000000000003E-2</v>
      </c>
      <c r="I1033">
        <v>5.83</v>
      </c>
    </row>
    <row r="1034" spans="1:9" hidden="1" x14ac:dyDescent="0.25">
      <c r="A1034" t="s">
        <v>34</v>
      </c>
      <c r="B1034" t="s">
        <v>6</v>
      </c>
      <c r="C1034" t="s">
        <v>8</v>
      </c>
      <c r="D1034" t="s">
        <v>6</v>
      </c>
      <c r="E1034" t="s">
        <v>10</v>
      </c>
      <c r="F1034">
        <v>2030</v>
      </c>
      <c r="G1034">
        <v>0.60890185100000005</v>
      </c>
      <c r="H1034">
        <v>3.5000000000000003E-2</v>
      </c>
      <c r="I1034">
        <v>5.83</v>
      </c>
    </row>
    <row r="1035" spans="1:9" hidden="1" x14ac:dyDescent="0.25">
      <c r="A1035" t="s">
        <v>34</v>
      </c>
      <c r="B1035" t="s">
        <v>6</v>
      </c>
      <c r="C1035" t="s">
        <v>8</v>
      </c>
      <c r="D1035" t="s">
        <v>6</v>
      </c>
      <c r="E1035" t="s">
        <v>10</v>
      </c>
      <c r="F1035">
        <v>2031</v>
      </c>
      <c r="G1035">
        <v>0.62716890700000005</v>
      </c>
      <c r="H1035">
        <v>3.5000000000000003E-2</v>
      </c>
      <c r="I1035">
        <v>6.2</v>
      </c>
    </row>
    <row r="1036" spans="1:9" hidden="1" x14ac:dyDescent="0.25">
      <c r="A1036" t="s">
        <v>34</v>
      </c>
      <c r="B1036" t="s">
        <v>6</v>
      </c>
      <c r="C1036" t="s">
        <v>8</v>
      </c>
      <c r="D1036" t="s">
        <v>6</v>
      </c>
      <c r="E1036" t="s">
        <v>10</v>
      </c>
      <c r="F1036">
        <v>2032</v>
      </c>
      <c r="G1036">
        <v>0.64598397399999996</v>
      </c>
      <c r="H1036">
        <v>3.5000000000000003E-2</v>
      </c>
      <c r="I1036">
        <v>6.42</v>
      </c>
    </row>
    <row r="1037" spans="1:9" hidden="1" x14ac:dyDescent="0.25">
      <c r="A1037" t="s">
        <v>34</v>
      </c>
      <c r="B1037" t="s">
        <v>6</v>
      </c>
      <c r="C1037" t="s">
        <v>8</v>
      </c>
      <c r="D1037" t="s">
        <v>6</v>
      </c>
      <c r="E1037" t="s">
        <v>10</v>
      </c>
      <c r="F1037">
        <v>2033</v>
      </c>
      <c r="G1037">
        <v>0.66536349299999997</v>
      </c>
      <c r="H1037">
        <v>3.5000000000000003E-2</v>
      </c>
      <c r="I1037">
        <v>6.66</v>
      </c>
    </row>
    <row r="1038" spans="1:9" hidden="1" x14ac:dyDescent="0.25">
      <c r="A1038" t="s">
        <v>34</v>
      </c>
      <c r="B1038" t="s">
        <v>6</v>
      </c>
      <c r="C1038" t="s">
        <v>8</v>
      </c>
      <c r="D1038" t="s">
        <v>6</v>
      </c>
      <c r="E1038" t="s">
        <v>10</v>
      </c>
      <c r="F1038">
        <v>2034</v>
      </c>
      <c r="G1038">
        <v>0.685324398</v>
      </c>
      <c r="H1038">
        <v>3.5000000000000003E-2</v>
      </c>
      <c r="I1038">
        <v>6.9</v>
      </c>
    </row>
    <row r="1039" spans="1:9" hidden="1" x14ac:dyDescent="0.25">
      <c r="A1039" t="s">
        <v>34</v>
      </c>
      <c r="B1039" t="s">
        <v>6</v>
      </c>
      <c r="C1039" t="s">
        <v>8</v>
      </c>
      <c r="D1039" t="s">
        <v>6</v>
      </c>
      <c r="E1039" t="s">
        <v>10</v>
      </c>
      <c r="F1039">
        <v>2035</v>
      </c>
      <c r="G1039">
        <v>0.70588413000000005</v>
      </c>
      <c r="H1039">
        <v>3.5000000000000003E-2</v>
      </c>
      <c r="I1039">
        <v>7.15</v>
      </c>
    </row>
    <row r="1040" spans="1:9" hidden="1" x14ac:dyDescent="0.25">
      <c r="A1040" t="s">
        <v>34</v>
      </c>
      <c r="B1040" t="s">
        <v>6</v>
      </c>
      <c r="C1040" t="s">
        <v>8</v>
      </c>
      <c r="D1040" t="s">
        <v>6</v>
      </c>
      <c r="E1040" t="s">
        <v>10</v>
      </c>
      <c r="F1040">
        <v>2036</v>
      </c>
      <c r="G1040">
        <v>0.72706065399999997</v>
      </c>
      <c r="H1040">
        <v>3.5000000000000003E-2</v>
      </c>
      <c r="I1040">
        <v>7.41</v>
      </c>
    </row>
    <row r="1041" spans="1:9" hidden="1" x14ac:dyDescent="0.25">
      <c r="A1041" t="s">
        <v>34</v>
      </c>
      <c r="B1041" t="s">
        <v>6</v>
      </c>
      <c r="C1041" t="s">
        <v>8</v>
      </c>
      <c r="D1041" t="s">
        <v>6</v>
      </c>
      <c r="E1041" t="s">
        <v>10</v>
      </c>
      <c r="F1041">
        <v>2037</v>
      </c>
      <c r="G1041">
        <v>0.74887247300000004</v>
      </c>
      <c r="H1041">
        <v>3.5000000000000003E-2</v>
      </c>
      <c r="I1041">
        <v>7.67</v>
      </c>
    </row>
    <row r="1042" spans="1:9" hidden="1" x14ac:dyDescent="0.25">
      <c r="A1042" t="s">
        <v>34</v>
      </c>
      <c r="B1042" t="s">
        <v>6</v>
      </c>
      <c r="C1042" t="s">
        <v>8</v>
      </c>
      <c r="D1042" t="s">
        <v>6</v>
      </c>
      <c r="E1042" t="s">
        <v>10</v>
      </c>
      <c r="F1042">
        <v>2038</v>
      </c>
      <c r="G1042">
        <v>0.77133864799999996</v>
      </c>
      <c r="H1042">
        <v>3.5000000000000003E-2</v>
      </c>
      <c r="I1042">
        <v>7.95</v>
      </c>
    </row>
    <row r="1043" spans="1:9" hidden="1" x14ac:dyDescent="0.25">
      <c r="A1043" t="s">
        <v>34</v>
      </c>
      <c r="B1043" t="s">
        <v>6</v>
      </c>
      <c r="C1043" t="s">
        <v>8</v>
      </c>
      <c r="D1043" t="s">
        <v>6</v>
      </c>
      <c r="E1043" t="s">
        <v>10</v>
      </c>
      <c r="F1043">
        <v>2039</v>
      </c>
      <c r="G1043">
        <v>0.79447880699999995</v>
      </c>
      <c r="H1043">
        <v>3.5000000000000003E-2</v>
      </c>
      <c r="I1043">
        <v>8.24</v>
      </c>
    </row>
    <row r="1044" spans="1:9" hidden="1" x14ac:dyDescent="0.25">
      <c r="A1044" t="s">
        <v>34</v>
      </c>
      <c r="B1044" t="s">
        <v>6</v>
      </c>
      <c r="C1044" t="s">
        <v>8</v>
      </c>
      <c r="D1044" t="s">
        <v>6</v>
      </c>
      <c r="E1044" t="s">
        <v>10</v>
      </c>
      <c r="F1044">
        <v>2040</v>
      </c>
      <c r="G1044">
        <v>0.81831317100000001</v>
      </c>
      <c r="H1044">
        <v>3.5000000000000003E-2</v>
      </c>
      <c r="I1044">
        <v>8.5399999999999991</v>
      </c>
    </row>
    <row r="1045" spans="1:9" hidden="1" x14ac:dyDescent="0.25">
      <c r="A1045" t="s">
        <v>34</v>
      </c>
      <c r="B1045" t="s">
        <v>6</v>
      </c>
      <c r="C1045" t="s">
        <v>8</v>
      </c>
      <c r="D1045" t="s">
        <v>6</v>
      </c>
      <c r="E1045" t="s">
        <v>10</v>
      </c>
      <c r="F1045">
        <v>2041</v>
      </c>
      <c r="G1045">
        <v>0.84286256599999998</v>
      </c>
      <c r="H1045">
        <v>3.5000000000000003E-2</v>
      </c>
      <c r="I1045">
        <v>8.85</v>
      </c>
    </row>
    <row r="1046" spans="1:9" hidden="1" x14ac:dyDescent="0.25">
      <c r="A1046" t="s">
        <v>34</v>
      </c>
      <c r="B1046" t="s">
        <v>6</v>
      </c>
      <c r="C1046" t="s">
        <v>10</v>
      </c>
      <c r="D1046" t="s">
        <v>6</v>
      </c>
      <c r="E1046" t="s">
        <v>9</v>
      </c>
      <c r="F1046">
        <v>2024</v>
      </c>
      <c r="G1046">
        <v>0.50994571399999999</v>
      </c>
      <c r="H1046">
        <v>3.5000000000000003E-2</v>
      </c>
      <c r="I1046">
        <v>2.95</v>
      </c>
    </row>
    <row r="1047" spans="1:9" hidden="1" x14ac:dyDescent="0.25">
      <c r="A1047" t="s">
        <v>34</v>
      </c>
      <c r="B1047" t="s">
        <v>6</v>
      </c>
      <c r="C1047" t="s">
        <v>10</v>
      </c>
      <c r="D1047" t="s">
        <v>6</v>
      </c>
      <c r="E1047" t="s">
        <v>9</v>
      </c>
      <c r="F1047">
        <v>2025</v>
      </c>
      <c r="G1047">
        <v>0.52524408600000005</v>
      </c>
      <c r="H1047">
        <v>3.5000000000000003E-2</v>
      </c>
      <c r="I1047">
        <v>3.55</v>
      </c>
    </row>
    <row r="1048" spans="1:9" hidden="1" x14ac:dyDescent="0.25">
      <c r="A1048" t="s">
        <v>34</v>
      </c>
      <c r="B1048" t="s">
        <v>6</v>
      </c>
      <c r="C1048" t="s">
        <v>10</v>
      </c>
      <c r="D1048" t="s">
        <v>6</v>
      </c>
      <c r="E1048" t="s">
        <v>9</v>
      </c>
      <c r="F1048">
        <v>2026</v>
      </c>
      <c r="G1048">
        <v>0.54100140799999996</v>
      </c>
      <c r="H1048">
        <v>3.5000000000000003E-2</v>
      </c>
      <c r="I1048">
        <v>3.55</v>
      </c>
    </row>
    <row r="1049" spans="1:9" hidden="1" x14ac:dyDescent="0.25">
      <c r="A1049" t="s">
        <v>34</v>
      </c>
      <c r="B1049" t="s">
        <v>6</v>
      </c>
      <c r="C1049" t="s">
        <v>10</v>
      </c>
      <c r="D1049" t="s">
        <v>6</v>
      </c>
      <c r="E1049" t="s">
        <v>9</v>
      </c>
      <c r="F1049">
        <v>2027</v>
      </c>
      <c r="G1049">
        <v>0.55723145100000004</v>
      </c>
      <c r="H1049">
        <v>3.5000000000000003E-2</v>
      </c>
      <c r="I1049">
        <v>3.55</v>
      </c>
    </row>
    <row r="1050" spans="1:9" hidden="1" x14ac:dyDescent="0.25">
      <c r="A1050" t="s">
        <v>34</v>
      </c>
      <c r="B1050" t="s">
        <v>6</v>
      </c>
      <c r="C1050" t="s">
        <v>10</v>
      </c>
      <c r="D1050" t="s">
        <v>6</v>
      </c>
      <c r="E1050" t="s">
        <v>9</v>
      </c>
      <c r="F1050">
        <v>2028</v>
      </c>
      <c r="G1050">
        <v>0.57394839399999997</v>
      </c>
      <c r="H1050">
        <v>3.5000000000000003E-2</v>
      </c>
      <c r="I1050">
        <v>3.55</v>
      </c>
    </row>
    <row r="1051" spans="1:9" hidden="1" x14ac:dyDescent="0.25">
      <c r="A1051" t="s">
        <v>34</v>
      </c>
      <c r="B1051" t="s">
        <v>6</v>
      </c>
      <c r="C1051" t="s">
        <v>10</v>
      </c>
      <c r="D1051" t="s">
        <v>6</v>
      </c>
      <c r="E1051" t="s">
        <v>9</v>
      </c>
      <c r="F1051">
        <v>2029</v>
      </c>
      <c r="G1051">
        <v>0.59116684600000002</v>
      </c>
      <c r="H1051">
        <v>3.5000000000000003E-2</v>
      </c>
      <c r="I1051">
        <v>3.55</v>
      </c>
    </row>
    <row r="1052" spans="1:9" hidden="1" x14ac:dyDescent="0.25">
      <c r="A1052" t="s">
        <v>34</v>
      </c>
      <c r="B1052" t="s">
        <v>6</v>
      </c>
      <c r="C1052" t="s">
        <v>10</v>
      </c>
      <c r="D1052" t="s">
        <v>6</v>
      </c>
      <c r="E1052" t="s">
        <v>9</v>
      </c>
      <c r="F1052">
        <v>2030</v>
      </c>
      <c r="G1052">
        <v>0.60890185100000005</v>
      </c>
      <c r="H1052">
        <v>3.5000000000000003E-2</v>
      </c>
      <c r="I1052">
        <v>3.55</v>
      </c>
    </row>
    <row r="1053" spans="1:9" hidden="1" x14ac:dyDescent="0.25">
      <c r="A1053" t="s">
        <v>34</v>
      </c>
      <c r="B1053" t="s">
        <v>6</v>
      </c>
      <c r="C1053" t="s">
        <v>10</v>
      </c>
      <c r="D1053" t="s">
        <v>6</v>
      </c>
      <c r="E1053" t="s">
        <v>9</v>
      </c>
      <c r="F1053">
        <v>2031</v>
      </c>
      <c r="G1053">
        <v>0.62716890700000005</v>
      </c>
      <c r="H1053">
        <v>3.5000000000000003E-2</v>
      </c>
      <c r="I1053">
        <v>3.55</v>
      </c>
    </row>
    <row r="1054" spans="1:9" hidden="1" x14ac:dyDescent="0.25">
      <c r="A1054" t="s">
        <v>34</v>
      </c>
      <c r="B1054" t="s">
        <v>6</v>
      </c>
      <c r="C1054" t="s">
        <v>10</v>
      </c>
      <c r="D1054" t="s">
        <v>6</v>
      </c>
      <c r="E1054" t="s">
        <v>9</v>
      </c>
      <c r="F1054">
        <v>2032</v>
      </c>
      <c r="G1054">
        <v>0.64598397399999996</v>
      </c>
      <c r="H1054">
        <v>3.5000000000000003E-2</v>
      </c>
      <c r="I1054">
        <v>3.67</v>
      </c>
    </row>
    <row r="1055" spans="1:9" hidden="1" x14ac:dyDescent="0.25">
      <c r="A1055" t="s">
        <v>34</v>
      </c>
      <c r="B1055" t="s">
        <v>6</v>
      </c>
      <c r="C1055" t="s">
        <v>10</v>
      </c>
      <c r="D1055" t="s">
        <v>6</v>
      </c>
      <c r="E1055" t="s">
        <v>9</v>
      </c>
      <c r="F1055">
        <v>2033</v>
      </c>
      <c r="G1055">
        <v>0.66536349299999997</v>
      </c>
      <c r="H1055">
        <v>3.5000000000000003E-2</v>
      </c>
      <c r="I1055">
        <v>3.81</v>
      </c>
    </row>
    <row r="1056" spans="1:9" hidden="1" x14ac:dyDescent="0.25">
      <c r="A1056" t="s">
        <v>34</v>
      </c>
      <c r="B1056" t="s">
        <v>6</v>
      </c>
      <c r="C1056" t="s">
        <v>10</v>
      </c>
      <c r="D1056" t="s">
        <v>6</v>
      </c>
      <c r="E1056" t="s">
        <v>9</v>
      </c>
      <c r="F1056">
        <v>2034</v>
      </c>
      <c r="G1056">
        <v>0.685324398</v>
      </c>
      <c r="H1056">
        <v>3.5000000000000003E-2</v>
      </c>
      <c r="I1056">
        <v>3.94</v>
      </c>
    </row>
    <row r="1057" spans="1:9" hidden="1" x14ac:dyDescent="0.25">
      <c r="A1057" t="s">
        <v>34</v>
      </c>
      <c r="B1057" t="s">
        <v>6</v>
      </c>
      <c r="C1057" t="s">
        <v>10</v>
      </c>
      <c r="D1057" t="s">
        <v>6</v>
      </c>
      <c r="E1057" t="s">
        <v>9</v>
      </c>
      <c r="F1057">
        <v>2035</v>
      </c>
      <c r="G1057">
        <v>0.70588413000000005</v>
      </c>
      <c r="H1057">
        <v>3.5000000000000003E-2</v>
      </c>
      <c r="I1057">
        <v>4.09</v>
      </c>
    </row>
    <row r="1058" spans="1:9" hidden="1" x14ac:dyDescent="0.25">
      <c r="A1058" t="s">
        <v>34</v>
      </c>
      <c r="B1058" t="s">
        <v>6</v>
      </c>
      <c r="C1058" t="s">
        <v>10</v>
      </c>
      <c r="D1058" t="s">
        <v>6</v>
      </c>
      <c r="E1058" t="s">
        <v>9</v>
      </c>
      <c r="F1058">
        <v>2036</v>
      </c>
      <c r="G1058">
        <v>0.72706065399999997</v>
      </c>
      <c r="H1058">
        <v>3.5000000000000003E-2</v>
      </c>
      <c r="I1058">
        <v>4.24</v>
      </c>
    </row>
    <row r="1059" spans="1:9" hidden="1" x14ac:dyDescent="0.25">
      <c r="A1059" t="s">
        <v>34</v>
      </c>
      <c r="B1059" t="s">
        <v>6</v>
      </c>
      <c r="C1059" t="s">
        <v>10</v>
      </c>
      <c r="D1059" t="s">
        <v>6</v>
      </c>
      <c r="E1059" t="s">
        <v>9</v>
      </c>
      <c r="F1059">
        <v>2037</v>
      </c>
      <c r="G1059">
        <v>0.74887247300000004</v>
      </c>
      <c r="H1059">
        <v>3.5000000000000003E-2</v>
      </c>
      <c r="I1059">
        <v>4.3899999999999997</v>
      </c>
    </row>
    <row r="1060" spans="1:9" hidden="1" x14ac:dyDescent="0.25">
      <c r="A1060" t="s">
        <v>34</v>
      </c>
      <c r="B1060" t="s">
        <v>6</v>
      </c>
      <c r="C1060" t="s">
        <v>10</v>
      </c>
      <c r="D1060" t="s">
        <v>6</v>
      </c>
      <c r="E1060" t="s">
        <v>9</v>
      </c>
      <c r="F1060">
        <v>2038</v>
      </c>
      <c r="G1060">
        <v>0.77133864799999996</v>
      </c>
      <c r="H1060">
        <v>3.5000000000000003E-2</v>
      </c>
      <c r="I1060">
        <v>4.55</v>
      </c>
    </row>
    <row r="1061" spans="1:9" hidden="1" x14ac:dyDescent="0.25">
      <c r="A1061" t="s">
        <v>34</v>
      </c>
      <c r="B1061" t="s">
        <v>6</v>
      </c>
      <c r="C1061" t="s">
        <v>10</v>
      </c>
      <c r="D1061" t="s">
        <v>6</v>
      </c>
      <c r="E1061" t="s">
        <v>9</v>
      </c>
      <c r="F1061">
        <v>2039</v>
      </c>
      <c r="G1061">
        <v>0.79447880699999995</v>
      </c>
      <c r="H1061">
        <v>3.5000000000000003E-2</v>
      </c>
      <c r="I1061">
        <v>4.71</v>
      </c>
    </row>
    <row r="1062" spans="1:9" hidden="1" x14ac:dyDescent="0.25">
      <c r="A1062" t="s">
        <v>34</v>
      </c>
      <c r="B1062" t="s">
        <v>6</v>
      </c>
      <c r="C1062" t="s">
        <v>10</v>
      </c>
      <c r="D1062" t="s">
        <v>6</v>
      </c>
      <c r="E1062" t="s">
        <v>9</v>
      </c>
      <c r="F1062">
        <v>2040</v>
      </c>
      <c r="G1062">
        <v>0.81831317100000001</v>
      </c>
      <c r="H1062">
        <v>3.5000000000000003E-2</v>
      </c>
      <c r="I1062">
        <v>4.88</v>
      </c>
    </row>
    <row r="1063" spans="1:9" hidden="1" x14ac:dyDescent="0.25">
      <c r="A1063" t="s">
        <v>34</v>
      </c>
      <c r="B1063" t="s">
        <v>6</v>
      </c>
      <c r="C1063" t="s">
        <v>10</v>
      </c>
      <c r="D1063" t="s">
        <v>6</v>
      </c>
      <c r="E1063" t="s">
        <v>9</v>
      </c>
      <c r="F1063">
        <v>2041</v>
      </c>
      <c r="G1063">
        <v>0.84286256599999998</v>
      </c>
      <c r="H1063">
        <v>3.5000000000000003E-2</v>
      </c>
      <c r="I1063">
        <v>5.0599999999999996</v>
      </c>
    </row>
    <row r="1064" spans="1:9" hidden="1" x14ac:dyDescent="0.25">
      <c r="A1064" t="s">
        <v>34</v>
      </c>
      <c r="B1064" t="s">
        <v>6</v>
      </c>
      <c r="C1064" t="s">
        <v>9</v>
      </c>
      <c r="D1064" t="s">
        <v>6</v>
      </c>
      <c r="E1064" t="s">
        <v>12</v>
      </c>
      <c r="F1064">
        <v>2024</v>
      </c>
      <c r="G1064">
        <v>0.50994571399999999</v>
      </c>
      <c r="H1064">
        <v>3.5000000000000003E-2</v>
      </c>
      <c r="I1064">
        <v>3</v>
      </c>
    </row>
    <row r="1065" spans="1:9" hidden="1" x14ac:dyDescent="0.25">
      <c r="A1065" t="s">
        <v>34</v>
      </c>
      <c r="B1065" t="s">
        <v>6</v>
      </c>
      <c r="C1065" t="s">
        <v>9</v>
      </c>
      <c r="D1065" t="s">
        <v>6</v>
      </c>
      <c r="E1065" t="s">
        <v>12</v>
      </c>
      <c r="F1065">
        <v>2025</v>
      </c>
      <c r="G1065">
        <v>0.52524408600000005</v>
      </c>
      <c r="H1065">
        <v>3.5000000000000003E-2</v>
      </c>
      <c r="I1065">
        <v>3</v>
      </c>
    </row>
    <row r="1066" spans="1:9" hidden="1" x14ac:dyDescent="0.25">
      <c r="A1066" t="s">
        <v>34</v>
      </c>
      <c r="B1066" t="s">
        <v>6</v>
      </c>
      <c r="C1066" t="s">
        <v>9</v>
      </c>
      <c r="D1066" t="s">
        <v>6</v>
      </c>
      <c r="E1066" t="s">
        <v>12</v>
      </c>
      <c r="F1066">
        <v>2026</v>
      </c>
      <c r="G1066">
        <v>0.54100140799999996</v>
      </c>
      <c r="H1066">
        <v>3.5000000000000003E-2</v>
      </c>
      <c r="I1066">
        <v>3</v>
      </c>
    </row>
    <row r="1067" spans="1:9" hidden="1" x14ac:dyDescent="0.25">
      <c r="A1067" t="s">
        <v>34</v>
      </c>
      <c r="B1067" t="s">
        <v>6</v>
      </c>
      <c r="C1067" t="s">
        <v>9</v>
      </c>
      <c r="D1067" t="s">
        <v>6</v>
      </c>
      <c r="E1067" t="s">
        <v>12</v>
      </c>
      <c r="F1067">
        <v>2027</v>
      </c>
      <c r="G1067">
        <v>0.55723145100000004</v>
      </c>
      <c r="H1067">
        <v>3.5000000000000003E-2</v>
      </c>
      <c r="I1067">
        <v>3</v>
      </c>
    </row>
    <row r="1068" spans="1:9" hidden="1" x14ac:dyDescent="0.25">
      <c r="A1068" t="s">
        <v>34</v>
      </c>
      <c r="B1068" t="s">
        <v>6</v>
      </c>
      <c r="C1068" t="s">
        <v>9</v>
      </c>
      <c r="D1068" t="s">
        <v>6</v>
      </c>
      <c r="E1068" t="s">
        <v>12</v>
      </c>
      <c r="F1068">
        <v>2028</v>
      </c>
      <c r="G1068">
        <v>0.57394839399999997</v>
      </c>
      <c r="H1068">
        <v>3.5000000000000003E-2</v>
      </c>
      <c r="I1068">
        <v>3</v>
      </c>
    </row>
    <row r="1069" spans="1:9" hidden="1" x14ac:dyDescent="0.25">
      <c r="A1069" t="s">
        <v>34</v>
      </c>
      <c r="B1069" t="s">
        <v>6</v>
      </c>
      <c r="C1069" t="s">
        <v>9</v>
      </c>
      <c r="D1069" t="s">
        <v>6</v>
      </c>
      <c r="E1069" t="s">
        <v>12</v>
      </c>
      <c r="F1069">
        <v>2029</v>
      </c>
      <c r="G1069">
        <v>0.59116684600000002</v>
      </c>
      <c r="H1069">
        <v>3.5000000000000003E-2</v>
      </c>
      <c r="I1069">
        <v>3</v>
      </c>
    </row>
    <row r="1070" spans="1:9" hidden="1" x14ac:dyDescent="0.25">
      <c r="A1070" t="s">
        <v>34</v>
      </c>
      <c r="B1070" t="s">
        <v>6</v>
      </c>
      <c r="C1070" t="s">
        <v>9</v>
      </c>
      <c r="D1070" t="s">
        <v>6</v>
      </c>
      <c r="E1070" t="s">
        <v>12</v>
      </c>
      <c r="F1070">
        <v>2030</v>
      </c>
      <c r="G1070">
        <v>0.60890185100000005</v>
      </c>
      <c r="H1070">
        <v>3.5000000000000003E-2</v>
      </c>
      <c r="I1070">
        <v>3</v>
      </c>
    </row>
    <row r="1071" spans="1:9" hidden="1" x14ac:dyDescent="0.25">
      <c r="A1071" t="s">
        <v>34</v>
      </c>
      <c r="B1071" t="s">
        <v>6</v>
      </c>
      <c r="C1071" t="s">
        <v>9</v>
      </c>
      <c r="D1071" t="s">
        <v>6</v>
      </c>
      <c r="E1071" t="s">
        <v>12</v>
      </c>
      <c r="F1071">
        <v>2031</v>
      </c>
      <c r="G1071">
        <v>0.62716890700000005</v>
      </c>
      <c r="H1071">
        <v>3.5000000000000003E-2</v>
      </c>
      <c r="I1071">
        <v>3</v>
      </c>
    </row>
    <row r="1072" spans="1:9" hidden="1" x14ac:dyDescent="0.25">
      <c r="A1072" t="s">
        <v>34</v>
      </c>
      <c r="B1072" t="s">
        <v>6</v>
      </c>
      <c r="C1072" t="s">
        <v>9</v>
      </c>
      <c r="D1072" t="s">
        <v>6</v>
      </c>
      <c r="E1072" t="s">
        <v>12</v>
      </c>
      <c r="F1072">
        <v>2032</v>
      </c>
      <c r="G1072">
        <v>0.64598397399999996</v>
      </c>
      <c r="H1072">
        <v>3.5000000000000003E-2</v>
      </c>
      <c r="I1072">
        <v>3.1</v>
      </c>
    </row>
    <row r="1073" spans="1:9" hidden="1" x14ac:dyDescent="0.25">
      <c r="A1073" t="s">
        <v>34</v>
      </c>
      <c r="B1073" t="s">
        <v>6</v>
      </c>
      <c r="C1073" t="s">
        <v>9</v>
      </c>
      <c r="D1073" t="s">
        <v>6</v>
      </c>
      <c r="E1073" t="s">
        <v>12</v>
      </c>
      <c r="F1073">
        <v>2033</v>
      </c>
      <c r="G1073">
        <v>0.66536349299999997</v>
      </c>
      <c r="H1073">
        <v>3.5000000000000003E-2</v>
      </c>
      <c r="I1073">
        <v>3.22</v>
      </c>
    </row>
    <row r="1074" spans="1:9" hidden="1" x14ac:dyDescent="0.25">
      <c r="A1074" t="s">
        <v>34</v>
      </c>
      <c r="B1074" t="s">
        <v>6</v>
      </c>
      <c r="C1074" t="s">
        <v>9</v>
      </c>
      <c r="D1074" t="s">
        <v>6</v>
      </c>
      <c r="E1074" t="s">
        <v>12</v>
      </c>
      <c r="F1074">
        <v>2034</v>
      </c>
      <c r="G1074">
        <v>0.685324398</v>
      </c>
      <c r="H1074">
        <v>3.5000000000000003E-2</v>
      </c>
      <c r="I1074">
        <v>3.33</v>
      </c>
    </row>
    <row r="1075" spans="1:9" hidden="1" x14ac:dyDescent="0.25">
      <c r="A1075" t="s">
        <v>34</v>
      </c>
      <c r="B1075" t="s">
        <v>6</v>
      </c>
      <c r="C1075" t="s">
        <v>9</v>
      </c>
      <c r="D1075" t="s">
        <v>6</v>
      </c>
      <c r="E1075" t="s">
        <v>12</v>
      </c>
      <c r="F1075">
        <v>2035</v>
      </c>
      <c r="G1075">
        <v>0.70588413000000005</v>
      </c>
      <c r="H1075">
        <v>3.5000000000000003E-2</v>
      </c>
      <c r="I1075">
        <v>3.45</v>
      </c>
    </row>
    <row r="1076" spans="1:9" hidden="1" x14ac:dyDescent="0.25">
      <c r="A1076" t="s">
        <v>34</v>
      </c>
      <c r="B1076" t="s">
        <v>6</v>
      </c>
      <c r="C1076" t="s">
        <v>9</v>
      </c>
      <c r="D1076" t="s">
        <v>6</v>
      </c>
      <c r="E1076" t="s">
        <v>12</v>
      </c>
      <c r="F1076">
        <v>2036</v>
      </c>
      <c r="G1076">
        <v>0.72706065399999997</v>
      </c>
      <c r="H1076">
        <v>3.5000000000000003E-2</v>
      </c>
      <c r="I1076">
        <v>3.58</v>
      </c>
    </row>
    <row r="1077" spans="1:9" hidden="1" x14ac:dyDescent="0.25">
      <c r="A1077" t="s">
        <v>34</v>
      </c>
      <c r="B1077" t="s">
        <v>6</v>
      </c>
      <c r="C1077" t="s">
        <v>9</v>
      </c>
      <c r="D1077" t="s">
        <v>6</v>
      </c>
      <c r="E1077" t="s">
        <v>12</v>
      </c>
      <c r="F1077">
        <v>2037</v>
      </c>
      <c r="G1077">
        <v>0.74887247300000004</v>
      </c>
      <c r="H1077">
        <v>3.5000000000000003E-2</v>
      </c>
      <c r="I1077">
        <v>3.71</v>
      </c>
    </row>
    <row r="1078" spans="1:9" hidden="1" x14ac:dyDescent="0.25">
      <c r="A1078" t="s">
        <v>34</v>
      </c>
      <c r="B1078" t="s">
        <v>6</v>
      </c>
      <c r="C1078" t="s">
        <v>9</v>
      </c>
      <c r="D1078" t="s">
        <v>6</v>
      </c>
      <c r="E1078" t="s">
        <v>12</v>
      </c>
      <c r="F1078">
        <v>2038</v>
      </c>
      <c r="G1078">
        <v>0.77133864799999996</v>
      </c>
      <c r="H1078">
        <v>3.5000000000000003E-2</v>
      </c>
      <c r="I1078">
        <v>3.84</v>
      </c>
    </row>
    <row r="1079" spans="1:9" hidden="1" x14ac:dyDescent="0.25">
      <c r="A1079" t="s">
        <v>34</v>
      </c>
      <c r="B1079" t="s">
        <v>6</v>
      </c>
      <c r="C1079" t="s">
        <v>9</v>
      </c>
      <c r="D1079" t="s">
        <v>6</v>
      </c>
      <c r="E1079" t="s">
        <v>12</v>
      </c>
      <c r="F1079">
        <v>2039</v>
      </c>
      <c r="G1079">
        <v>0.79447880699999995</v>
      </c>
      <c r="H1079">
        <v>3.5000000000000003E-2</v>
      </c>
      <c r="I1079">
        <v>3.98</v>
      </c>
    </row>
    <row r="1080" spans="1:9" hidden="1" x14ac:dyDescent="0.25">
      <c r="A1080" t="s">
        <v>34</v>
      </c>
      <c r="B1080" t="s">
        <v>6</v>
      </c>
      <c r="C1080" t="s">
        <v>9</v>
      </c>
      <c r="D1080" t="s">
        <v>6</v>
      </c>
      <c r="E1080" t="s">
        <v>12</v>
      </c>
      <c r="F1080">
        <v>2040</v>
      </c>
      <c r="G1080">
        <v>0.81831317100000001</v>
      </c>
      <c r="H1080">
        <v>3.5000000000000003E-2</v>
      </c>
      <c r="I1080">
        <v>4.13</v>
      </c>
    </row>
    <row r="1081" spans="1:9" hidden="1" x14ac:dyDescent="0.25">
      <c r="A1081" t="s">
        <v>34</v>
      </c>
      <c r="B1081" t="s">
        <v>6</v>
      </c>
      <c r="C1081" t="s">
        <v>9</v>
      </c>
      <c r="D1081" t="s">
        <v>6</v>
      </c>
      <c r="E1081" t="s">
        <v>12</v>
      </c>
      <c r="F1081">
        <v>2041</v>
      </c>
      <c r="G1081">
        <v>0.84286256599999998</v>
      </c>
      <c r="H1081">
        <v>3.5000000000000003E-2</v>
      </c>
      <c r="I1081">
        <v>4.28</v>
      </c>
    </row>
    <row r="1082" spans="1:9" hidden="1" x14ac:dyDescent="0.25">
      <c r="A1082" t="s">
        <v>34</v>
      </c>
      <c r="B1082" t="s">
        <v>6</v>
      </c>
      <c r="C1082" t="s">
        <v>12</v>
      </c>
      <c r="D1082" t="s">
        <v>6</v>
      </c>
      <c r="E1082" t="s">
        <v>8</v>
      </c>
      <c r="F1082">
        <v>2024</v>
      </c>
      <c r="G1082">
        <v>0.50994571399999999</v>
      </c>
      <c r="H1082">
        <v>3.5000000000000003E-2</v>
      </c>
      <c r="I1082">
        <v>0</v>
      </c>
    </row>
    <row r="1083" spans="1:9" hidden="1" x14ac:dyDescent="0.25">
      <c r="A1083" t="s">
        <v>34</v>
      </c>
      <c r="B1083" t="s">
        <v>6</v>
      </c>
      <c r="C1083" t="s">
        <v>12</v>
      </c>
      <c r="D1083" t="s">
        <v>6</v>
      </c>
      <c r="E1083" t="s">
        <v>8</v>
      </c>
      <c r="F1083">
        <v>2025</v>
      </c>
      <c r="G1083">
        <v>0.52524408600000005</v>
      </c>
      <c r="H1083">
        <v>3.5000000000000003E-2</v>
      </c>
      <c r="I1083">
        <v>0</v>
      </c>
    </row>
    <row r="1084" spans="1:9" hidden="1" x14ac:dyDescent="0.25">
      <c r="A1084" t="s">
        <v>34</v>
      </c>
      <c r="B1084" t="s">
        <v>6</v>
      </c>
      <c r="C1084" t="s">
        <v>12</v>
      </c>
      <c r="D1084" t="s">
        <v>6</v>
      </c>
      <c r="E1084" t="s">
        <v>8</v>
      </c>
      <c r="F1084">
        <v>2026</v>
      </c>
      <c r="G1084">
        <v>0.54100140799999996</v>
      </c>
      <c r="H1084">
        <v>3.5000000000000003E-2</v>
      </c>
      <c r="I1084">
        <v>0</v>
      </c>
    </row>
    <row r="1085" spans="1:9" hidden="1" x14ac:dyDescent="0.25">
      <c r="A1085" t="s">
        <v>34</v>
      </c>
      <c r="B1085" t="s">
        <v>6</v>
      </c>
      <c r="C1085" t="s">
        <v>12</v>
      </c>
      <c r="D1085" t="s">
        <v>6</v>
      </c>
      <c r="E1085" t="s">
        <v>8</v>
      </c>
      <c r="F1085">
        <v>2027</v>
      </c>
      <c r="G1085">
        <v>0.55723145100000004</v>
      </c>
      <c r="H1085">
        <v>3.5000000000000003E-2</v>
      </c>
      <c r="I1085">
        <v>0</v>
      </c>
    </row>
    <row r="1086" spans="1:9" hidden="1" x14ac:dyDescent="0.25">
      <c r="A1086" t="s">
        <v>34</v>
      </c>
      <c r="B1086" t="s">
        <v>6</v>
      </c>
      <c r="C1086" t="s">
        <v>12</v>
      </c>
      <c r="D1086" t="s">
        <v>6</v>
      </c>
      <c r="E1086" t="s">
        <v>8</v>
      </c>
      <c r="F1086">
        <v>2028</v>
      </c>
      <c r="G1086">
        <v>0.57394839399999997</v>
      </c>
      <c r="H1086">
        <v>3.5000000000000003E-2</v>
      </c>
      <c r="I1086">
        <v>0</v>
      </c>
    </row>
    <row r="1087" spans="1:9" hidden="1" x14ac:dyDescent="0.25">
      <c r="A1087" t="s">
        <v>34</v>
      </c>
      <c r="B1087" t="s">
        <v>6</v>
      </c>
      <c r="C1087" t="s">
        <v>12</v>
      </c>
      <c r="D1087" t="s">
        <v>6</v>
      </c>
      <c r="E1087" t="s">
        <v>8</v>
      </c>
      <c r="F1087">
        <v>2029</v>
      </c>
      <c r="G1087">
        <v>0.59116684600000002</v>
      </c>
      <c r="H1087">
        <v>3.5000000000000003E-2</v>
      </c>
      <c r="I1087">
        <v>0</v>
      </c>
    </row>
    <row r="1088" spans="1:9" hidden="1" x14ac:dyDescent="0.25">
      <c r="A1088" t="s">
        <v>34</v>
      </c>
      <c r="B1088" t="s">
        <v>6</v>
      </c>
      <c r="C1088" t="s">
        <v>12</v>
      </c>
      <c r="D1088" t="s">
        <v>6</v>
      </c>
      <c r="E1088" t="s">
        <v>8</v>
      </c>
      <c r="F1088">
        <v>2030</v>
      </c>
      <c r="G1088">
        <v>0.60890185100000005</v>
      </c>
      <c r="H1088">
        <v>3.5000000000000003E-2</v>
      </c>
      <c r="I1088">
        <v>0</v>
      </c>
    </row>
    <row r="1089" spans="1:9" hidden="1" x14ac:dyDescent="0.25">
      <c r="A1089" t="s">
        <v>34</v>
      </c>
      <c r="B1089" t="s">
        <v>6</v>
      </c>
      <c r="C1089" t="s">
        <v>12</v>
      </c>
      <c r="D1089" t="s">
        <v>6</v>
      </c>
      <c r="E1089" t="s">
        <v>8</v>
      </c>
      <c r="F1089">
        <v>2031</v>
      </c>
      <c r="G1089">
        <v>0.62716890700000005</v>
      </c>
      <c r="H1089">
        <v>3.5000000000000003E-2</v>
      </c>
      <c r="I1089">
        <v>0</v>
      </c>
    </row>
    <row r="1090" spans="1:9" hidden="1" x14ac:dyDescent="0.25">
      <c r="A1090" t="s">
        <v>34</v>
      </c>
      <c r="B1090" t="s">
        <v>6</v>
      </c>
      <c r="C1090" t="s">
        <v>12</v>
      </c>
      <c r="D1090" t="s">
        <v>6</v>
      </c>
      <c r="E1090" t="s">
        <v>8</v>
      </c>
      <c r="F1090">
        <v>2032</v>
      </c>
      <c r="G1090">
        <v>0.64598397399999996</v>
      </c>
      <c r="H1090">
        <v>3.5000000000000003E-2</v>
      </c>
      <c r="I1090">
        <v>0</v>
      </c>
    </row>
    <row r="1091" spans="1:9" hidden="1" x14ac:dyDescent="0.25">
      <c r="A1091" t="s">
        <v>34</v>
      </c>
      <c r="B1091" t="s">
        <v>6</v>
      </c>
      <c r="C1091" t="s">
        <v>12</v>
      </c>
      <c r="D1091" t="s">
        <v>6</v>
      </c>
      <c r="E1091" t="s">
        <v>8</v>
      </c>
      <c r="F1091">
        <v>2033</v>
      </c>
      <c r="G1091">
        <v>0.66536349299999997</v>
      </c>
      <c r="H1091">
        <v>3.5000000000000003E-2</v>
      </c>
      <c r="I1091">
        <v>0</v>
      </c>
    </row>
    <row r="1092" spans="1:9" hidden="1" x14ac:dyDescent="0.25">
      <c r="A1092" t="s">
        <v>34</v>
      </c>
      <c r="B1092" t="s">
        <v>6</v>
      </c>
      <c r="C1092" t="s">
        <v>12</v>
      </c>
      <c r="D1092" t="s">
        <v>6</v>
      </c>
      <c r="E1092" t="s">
        <v>8</v>
      </c>
      <c r="F1092">
        <v>2034</v>
      </c>
      <c r="G1092">
        <v>0.685324398</v>
      </c>
      <c r="H1092">
        <v>3.5000000000000003E-2</v>
      </c>
      <c r="I1092">
        <v>0</v>
      </c>
    </row>
    <row r="1093" spans="1:9" hidden="1" x14ac:dyDescent="0.25">
      <c r="A1093" t="s">
        <v>34</v>
      </c>
      <c r="B1093" t="s">
        <v>6</v>
      </c>
      <c r="C1093" t="s">
        <v>12</v>
      </c>
      <c r="D1093" t="s">
        <v>6</v>
      </c>
      <c r="E1093" t="s">
        <v>8</v>
      </c>
      <c r="F1093">
        <v>2035</v>
      </c>
      <c r="G1093">
        <v>0.70588413000000005</v>
      </c>
      <c r="H1093">
        <v>3.5000000000000003E-2</v>
      </c>
      <c r="I1093">
        <v>0</v>
      </c>
    </row>
    <row r="1094" spans="1:9" hidden="1" x14ac:dyDescent="0.25">
      <c r="A1094" t="s">
        <v>34</v>
      </c>
      <c r="B1094" t="s">
        <v>6</v>
      </c>
      <c r="C1094" t="s">
        <v>12</v>
      </c>
      <c r="D1094" t="s">
        <v>6</v>
      </c>
      <c r="E1094" t="s">
        <v>8</v>
      </c>
      <c r="F1094">
        <v>2036</v>
      </c>
      <c r="G1094">
        <v>0.72706065399999997</v>
      </c>
      <c r="H1094">
        <v>3.5000000000000003E-2</v>
      </c>
      <c r="I1094">
        <v>0</v>
      </c>
    </row>
    <row r="1095" spans="1:9" hidden="1" x14ac:dyDescent="0.25">
      <c r="A1095" t="s">
        <v>34</v>
      </c>
      <c r="B1095" t="s">
        <v>6</v>
      </c>
      <c r="C1095" t="s">
        <v>12</v>
      </c>
      <c r="D1095" t="s">
        <v>6</v>
      </c>
      <c r="E1095" t="s">
        <v>8</v>
      </c>
      <c r="F1095">
        <v>2037</v>
      </c>
      <c r="G1095">
        <v>0.74887247300000004</v>
      </c>
      <c r="H1095">
        <v>3.5000000000000003E-2</v>
      </c>
      <c r="I1095">
        <v>0</v>
      </c>
    </row>
    <row r="1096" spans="1:9" hidden="1" x14ac:dyDescent="0.25">
      <c r="A1096" t="s">
        <v>34</v>
      </c>
      <c r="B1096" t="s">
        <v>6</v>
      </c>
      <c r="C1096" t="s">
        <v>12</v>
      </c>
      <c r="D1096" t="s">
        <v>6</v>
      </c>
      <c r="E1096" t="s">
        <v>8</v>
      </c>
      <c r="F1096">
        <v>2038</v>
      </c>
      <c r="G1096">
        <v>0.77133864799999996</v>
      </c>
      <c r="H1096">
        <v>3.5000000000000003E-2</v>
      </c>
      <c r="I1096">
        <v>0</v>
      </c>
    </row>
    <row r="1097" spans="1:9" hidden="1" x14ac:dyDescent="0.25">
      <c r="A1097" t="s">
        <v>34</v>
      </c>
      <c r="B1097" t="s">
        <v>6</v>
      </c>
      <c r="C1097" t="s">
        <v>12</v>
      </c>
      <c r="D1097" t="s">
        <v>6</v>
      </c>
      <c r="E1097" t="s">
        <v>8</v>
      </c>
      <c r="F1097">
        <v>2039</v>
      </c>
      <c r="G1097">
        <v>0.79447880699999995</v>
      </c>
      <c r="H1097">
        <v>3.5000000000000003E-2</v>
      </c>
      <c r="I1097">
        <v>0</v>
      </c>
    </row>
    <row r="1098" spans="1:9" hidden="1" x14ac:dyDescent="0.25">
      <c r="A1098" t="s">
        <v>34</v>
      </c>
      <c r="B1098" t="s">
        <v>6</v>
      </c>
      <c r="C1098" t="s">
        <v>12</v>
      </c>
      <c r="D1098" t="s">
        <v>6</v>
      </c>
      <c r="E1098" t="s">
        <v>8</v>
      </c>
      <c r="F1098">
        <v>2040</v>
      </c>
      <c r="G1098">
        <v>0.81831317100000001</v>
      </c>
      <c r="H1098">
        <v>3.5000000000000003E-2</v>
      </c>
      <c r="I1098">
        <v>0</v>
      </c>
    </row>
    <row r="1099" spans="1:9" hidden="1" x14ac:dyDescent="0.25">
      <c r="A1099" t="s">
        <v>34</v>
      </c>
      <c r="B1099" t="s">
        <v>6</v>
      </c>
      <c r="C1099" t="s">
        <v>12</v>
      </c>
      <c r="D1099" t="s">
        <v>6</v>
      </c>
      <c r="E1099" t="s">
        <v>8</v>
      </c>
      <c r="F1099">
        <v>2041</v>
      </c>
      <c r="G1099">
        <v>0.84286256599999998</v>
      </c>
      <c r="H1099">
        <v>3.5000000000000003E-2</v>
      </c>
      <c r="I1099">
        <v>0</v>
      </c>
    </row>
    <row r="1100" spans="1:9" hidden="1" x14ac:dyDescent="0.25">
      <c r="A1100" t="s">
        <v>34</v>
      </c>
      <c r="B1100" t="s">
        <v>6</v>
      </c>
      <c r="C1100" t="s">
        <v>11</v>
      </c>
      <c r="D1100" t="s">
        <v>6</v>
      </c>
      <c r="E1100" t="s">
        <v>10</v>
      </c>
      <c r="F1100">
        <v>2024</v>
      </c>
      <c r="G1100">
        <v>0.50994571399999999</v>
      </c>
      <c r="H1100">
        <v>3.5000000000000003E-2</v>
      </c>
      <c r="I1100">
        <v>21.19</v>
      </c>
    </row>
    <row r="1101" spans="1:9" hidden="1" x14ac:dyDescent="0.25">
      <c r="A1101" t="s">
        <v>34</v>
      </c>
      <c r="B1101" t="s">
        <v>6</v>
      </c>
      <c r="C1101" t="s">
        <v>11</v>
      </c>
      <c r="D1101" t="s">
        <v>6</v>
      </c>
      <c r="E1101" t="s">
        <v>10</v>
      </c>
      <c r="F1101">
        <v>2025</v>
      </c>
      <c r="G1101">
        <v>0.52524408600000005</v>
      </c>
      <c r="H1101">
        <v>3.5000000000000003E-2</v>
      </c>
      <c r="I1101">
        <v>21.19</v>
      </c>
    </row>
    <row r="1102" spans="1:9" hidden="1" x14ac:dyDescent="0.25">
      <c r="A1102" t="s">
        <v>34</v>
      </c>
      <c r="B1102" t="s">
        <v>6</v>
      </c>
      <c r="C1102" t="s">
        <v>11</v>
      </c>
      <c r="D1102" t="s">
        <v>6</v>
      </c>
      <c r="E1102" t="s">
        <v>10</v>
      </c>
      <c r="F1102">
        <v>2026</v>
      </c>
      <c r="G1102">
        <v>0.54100140799999996</v>
      </c>
      <c r="H1102">
        <v>3.5000000000000003E-2</v>
      </c>
      <c r="I1102">
        <v>22.79</v>
      </c>
    </row>
    <row r="1103" spans="1:9" hidden="1" x14ac:dyDescent="0.25">
      <c r="A1103" t="s">
        <v>34</v>
      </c>
      <c r="B1103" t="s">
        <v>6</v>
      </c>
      <c r="C1103" t="s">
        <v>11</v>
      </c>
      <c r="D1103" t="s">
        <v>6</v>
      </c>
      <c r="E1103" t="s">
        <v>10</v>
      </c>
      <c r="F1103">
        <v>2027</v>
      </c>
      <c r="G1103">
        <v>0.55723145100000004</v>
      </c>
      <c r="H1103">
        <v>3.5000000000000003E-2</v>
      </c>
      <c r="I1103">
        <v>22.79</v>
      </c>
    </row>
    <row r="1104" spans="1:9" hidden="1" x14ac:dyDescent="0.25">
      <c r="A1104" t="s">
        <v>34</v>
      </c>
      <c r="B1104" t="s">
        <v>6</v>
      </c>
      <c r="C1104" t="s">
        <v>11</v>
      </c>
      <c r="D1104" t="s">
        <v>6</v>
      </c>
      <c r="E1104" t="s">
        <v>10</v>
      </c>
      <c r="F1104">
        <v>2028</v>
      </c>
      <c r="G1104">
        <v>0.57394839399999997</v>
      </c>
      <c r="H1104">
        <v>3.5000000000000003E-2</v>
      </c>
      <c r="I1104">
        <v>22.79</v>
      </c>
    </row>
    <row r="1105" spans="1:9" hidden="1" x14ac:dyDescent="0.25">
      <c r="A1105" t="s">
        <v>34</v>
      </c>
      <c r="B1105" t="s">
        <v>6</v>
      </c>
      <c r="C1105" t="s">
        <v>11</v>
      </c>
      <c r="D1105" t="s">
        <v>6</v>
      </c>
      <c r="E1105" t="s">
        <v>10</v>
      </c>
      <c r="F1105">
        <v>2029</v>
      </c>
      <c r="G1105">
        <v>0.59116684600000002</v>
      </c>
      <c r="H1105">
        <v>3.5000000000000003E-2</v>
      </c>
      <c r="I1105">
        <v>22.79</v>
      </c>
    </row>
    <row r="1106" spans="1:9" hidden="1" x14ac:dyDescent="0.25">
      <c r="A1106" t="s">
        <v>34</v>
      </c>
      <c r="B1106" t="s">
        <v>6</v>
      </c>
      <c r="C1106" t="s">
        <v>11</v>
      </c>
      <c r="D1106" t="s">
        <v>6</v>
      </c>
      <c r="E1106" t="s">
        <v>10</v>
      </c>
      <c r="F1106">
        <v>2030</v>
      </c>
      <c r="G1106">
        <v>0.60890185100000005</v>
      </c>
      <c r="H1106">
        <v>3.5000000000000003E-2</v>
      </c>
      <c r="I1106">
        <v>22.79</v>
      </c>
    </row>
    <row r="1107" spans="1:9" hidden="1" x14ac:dyDescent="0.25">
      <c r="A1107" t="s">
        <v>34</v>
      </c>
      <c r="B1107" t="s">
        <v>6</v>
      </c>
      <c r="C1107" t="s">
        <v>11</v>
      </c>
      <c r="D1107" t="s">
        <v>6</v>
      </c>
      <c r="E1107" t="s">
        <v>10</v>
      </c>
      <c r="F1107">
        <v>2031</v>
      </c>
      <c r="G1107">
        <v>0.62716890700000005</v>
      </c>
      <c r="H1107">
        <v>3.5000000000000003E-2</v>
      </c>
      <c r="I1107">
        <v>22.79</v>
      </c>
    </row>
    <row r="1108" spans="1:9" hidden="1" x14ac:dyDescent="0.25">
      <c r="A1108" t="s">
        <v>34</v>
      </c>
      <c r="B1108" t="s">
        <v>6</v>
      </c>
      <c r="C1108" t="s">
        <v>11</v>
      </c>
      <c r="D1108" t="s">
        <v>6</v>
      </c>
      <c r="E1108" t="s">
        <v>10</v>
      </c>
      <c r="F1108">
        <v>2032</v>
      </c>
      <c r="G1108">
        <v>0.64598397399999996</v>
      </c>
      <c r="H1108">
        <v>3.5000000000000003E-2</v>
      </c>
      <c r="I1108">
        <v>23.61</v>
      </c>
    </row>
    <row r="1109" spans="1:9" hidden="1" x14ac:dyDescent="0.25">
      <c r="A1109" t="s">
        <v>34</v>
      </c>
      <c r="B1109" t="s">
        <v>6</v>
      </c>
      <c r="C1109" t="s">
        <v>11</v>
      </c>
      <c r="D1109" t="s">
        <v>6</v>
      </c>
      <c r="E1109" t="s">
        <v>10</v>
      </c>
      <c r="F1109">
        <v>2033</v>
      </c>
      <c r="G1109">
        <v>0.66536349299999997</v>
      </c>
      <c r="H1109">
        <v>3.5000000000000003E-2</v>
      </c>
      <c r="I1109">
        <v>24.47</v>
      </c>
    </row>
    <row r="1110" spans="1:9" hidden="1" x14ac:dyDescent="0.25">
      <c r="A1110" t="s">
        <v>34</v>
      </c>
      <c r="B1110" t="s">
        <v>6</v>
      </c>
      <c r="C1110" t="s">
        <v>11</v>
      </c>
      <c r="D1110" t="s">
        <v>6</v>
      </c>
      <c r="E1110" t="s">
        <v>10</v>
      </c>
      <c r="F1110">
        <v>2034</v>
      </c>
      <c r="G1110">
        <v>0.685324398</v>
      </c>
      <c r="H1110">
        <v>3.5000000000000003E-2</v>
      </c>
      <c r="I1110">
        <v>25.35</v>
      </c>
    </row>
    <row r="1111" spans="1:9" hidden="1" x14ac:dyDescent="0.25">
      <c r="A1111" t="s">
        <v>34</v>
      </c>
      <c r="B1111" t="s">
        <v>6</v>
      </c>
      <c r="C1111" t="s">
        <v>11</v>
      </c>
      <c r="D1111" t="s">
        <v>6</v>
      </c>
      <c r="E1111" t="s">
        <v>10</v>
      </c>
      <c r="F1111">
        <v>2035</v>
      </c>
      <c r="G1111">
        <v>0.70588413000000005</v>
      </c>
      <c r="H1111">
        <v>3.5000000000000003E-2</v>
      </c>
      <c r="I1111">
        <v>26.27</v>
      </c>
    </row>
    <row r="1112" spans="1:9" hidden="1" x14ac:dyDescent="0.25">
      <c r="A1112" t="s">
        <v>34</v>
      </c>
      <c r="B1112" t="s">
        <v>6</v>
      </c>
      <c r="C1112" t="s">
        <v>11</v>
      </c>
      <c r="D1112" t="s">
        <v>6</v>
      </c>
      <c r="E1112" t="s">
        <v>10</v>
      </c>
      <c r="F1112">
        <v>2036</v>
      </c>
      <c r="G1112">
        <v>0.72706065399999997</v>
      </c>
      <c r="H1112">
        <v>3.5000000000000003E-2</v>
      </c>
      <c r="I1112">
        <v>27.22</v>
      </c>
    </row>
    <row r="1113" spans="1:9" hidden="1" x14ac:dyDescent="0.25">
      <c r="A1113" t="s">
        <v>34</v>
      </c>
      <c r="B1113" t="s">
        <v>6</v>
      </c>
      <c r="C1113" t="s">
        <v>11</v>
      </c>
      <c r="D1113" t="s">
        <v>6</v>
      </c>
      <c r="E1113" t="s">
        <v>10</v>
      </c>
      <c r="F1113">
        <v>2037</v>
      </c>
      <c r="G1113">
        <v>0.74887247300000004</v>
      </c>
      <c r="H1113">
        <v>3.5000000000000003E-2</v>
      </c>
      <c r="I1113">
        <v>28.21</v>
      </c>
    </row>
    <row r="1114" spans="1:9" hidden="1" x14ac:dyDescent="0.25">
      <c r="A1114" t="s">
        <v>34</v>
      </c>
      <c r="B1114" t="s">
        <v>6</v>
      </c>
      <c r="C1114" t="s">
        <v>11</v>
      </c>
      <c r="D1114" t="s">
        <v>6</v>
      </c>
      <c r="E1114" t="s">
        <v>10</v>
      </c>
      <c r="F1114">
        <v>2038</v>
      </c>
      <c r="G1114">
        <v>0.77133864799999996</v>
      </c>
      <c r="H1114">
        <v>3.5000000000000003E-2</v>
      </c>
      <c r="I1114">
        <v>29.23</v>
      </c>
    </row>
    <row r="1115" spans="1:9" hidden="1" x14ac:dyDescent="0.25">
      <c r="A1115" t="s">
        <v>34</v>
      </c>
      <c r="B1115" t="s">
        <v>6</v>
      </c>
      <c r="C1115" t="s">
        <v>11</v>
      </c>
      <c r="D1115" t="s">
        <v>6</v>
      </c>
      <c r="E1115" t="s">
        <v>10</v>
      </c>
      <c r="F1115">
        <v>2039</v>
      </c>
      <c r="G1115">
        <v>0.79447880699999995</v>
      </c>
      <c r="H1115">
        <v>3.5000000000000003E-2</v>
      </c>
      <c r="I1115">
        <v>30.29</v>
      </c>
    </row>
    <row r="1116" spans="1:9" hidden="1" x14ac:dyDescent="0.25">
      <c r="A1116" t="s">
        <v>34</v>
      </c>
      <c r="B1116" t="s">
        <v>6</v>
      </c>
      <c r="C1116" t="s">
        <v>11</v>
      </c>
      <c r="D1116" t="s">
        <v>6</v>
      </c>
      <c r="E1116" t="s">
        <v>10</v>
      </c>
      <c r="F1116">
        <v>2040</v>
      </c>
      <c r="G1116">
        <v>0.81831317100000001</v>
      </c>
      <c r="H1116">
        <v>3.5000000000000003E-2</v>
      </c>
      <c r="I1116">
        <v>31.38</v>
      </c>
    </row>
    <row r="1117" spans="1:9" hidden="1" x14ac:dyDescent="0.25">
      <c r="A1117" t="s">
        <v>34</v>
      </c>
      <c r="B1117" t="s">
        <v>6</v>
      </c>
      <c r="C1117" t="s">
        <v>11</v>
      </c>
      <c r="D1117" t="s">
        <v>6</v>
      </c>
      <c r="E1117" t="s">
        <v>10</v>
      </c>
      <c r="F1117">
        <v>2041</v>
      </c>
      <c r="G1117">
        <v>0.84286256599999998</v>
      </c>
      <c r="H1117">
        <v>3.5000000000000003E-2</v>
      </c>
      <c r="I1117">
        <v>32.520000000000003</v>
      </c>
    </row>
    <row r="1118" spans="1:9" hidden="1" x14ac:dyDescent="0.25">
      <c r="A1118" t="s">
        <v>34</v>
      </c>
      <c r="B1118" t="s">
        <v>6</v>
      </c>
      <c r="C1118" t="s">
        <v>8</v>
      </c>
      <c r="D1118" t="s">
        <v>6</v>
      </c>
      <c r="E1118" t="s">
        <v>9</v>
      </c>
      <c r="F1118">
        <v>2024</v>
      </c>
      <c r="G1118">
        <v>0.50994571399999999</v>
      </c>
      <c r="H1118">
        <v>3.5000000000000003E-2</v>
      </c>
      <c r="I1118">
        <v>0</v>
      </c>
    </row>
    <row r="1119" spans="1:9" hidden="1" x14ac:dyDescent="0.25">
      <c r="A1119" t="s">
        <v>34</v>
      </c>
      <c r="B1119" t="s">
        <v>6</v>
      </c>
      <c r="C1119" t="s">
        <v>8</v>
      </c>
      <c r="D1119" t="s">
        <v>6</v>
      </c>
      <c r="E1119" t="s">
        <v>9</v>
      </c>
      <c r="F1119">
        <v>2025</v>
      </c>
      <c r="G1119">
        <v>0.52524408600000005</v>
      </c>
      <c r="H1119">
        <v>3.5000000000000003E-2</v>
      </c>
      <c r="I1119">
        <v>0</v>
      </c>
    </row>
    <row r="1120" spans="1:9" hidden="1" x14ac:dyDescent="0.25">
      <c r="A1120" t="s">
        <v>34</v>
      </c>
      <c r="B1120" t="s">
        <v>6</v>
      </c>
      <c r="C1120" t="s">
        <v>8</v>
      </c>
      <c r="D1120" t="s">
        <v>6</v>
      </c>
      <c r="E1120" t="s">
        <v>9</v>
      </c>
      <c r="F1120">
        <v>2026</v>
      </c>
      <c r="G1120">
        <v>0.54100140799999996</v>
      </c>
      <c r="H1120">
        <v>3.5000000000000003E-2</v>
      </c>
      <c r="I1120">
        <v>0</v>
      </c>
    </row>
    <row r="1121" spans="1:9" hidden="1" x14ac:dyDescent="0.25">
      <c r="A1121" t="s">
        <v>34</v>
      </c>
      <c r="B1121" t="s">
        <v>6</v>
      </c>
      <c r="C1121" t="s">
        <v>8</v>
      </c>
      <c r="D1121" t="s">
        <v>6</v>
      </c>
      <c r="E1121" t="s">
        <v>9</v>
      </c>
      <c r="F1121">
        <v>2027</v>
      </c>
      <c r="G1121">
        <v>0.55723145100000004</v>
      </c>
      <c r="H1121">
        <v>3.5000000000000003E-2</v>
      </c>
      <c r="I1121">
        <v>0</v>
      </c>
    </row>
    <row r="1122" spans="1:9" hidden="1" x14ac:dyDescent="0.25">
      <c r="A1122" t="s">
        <v>34</v>
      </c>
      <c r="B1122" t="s">
        <v>6</v>
      </c>
      <c r="C1122" t="s">
        <v>8</v>
      </c>
      <c r="D1122" t="s">
        <v>6</v>
      </c>
      <c r="E1122" t="s">
        <v>9</v>
      </c>
      <c r="F1122">
        <v>2028</v>
      </c>
      <c r="G1122">
        <v>0.57394839399999997</v>
      </c>
      <c r="H1122">
        <v>3.5000000000000003E-2</v>
      </c>
      <c r="I1122">
        <v>0</v>
      </c>
    </row>
    <row r="1123" spans="1:9" hidden="1" x14ac:dyDescent="0.25">
      <c r="A1123" t="s">
        <v>34</v>
      </c>
      <c r="B1123" t="s">
        <v>6</v>
      </c>
      <c r="C1123" t="s">
        <v>8</v>
      </c>
      <c r="D1123" t="s">
        <v>6</v>
      </c>
      <c r="E1123" t="s">
        <v>9</v>
      </c>
      <c r="F1123">
        <v>2029</v>
      </c>
      <c r="G1123">
        <v>0.59116684600000002</v>
      </c>
      <c r="H1123">
        <v>3.5000000000000003E-2</v>
      </c>
      <c r="I1123">
        <v>0</v>
      </c>
    </row>
    <row r="1124" spans="1:9" hidden="1" x14ac:dyDescent="0.25">
      <c r="A1124" t="s">
        <v>34</v>
      </c>
      <c r="B1124" t="s">
        <v>6</v>
      </c>
      <c r="C1124" t="s">
        <v>8</v>
      </c>
      <c r="D1124" t="s">
        <v>6</v>
      </c>
      <c r="E1124" t="s">
        <v>9</v>
      </c>
      <c r="F1124">
        <v>2030</v>
      </c>
      <c r="G1124">
        <v>0.60890185100000005</v>
      </c>
      <c r="H1124">
        <v>3.5000000000000003E-2</v>
      </c>
      <c r="I1124">
        <v>0</v>
      </c>
    </row>
    <row r="1125" spans="1:9" hidden="1" x14ac:dyDescent="0.25">
      <c r="A1125" t="s">
        <v>34</v>
      </c>
      <c r="B1125" t="s">
        <v>6</v>
      </c>
      <c r="C1125" t="s">
        <v>8</v>
      </c>
      <c r="D1125" t="s">
        <v>6</v>
      </c>
      <c r="E1125" t="s">
        <v>9</v>
      </c>
      <c r="F1125">
        <v>2031</v>
      </c>
      <c r="G1125">
        <v>0.62716890700000005</v>
      </c>
      <c r="H1125">
        <v>3.5000000000000003E-2</v>
      </c>
      <c r="I1125">
        <v>0</v>
      </c>
    </row>
    <row r="1126" spans="1:9" hidden="1" x14ac:dyDescent="0.25">
      <c r="A1126" t="s">
        <v>34</v>
      </c>
      <c r="B1126" t="s">
        <v>6</v>
      </c>
      <c r="C1126" t="s">
        <v>8</v>
      </c>
      <c r="D1126" t="s">
        <v>6</v>
      </c>
      <c r="E1126" t="s">
        <v>9</v>
      </c>
      <c r="F1126">
        <v>2032</v>
      </c>
      <c r="G1126">
        <v>0.64598397399999996</v>
      </c>
      <c r="H1126">
        <v>3.5000000000000003E-2</v>
      </c>
      <c r="I1126">
        <v>0</v>
      </c>
    </row>
    <row r="1127" spans="1:9" hidden="1" x14ac:dyDescent="0.25">
      <c r="A1127" t="s">
        <v>34</v>
      </c>
      <c r="B1127" t="s">
        <v>6</v>
      </c>
      <c r="C1127" t="s">
        <v>8</v>
      </c>
      <c r="D1127" t="s">
        <v>6</v>
      </c>
      <c r="E1127" t="s">
        <v>9</v>
      </c>
      <c r="F1127">
        <v>2033</v>
      </c>
      <c r="G1127">
        <v>0.66536349299999997</v>
      </c>
      <c r="H1127">
        <v>3.5000000000000003E-2</v>
      </c>
      <c r="I1127">
        <v>0</v>
      </c>
    </row>
    <row r="1128" spans="1:9" hidden="1" x14ac:dyDescent="0.25">
      <c r="A1128" t="s">
        <v>34</v>
      </c>
      <c r="B1128" t="s">
        <v>6</v>
      </c>
      <c r="C1128" t="s">
        <v>8</v>
      </c>
      <c r="D1128" t="s">
        <v>6</v>
      </c>
      <c r="E1128" t="s">
        <v>9</v>
      </c>
      <c r="F1128">
        <v>2034</v>
      </c>
      <c r="G1128">
        <v>0.685324398</v>
      </c>
      <c r="H1128">
        <v>3.5000000000000003E-2</v>
      </c>
      <c r="I1128">
        <v>0</v>
      </c>
    </row>
    <row r="1129" spans="1:9" hidden="1" x14ac:dyDescent="0.25">
      <c r="A1129" t="s">
        <v>34</v>
      </c>
      <c r="B1129" t="s">
        <v>6</v>
      </c>
      <c r="C1129" t="s">
        <v>8</v>
      </c>
      <c r="D1129" t="s">
        <v>6</v>
      </c>
      <c r="E1129" t="s">
        <v>9</v>
      </c>
      <c r="F1129">
        <v>2035</v>
      </c>
      <c r="G1129">
        <v>0.70588413000000005</v>
      </c>
      <c r="H1129">
        <v>3.5000000000000003E-2</v>
      </c>
      <c r="I1129">
        <v>0</v>
      </c>
    </row>
    <row r="1130" spans="1:9" hidden="1" x14ac:dyDescent="0.25">
      <c r="A1130" t="s">
        <v>34</v>
      </c>
      <c r="B1130" t="s">
        <v>6</v>
      </c>
      <c r="C1130" t="s">
        <v>8</v>
      </c>
      <c r="D1130" t="s">
        <v>6</v>
      </c>
      <c r="E1130" t="s">
        <v>9</v>
      </c>
      <c r="F1130">
        <v>2036</v>
      </c>
      <c r="G1130">
        <v>0.72706065399999997</v>
      </c>
      <c r="H1130">
        <v>3.5000000000000003E-2</v>
      </c>
      <c r="I1130">
        <v>0</v>
      </c>
    </row>
    <row r="1131" spans="1:9" hidden="1" x14ac:dyDescent="0.25">
      <c r="A1131" t="s">
        <v>34</v>
      </c>
      <c r="B1131" t="s">
        <v>6</v>
      </c>
      <c r="C1131" t="s">
        <v>8</v>
      </c>
      <c r="D1131" t="s">
        <v>6</v>
      </c>
      <c r="E1131" t="s">
        <v>9</v>
      </c>
      <c r="F1131">
        <v>2037</v>
      </c>
      <c r="G1131">
        <v>0.74887247300000004</v>
      </c>
      <c r="H1131">
        <v>3.5000000000000003E-2</v>
      </c>
      <c r="I1131">
        <v>0</v>
      </c>
    </row>
    <row r="1132" spans="1:9" hidden="1" x14ac:dyDescent="0.25">
      <c r="A1132" t="s">
        <v>34</v>
      </c>
      <c r="B1132" t="s">
        <v>6</v>
      </c>
      <c r="C1132" t="s">
        <v>8</v>
      </c>
      <c r="D1132" t="s">
        <v>6</v>
      </c>
      <c r="E1132" t="s">
        <v>9</v>
      </c>
      <c r="F1132">
        <v>2038</v>
      </c>
      <c r="G1132">
        <v>0.77133864799999996</v>
      </c>
      <c r="H1132">
        <v>3.5000000000000003E-2</v>
      </c>
      <c r="I1132">
        <v>0</v>
      </c>
    </row>
    <row r="1133" spans="1:9" hidden="1" x14ac:dyDescent="0.25">
      <c r="A1133" t="s">
        <v>34</v>
      </c>
      <c r="B1133" t="s">
        <v>6</v>
      </c>
      <c r="C1133" t="s">
        <v>8</v>
      </c>
      <c r="D1133" t="s">
        <v>6</v>
      </c>
      <c r="E1133" t="s">
        <v>9</v>
      </c>
      <c r="F1133">
        <v>2039</v>
      </c>
      <c r="G1133">
        <v>0.79447880699999995</v>
      </c>
      <c r="H1133">
        <v>3.5000000000000003E-2</v>
      </c>
      <c r="I1133">
        <v>0</v>
      </c>
    </row>
    <row r="1134" spans="1:9" hidden="1" x14ac:dyDescent="0.25">
      <c r="A1134" t="s">
        <v>34</v>
      </c>
      <c r="B1134" t="s">
        <v>6</v>
      </c>
      <c r="C1134" t="s">
        <v>8</v>
      </c>
      <c r="D1134" t="s">
        <v>6</v>
      </c>
      <c r="E1134" t="s">
        <v>9</v>
      </c>
      <c r="F1134">
        <v>2040</v>
      </c>
      <c r="G1134">
        <v>0.81831317100000001</v>
      </c>
      <c r="H1134">
        <v>3.5000000000000003E-2</v>
      </c>
      <c r="I1134">
        <v>0</v>
      </c>
    </row>
    <row r="1135" spans="1:9" hidden="1" x14ac:dyDescent="0.25">
      <c r="A1135" t="s">
        <v>34</v>
      </c>
      <c r="B1135" t="s">
        <v>6</v>
      </c>
      <c r="C1135" t="s">
        <v>8</v>
      </c>
      <c r="D1135" t="s">
        <v>6</v>
      </c>
      <c r="E1135" t="s">
        <v>9</v>
      </c>
      <c r="F1135">
        <v>2041</v>
      </c>
      <c r="G1135">
        <v>0.84286256599999998</v>
      </c>
      <c r="H1135">
        <v>3.5000000000000003E-2</v>
      </c>
      <c r="I1135">
        <v>0</v>
      </c>
    </row>
    <row r="1136" spans="1:9" hidden="1" x14ac:dyDescent="0.25">
      <c r="A1136" t="s">
        <v>34</v>
      </c>
      <c r="B1136" t="s">
        <v>6</v>
      </c>
      <c r="C1136" t="s">
        <v>10</v>
      </c>
      <c r="D1136" t="s">
        <v>6</v>
      </c>
      <c r="E1136" t="s">
        <v>12</v>
      </c>
      <c r="F1136">
        <v>2024</v>
      </c>
      <c r="G1136">
        <v>0.50994571399999999</v>
      </c>
      <c r="H1136">
        <v>3.5000000000000003E-2</v>
      </c>
      <c r="I1136">
        <v>22.53</v>
      </c>
    </row>
    <row r="1137" spans="1:9" hidden="1" x14ac:dyDescent="0.25">
      <c r="A1137" t="s">
        <v>34</v>
      </c>
      <c r="B1137" t="s">
        <v>6</v>
      </c>
      <c r="C1137" t="s">
        <v>10</v>
      </c>
      <c r="D1137" t="s">
        <v>6</v>
      </c>
      <c r="E1137" t="s">
        <v>12</v>
      </c>
      <c r="F1137">
        <v>2025</v>
      </c>
      <c r="G1137">
        <v>0.52524408600000005</v>
      </c>
      <c r="H1137">
        <v>3.5000000000000003E-2</v>
      </c>
      <c r="I1137">
        <v>22.53</v>
      </c>
    </row>
    <row r="1138" spans="1:9" hidden="1" x14ac:dyDescent="0.25">
      <c r="A1138" t="s">
        <v>34</v>
      </c>
      <c r="B1138" t="s">
        <v>6</v>
      </c>
      <c r="C1138" t="s">
        <v>10</v>
      </c>
      <c r="D1138" t="s">
        <v>6</v>
      </c>
      <c r="E1138" t="s">
        <v>12</v>
      </c>
      <c r="F1138">
        <v>2026</v>
      </c>
      <c r="G1138">
        <v>0.54100140799999996</v>
      </c>
      <c r="H1138">
        <v>3.5000000000000003E-2</v>
      </c>
      <c r="I1138">
        <v>22.53</v>
      </c>
    </row>
    <row r="1139" spans="1:9" hidden="1" x14ac:dyDescent="0.25">
      <c r="A1139" t="s">
        <v>34</v>
      </c>
      <c r="B1139" t="s">
        <v>6</v>
      </c>
      <c r="C1139" t="s">
        <v>10</v>
      </c>
      <c r="D1139" t="s">
        <v>6</v>
      </c>
      <c r="E1139" t="s">
        <v>12</v>
      </c>
      <c r="F1139">
        <v>2027</v>
      </c>
      <c r="G1139">
        <v>0.55723145100000004</v>
      </c>
      <c r="H1139">
        <v>3.5000000000000003E-2</v>
      </c>
      <c r="I1139">
        <v>22.53</v>
      </c>
    </row>
    <row r="1140" spans="1:9" hidden="1" x14ac:dyDescent="0.25">
      <c r="A1140" t="s">
        <v>34</v>
      </c>
      <c r="B1140" t="s">
        <v>6</v>
      </c>
      <c r="C1140" t="s">
        <v>10</v>
      </c>
      <c r="D1140" t="s">
        <v>6</v>
      </c>
      <c r="E1140" t="s">
        <v>12</v>
      </c>
      <c r="F1140">
        <v>2028</v>
      </c>
      <c r="G1140">
        <v>0.57394839399999997</v>
      </c>
      <c r="H1140">
        <v>3.5000000000000003E-2</v>
      </c>
      <c r="I1140">
        <v>22.53</v>
      </c>
    </row>
    <row r="1141" spans="1:9" hidden="1" x14ac:dyDescent="0.25">
      <c r="A1141" t="s">
        <v>34</v>
      </c>
      <c r="B1141" t="s">
        <v>6</v>
      </c>
      <c r="C1141" t="s">
        <v>10</v>
      </c>
      <c r="D1141" t="s">
        <v>6</v>
      </c>
      <c r="E1141" t="s">
        <v>12</v>
      </c>
      <c r="F1141">
        <v>2029</v>
      </c>
      <c r="G1141">
        <v>0.59116684600000002</v>
      </c>
      <c r="H1141">
        <v>3.5000000000000003E-2</v>
      </c>
      <c r="I1141">
        <v>22.53</v>
      </c>
    </row>
    <row r="1142" spans="1:9" hidden="1" x14ac:dyDescent="0.25">
      <c r="A1142" t="s">
        <v>34</v>
      </c>
      <c r="B1142" t="s">
        <v>6</v>
      </c>
      <c r="C1142" t="s">
        <v>10</v>
      </c>
      <c r="D1142" t="s">
        <v>6</v>
      </c>
      <c r="E1142" t="s">
        <v>12</v>
      </c>
      <c r="F1142">
        <v>2030</v>
      </c>
      <c r="G1142">
        <v>0.60890185100000005</v>
      </c>
      <c r="H1142">
        <v>3.5000000000000003E-2</v>
      </c>
      <c r="I1142">
        <v>22.53</v>
      </c>
    </row>
    <row r="1143" spans="1:9" hidden="1" x14ac:dyDescent="0.25">
      <c r="A1143" t="s">
        <v>34</v>
      </c>
      <c r="B1143" t="s">
        <v>6</v>
      </c>
      <c r="C1143" t="s">
        <v>10</v>
      </c>
      <c r="D1143" t="s">
        <v>6</v>
      </c>
      <c r="E1143" t="s">
        <v>12</v>
      </c>
      <c r="F1143">
        <v>2031</v>
      </c>
      <c r="G1143">
        <v>0.62716890700000005</v>
      </c>
      <c r="H1143">
        <v>3.5000000000000003E-2</v>
      </c>
      <c r="I1143">
        <v>22.53</v>
      </c>
    </row>
    <row r="1144" spans="1:9" hidden="1" x14ac:dyDescent="0.25">
      <c r="A1144" t="s">
        <v>34</v>
      </c>
      <c r="B1144" t="s">
        <v>6</v>
      </c>
      <c r="C1144" t="s">
        <v>10</v>
      </c>
      <c r="D1144" t="s">
        <v>6</v>
      </c>
      <c r="E1144" t="s">
        <v>12</v>
      </c>
      <c r="F1144">
        <v>2032</v>
      </c>
      <c r="G1144">
        <v>0.64598397399999996</v>
      </c>
      <c r="H1144">
        <v>3.5000000000000003E-2</v>
      </c>
      <c r="I1144">
        <v>23.34</v>
      </c>
    </row>
    <row r="1145" spans="1:9" hidden="1" x14ac:dyDescent="0.25">
      <c r="A1145" t="s">
        <v>34</v>
      </c>
      <c r="B1145" t="s">
        <v>6</v>
      </c>
      <c r="C1145" t="s">
        <v>10</v>
      </c>
      <c r="D1145" t="s">
        <v>6</v>
      </c>
      <c r="E1145" t="s">
        <v>12</v>
      </c>
      <c r="F1145">
        <v>2033</v>
      </c>
      <c r="G1145">
        <v>0.66536349299999997</v>
      </c>
      <c r="H1145">
        <v>3.5000000000000003E-2</v>
      </c>
      <c r="I1145">
        <v>24.19</v>
      </c>
    </row>
    <row r="1146" spans="1:9" hidden="1" x14ac:dyDescent="0.25">
      <c r="A1146" t="s">
        <v>34</v>
      </c>
      <c r="B1146" t="s">
        <v>6</v>
      </c>
      <c r="C1146" t="s">
        <v>10</v>
      </c>
      <c r="D1146" t="s">
        <v>6</v>
      </c>
      <c r="E1146" t="s">
        <v>12</v>
      </c>
      <c r="F1146">
        <v>2034</v>
      </c>
      <c r="G1146">
        <v>0.685324398</v>
      </c>
      <c r="H1146">
        <v>3.5000000000000003E-2</v>
      </c>
      <c r="I1146">
        <v>25.06</v>
      </c>
    </row>
    <row r="1147" spans="1:9" hidden="1" x14ac:dyDescent="0.25">
      <c r="A1147" t="s">
        <v>34</v>
      </c>
      <c r="B1147" t="s">
        <v>6</v>
      </c>
      <c r="C1147" t="s">
        <v>10</v>
      </c>
      <c r="D1147" t="s">
        <v>6</v>
      </c>
      <c r="E1147" t="s">
        <v>12</v>
      </c>
      <c r="F1147">
        <v>2035</v>
      </c>
      <c r="G1147">
        <v>0.70588413000000005</v>
      </c>
      <c r="H1147">
        <v>3.5000000000000003E-2</v>
      </c>
      <c r="I1147">
        <v>25.97</v>
      </c>
    </row>
    <row r="1148" spans="1:9" hidden="1" x14ac:dyDescent="0.25">
      <c r="A1148" t="s">
        <v>34</v>
      </c>
      <c r="B1148" t="s">
        <v>6</v>
      </c>
      <c r="C1148" t="s">
        <v>10</v>
      </c>
      <c r="D1148" t="s">
        <v>6</v>
      </c>
      <c r="E1148" t="s">
        <v>12</v>
      </c>
      <c r="F1148">
        <v>2036</v>
      </c>
      <c r="G1148">
        <v>0.72706065399999997</v>
      </c>
      <c r="H1148">
        <v>3.5000000000000003E-2</v>
      </c>
      <c r="I1148">
        <v>26.91</v>
      </c>
    </row>
    <row r="1149" spans="1:9" hidden="1" x14ac:dyDescent="0.25">
      <c r="A1149" t="s">
        <v>34</v>
      </c>
      <c r="B1149" t="s">
        <v>6</v>
      </c>
      <c r="C1149" t="s">
        <v>10</v>
      </c>
      <c r="D1149" t="s">
        <v>6</v>
      </c>
      <c r="E1149" t="s">
        <v>12</v>
      </c>
      <c r="F1149">
        <v>2037</v>
      </c>
      <c r="G1149">
        <v>0.74887247300000004</v>
      </c>
      <c r="H1149">
        <v>3.5000000000000003E-2</v>
      </c>
      <c r="I1149">
        <v>27.89</v>
      </c>
    </row>
    <row r="1150" spans="1:9" hidden="1" x14ac:dyDescent="0.25">
      <c r="A1150" t="s">
        <v>34</v>
      </c>
      <c r="B1150" t="s">
        <v>6</v>
      </c>
      <c r="C1150" t="s">
        <v>10</v>
      </c>
      <c r="D1150" t="s">
        <v>6</v>
      </c>
      <c r="E1150" t="s">
        <v>12</v>
      </c>
      <c r="F1150">
        <v>2038</v>
      </c>
      <c r="G1150">
        <v>0.77133864799999996</v>
      </c>
      <c r="H1150">
        <v>3.5000000000000003E-2</v>
      </c>
      <c r="I1150">
        <v>28.89</v>
      </c>
    </row>
    <row r="1151" spans="1:9" hidden="1" x14ac:dyDescent="0.25">
      <c r="A1151" t="s">
        <v>34</v>
      </c>
      <c r="B1151" t="s">
        <v>6</v>
      </c>
      <c r="C1151" t="s">
        <v>10</v>
      </c>
      <c r="D1151" t="s">
        <v>6</v>
      </c>
      <c r="E1151" t="s">
        <v>12</v>
      </c>
      <c r="F1151">
        <v>2039</v>
      </c>
      <c r="G1151">
        <v>0.79447880699999995</v>
      </c>
      <c r="H1151">
        <v>3.5000000000000003E-2</v>
      </c>
      <c r="I1151">
        <v>29.94</v>
      </c>
    </row>
    <row r="1152" spans="1:9" hidden="1" x14ac:dyDescent="0.25">
      <c r="A1152" t="s">
        <v>34</v>
      </c>
      <c r="B1152" t="s">
        <v>6</v>
      </c>
      <c r="C1152" t="s">
        <v>10</v>
      </c>
      <c r="D1152" t="s">
        <v>6</v>
      </c>
      <c r="E1152" t="s">
        <v>12</v>
      </c>
      <c r="F1152">
        <v>2040</v>
      </c>
      <c r="G1152">
        <v>0.81831317100000001</v>
      </c>
      <c r="H1152">
        <v>3.5000000000000003E-2</v>
      </c>
      <c r="I1152">
        <v>31.03</v>
      </c>
    </row>
    <row r="1153" spans="1:9" hidden="1" x14ac:dyDescent="0.25">
      <c r="A1153" t="s">
        <v>34</v>
      </c>
      <c r="B1153" t="s">
        <v>6</v>
      </c>
      <c r="C1153" t="s">
        <v>10</v>
      </c>
      <c r="D1153" t="s">
        <v>6</v>
      </c>
      <c r="E1153" t="s">
        <v>12</v>
      </c>
      <c r="F1153">
        <v>2041</v>
      </c>
      <c r="G1153">
        <v>0.84286256599999998</v>
      </c>
      <c r="H1153">
        <v>3.5000000000000003E-2</v>
      </c>
      <c r="I1153">
        <v>32.15</v>
      </c>
    </row>
    <row r="1154" spans="1:9" hidden="1" x14ac:dyDescent="0.25">
      <c r="A1154" t="s">
        <v>34</v>
      </c>
      <c r="B1154" t="s">
        <v>6</v>
      </c>
      <c r="C1154" t="s">
        <v>9</v>
      </c>
      <c r="D1154" t="s">
        <v>6</v>
      </c>
      <c r="E1154" t="s">
        <v>11</v>
      </c>
      <c r="F1154">
        <v>2024</v>
      </c>
      <c r="G1154">
        <v>0.50994571399999999</v>
      </c>
      <c r="H1154">
        <v>3.5000000000000003E-2</v>
      </c>
      <c r="I1154">
        <v>0</v>
      </c>
    </row>
    <row r="1155" spans="1:9" hidden="1" x14ac:dyDescent="0.25">
      <c r="A1155" t="s">
        <v>34</v>
      </c>
      <c r="B1155" t="s">
        <v>6</v>
      </c>
      <c r="C1155" t="s">
        <v>9</v>
      </c>
      <c r="D1155" t="s">
        <v>6</v>
      </c>
      <c r="E1155" t="s">
        <v>11</v>
      </c>
      <c r="F1155">
        <v>2025</v>
      </c>
      <c r="G1155">
        <v>0.52524408600000005</v>
      </c>
      <c r="H1155">
        <v>3.5000000000000003E-2</v>
      </c>
      <c r="I1155">
        <v>0</v>
      </c>
    </row>
    <row r="1156" spans="1:9" hidden="1" x14ac:dyDescent="0.25">
      <c r="A1156" t="s">
        <v>34</v>
      </c>
      <c r="B1156" t="s">
        <v>6</v>
      </c>
      <c r="C1156" t="s">
        <v>9</v>
      </c>
      <c r="D1156" t="s">
        <v>6</v>
      </c>
      <c r="E1156" t="s">
        <v>11</v>
      </c>
      <c r="F1156">
        <v>2026</v>
      </c>
      <c r="G1156">
        <v>0.54100140799999996</v>
      </c>
      <c r="H1156">
        <v>3.5000000000000003E-2</v>
      </c>
      <c r="I1156">
        <v>0</v>
      </c>
    </row>
    <row r="1157" spans="1:9" hidden="1" x14ac:dyDescent="0.25">
      <c r="A1157" t="s">
        <v>34</v>
      </c>
      <c r="B1157" t="s">
        <v>6</v>
      </c>
      <c r="C1157" t="s">
        <v>9</v>
      </c>
      <c r="D1157" t="s">
        <v>6</v>
      </c>
      <c r="E1157" t="s">
        <v>11</v>
      </c>
      <c r="F1157">
        <v>2027</v>
      </c>
      <c r="G1157">
        <v>0.55723145100000004</v>
      </c>
      <c r="H1157">
        <v>3.5000000000000003E-2</v>
      </c>
      <c r="I1157">
        <v>0</v>
      </c>
    </row>
    <row r="1158" spans="1:9" hidden="1" x14ac:dyDescent="0.25">
      <c r="A1158" t="s">
        <v>34</v>
      </c>
      <c r="B1158" t="s">
        <v>6</v>
      </c>
      <c r="C1158" t="s">
        <v>9</v>
      </c>
      <c r="D1158" t="s">
        <v>6</v>
      </c>
      <c r="E1158" t="s">
        <v>11</v>
      </c>
      <c r="F1158">
        <v>2028</v>
      </c>
      <c r="G1158">
        <v>0.57394839399999997</v>
      </c>
      <c r="H1158">
        <v>3.5000000000000003E-2</v>
      </c>
      <c r="I1158">
        <v>0</v>
      </c>
    </row>
    <row r="1159" spans="1:9" hidden="1" x14ac:dyDescent="0.25">
      <c r="A1159" t="s">
        <v>34</v>
      </c>
      <c r="B1159" t="s">
        <v>6</v>
      </c>
      <c r="C1159" t="s">
        <v>9</v>
      </c>
      <c r="D1159" t="s">
        <v>6</v>
      </c>
      <c r="E1159" t="s">
        <v>11</v>
      </c>
      <c r="F1159">
        <v>2029</v>
      </c>
      <c r="G1159">
        <v>0.59116684600000002</v>
      </c>
      <c r="H1159">
        <v>3.5000000000000003E-2</v>
      </c>
      <c r="I1159">
        <v>0</v>
      </c>
    </row>
    <row r="1160" spans="1:9" hidden="1" x14ac:dyDescent="0.25">
      <c r="A1160" t="s">
        <v>34</v>
      </c>
      <c r="B1160" t="s">
        <v>6</v>
      </c>
      <c r="C1160" t="s">
        <v>9</v>
      </c>
      <c r="D1160" t="s">
        <v>6</v>
      </c>
      <c r="E1160" t="s">
        <v>11</v>
      </c>
      <c r="F1160">
        <v>2030</v>
      </c>
      <c r="G1160">
        <v>0.60890185100000005</v>
      </c>
      <c r="H1160">
        <v>3.5000000000000003E-2</v>
      </c>
      <c r="I1160">
        <v>0</v>
      </c>
    </row>
    <row r="1161" spans="1:9" hidden="1" x14ac:dyDescent="0.25">
      <c r="A1161" t="s">
        <v>34</v>
      </c>
      <c r="B1161" t="s">
        <v>6</v>
      </c>
      <c r="C1161" t="s">
        <v>9</v>
      </c>
      <c r="D1161" t="s">
        <v>6</v>
      </c>
      <c r="E1161" t="s">
        <v>11</v>
      </c>
      <c r="F1161">
        <v>2031</v>
      </c>
      <c r="G1161">
        <v>0.62716890700000005</v>
      </c>
      <c r="H1161">
        <v>3.5000000000000003E-2</v>
      </c>
      <c r="I1161">
        <v>0</v>
      </c>
    </row>
    <row r="1162" spans="1:9" hidden="1" x14ac:dyDescent="0.25">
      <c r="A1162" t="s">
        <v>34</v>
      </c>
      <c r="B1162" t="s">
        <v>6</v>
      </c>
      <c r="C1162" t="s">
        <v>9</v>
      </c>
      <c r="D1162" t="s">
        <v>6</v>
      </c>
      <c r="E1162" t="s">
        <v>11</v>
      </c>
      <c r="F1162">
        <v>2032</v>
      </c>
      <c r="G1162">
        <v>0.64598397399999996</v>
      </c>
      <c r="H1162">
        <v>3.5000000000000003E-2</v>
      </c>
      <c r="I1162">
        <v>0</v>
      </c>
    </row>
    <row r="1163" spans="1:9" hidden="1" x14ac:dyDescent="0.25">
      <c r="A1163" t="s">
        <v>34</v>
      </c>
      <c r="B1163" t="s">
        <v>6</v>
      </c>
      <c r="C1163" t="s">
        <v>9</v>
      </c>
      <c r="D1163" t="s">
        <v>6</v>
      </c>
      <c r="E1163" t="s">
        <v>11</v>
      </c>
      <c r="F1163">
        <v>2033</v>
      </c>
      <c r="G1163">
        <v>0.66536349299999997</v>
      </c>
      <c r="H1163">
        <v>3.5000000000000003E-2</v>
      </c>
      <c r="I1163">
        <v>0</v>
      </c>
    </row>
    <row r="1164" spans="1:9" hidden="1" x14ac:dyDescent="0.25">
      <c r="A1164" t="s">
        <v>34</v>
      </c>
      <c r="B1164" t="s">
        <v>6</v>
      </c>
      <c r="C1164" t="s">
        <v>9</v>
      </c>
      <c r="D1164" t="s">
        <v>6</v>
      </c>
      <c r="E1164" t="s">
        <v>11</v>
      </c>
      <c r="F1164">
        <v>2034</v>
      </c>
      <c r="G1164">
        <v>0.685324398</v>
      </c>
      <c r="H1164">
        <v>3.5000000000000003E-2</v>
      </c>
      <c r="I1164">
        <v>0</v>
      </c>
    </row>
    <row r="1165" spans="1:9" hidden="1" x14ac:dyDescent="0.25">
      <c r="A1165" t="s">
        <v>34</v>
      </c>
      <c r="B1165" t="s">
        <v>6</v>
      </c>
      <c r="C1165" t="s">
        <v>9</v>
      </c>
      <c r="D1165" t="s">
        <v>6</v>
      </c>
      <c r="E1165" t="s">
        <v>11</v>
      </c>
      <c r="F1165">
        <v>2035</v>
      </c>
      <c r="G1165">
        <v>0.70588413000000005</v>
      </c>
      <c r="H1165">
        <v>3.5000000000000003E-2</v>
      </c>
      <c r="I1165">
        <v>0</v>
      </c>
    </row>
    <row r="1166" spans="1:9" hidden="1" x14ac:dyDescent="0.25">
      <c r="A1166" t="s">
        <v>34</v>
      </c>
      <c r="B1166" t="s">
        <v>6</v>
      </c>
      <c r="C1166" t="s">
        <v>9</v>
      </c>
      <c r="D1166" t="s">
        <v>6</v>
      </c>
      <c r="E1166" t="s">
        <v>11</v>
      </c>
      <c r="F1166">
        <v>2036</v>
      </c>
      <c r="G1166">
        <v>0.72706065399999997</v>
      </c>
      <c r="H1166">
        <v>3.5000000000000003E-2</v>
      </c>
      <c r="I1166">
        <v>0</v>
      </c>
    </row>
    <row r="1167" spans="1:9" hidden="1" x14ac:dyDescent="0.25">
      <c r="A1167" t="s">
        <v>34</v>
      </c>
      <c r="B1167" t="s">
        <v>6</v>
      </c>
      <c r="C1167" t="s">
        <v>9</v>
      </c>
      <c r="D1167" t="s">
        <v>6</v>
      </c>
      <c r="E1167" t="s">
        <v>11</v>
      </c>
      <c r="F1167">
        <v>2037</v>
      </c>
      <c r="G1167">
        <v>0.74887247300000004</v>
      </c>
      <c r="H1167">
        <v>3.5000000000000003E-2</v>
      </c>
      <c r="I1167">
        <v>0</v>
      </c>
    </row>
    <row r="1168" spans="1:9" hidden="1" x14ac:dyDescent="0.25">
      <c r="A1168" t="s">
        <v>34</v>
      </c>
      <c r="B1168" t="s">
        <v>6</v>
      </c>
      <c r="C1168" t="s">
        <v>9</v>
      </c>
      <c r="D1168" t="s">
        <v>6</v>
      </c>
      <c r="E1168" t="s">
        <v>11</v>
      </c>
      <c r="F1168">
        <v>2038</v>
      </c>
      <c r="G1168">
        <v>0.77133864799999996</v>
      </c>
      <c r="H1168">
        <v>3.5000000000000003E-2</v>
      </c>
      <c r="I1168">
        <v>0</v>
      </c>
    </row>
    <row r="1169" spans="1:9" hidden="1" x14ac:dyDescent="0.25">
      <c r="A1169" t="s">
        <v>34</v>
      </c>
      <c r="B1169" t="s">
        <v>6</v>
      </c>
      <c r="C1169" t="s">
        <v>9</v>
      </c>
      <c r="D1169" t="s">
        <v>6</v>
      </c>
      <c r="E1169" t="s">
        <v>11</v>
      </c>
      <c r="F1169">
        <v>2039</v>
      </c>
      <c r="G1169">
        <v>0.79447880699999995</v>
      </c>
      <c r="H1169">
        <v>3.5000000000000003E-2</v>
      </c>
      <c r="I1169">
        <v>0</v>
      </c>
    </row>
    <row r="1170" spans="1:9" hidden="1" x14ac:dyDescent="0.25">
      <c r="A1170" t="s">
        <v>34</v>
      </c>
      <c r="B1170" t="s">
        <v>6</v>
      </c>
      <c r="C1170" t="s">
        <v>9</v>
      </c>
      <c r="D1170" t="s">
        <v>6</v>
      </c>
      <c r="E1170" t="s">
        <v>11</v>
      </c>
      <c r="F1170">
        <v>2040</v>
      </c>
      <c r="G1170">
        <v>0.81831317100000001</v>
      </c>
      <c r="H1170">
        <v>3.5000000000000003E-2</v>
      </c>
      <c r="I1170">
        <v>0</v>
      </c>
    </row>
    <row r="1171" spans="1:9" hidden="1" x14ac:dyDescent="0.25">
      <c r="A1171" t="s">
        <v>34</v>
      </c>
      <c r="B1171" t="s">
        <v>6</v>
      </c>
      <c r="C1171" t="s">
        <v>9</v>
      </c>
      <c r="D1171" t="s">
        <v>6</v>
      </c>
      <c r="E1171" t="s">
        <v>11</v>
      </c>
      <c r="F1171">
        <v>2041</v>
      </c>
      <c r="G1171">
        <v>0.84286256599999998</v>
      </c>
      <c r="H1171">
        <v>3.5000000000000003E-2</v>
      </c>
      <c r="I1171">
        <v>0</v>
      </c>
    </row>
    <row r="1172" spans="1:9" hidden="1" x14ac:dyDescent="0.25">
      <c r="A1172" t="s">
        <v>34</v>
      </c>
      <c r="B1172" t="s">
        <v>6</v>
      </c>
      <c r="C1172" t="s">
        <v>12</v>
      </c>
      <c r="D1172" t="s">
        <v>6</v>
      </c>
      <c r="E1172" t="s">
        <v>10</v>
      </c>
      <c r="F1172">
        <v>2024</v>
      </c>
      <c r="G1172">
        <v>0.50994571399999999</v>
      </c>
      <c r="H1172">
        <v>3.5000000000000003E-2</v>
      </c>
      <c r="I1172">
        <v>19.53</v>
      </c>
    </row>
    <row r="1173" spans="1:9" hidden="1" x14ac:dyDescent="0.25">
      <c r="A1173" t="s">
        <v>34</v>
      </c>
      <c r="B1173" t="s">
        <v>6</v>
      </c>
      <c r="C1173" t="s">
        <v>12</v>
      </c>
      <c r="D1173" t="s">
        <v>6</v>
      </c>
      <c r="E1173" t="s">
        <v>10</v>
      </c>
      <c r="F1173">
        <v>2025</v>
      </c>
      <c r="G1173">
        <v>0.52524408600000005</v>
      </c>
      <c r="H1173">
        <v>3.5000000000000003E-2</v>
      </c>
      <c r="I1173">
        <v>19.53</v>
      </c>
    </row>
    <row r="1174" spans="1:9" hidden="1" x14ac:dyDescent="0.25">
      <c r="A1174" t="s">
        <v>34</v>
      </c>
      <c r="B1174" t="s">
        <v>6</v>
      </c>
      <c r="C1174" t="s">
        <v>12</v>
      </c>
      <c r="D1174" t="s">
        <v>6</v>
      </c>
      <c r="E1174" t="s">
        <v>10</v>
      </c>
      <c r="F1174">
        <v>2026</v>
      </c>
      <c r="G1174">
        <v>0.54100140799999996</v>
      </c>
      <c r="H1174">
        <v>3.5000000000000003E-2</v>
      </c>
      <c r="I1174">
        <v>19.53</v>
      </c>
    </row>
    <row r="1175" spans="1:9" hidden="1" x14ac:dyDescent="0.25">
      <c r="A1175" t="s">
        <v>34</v>
      </c>
      <c r="B1175" t="s">
        <v>6</v>
      </c>
      <c r="C1175" t="s">
        <v>12</v>
      </c>
      <c r="D1175" t="s">
        <v>6</v>
      </c>
      <c r="E1175" t="s">
        <v>10</v>
      </c>
      <c r="F1175">
        <v>2027</v>
      </c>
      <c r="G1175">
        <v>0.55723145100000004</v>
      </c>
      <c r="H1175">
        <v>3.5000000000000003E-2</v>
      </c>
      <c r="I1175">
        <v>19.53</v>
      </c>
    </row>
    <row r="1176" spans="1:9" hidden="1" x14ac:dyDescent="0.25">
      <c r="A1176" t="s">
        <v>34</v>
      </c>
      <c r="B1176" t="s">
        <v>6</v>
      </c>
      <c r="C1176" t="s">
        <v>12</v>
      </c>
      <c r="D1176" t="s">
        <v>6</v>
      </c>
      <c r="E1176" t="s">
        <v>10</v>
      </c>
      <c r="F1176">
        <v>2028</v>
      </c>
      <c r="G1176">
        <v>0.57394839399999997</v>
      </c>
      <c r="H1176">
        <v>3.5000000000000003E-2</v>
      </c>
      <c r="I1176">
        <v>19.53</v>
      </c>
    </row>
    <row r="1177" spans="1:9" hidden="1" x14ac:dyDescent="0.25">
      <c r="A1177" t="s">
        <v>34</v>
      </c>
      <c r="B1177" t="s">
        <v>6</v>
      </c>
      <c r="C1177" t="s">
        <v>12</v>
      </c>
      <c r="D1177" t="s">
        <v>6</v>
      </c>
      <c r="E1177" t="s">
        <v>10</v>
      </c>
      <c r="F1177">
        <v>2029</v>
      </c>
      <c r="G1177">
        <v>0.59116684600000002</v>
      </c>
      <c r="H1177">
        <v>3.5000000000000003E-2</v>
      </c>
      <c r="I1177">
        <v>19.53</v>
      </c>
    </row>
    <row r="1178" spans="1:9" hidden="1" x14ac:dyDescent="0.25">
      <c r="A1178" t="s">
        <v>34</v>
      </c>
      <c r="B1178" t="s">
        <v>6</v>
      </c>
      <c r="C1178" t="s">
        <v>12</v>
      </c>
      <c r="D1178" t="s">
        <v>6</v>
      </c>
      <c r="E1178" t="s">
        <v>10</v>
      </c>
      <c r="F1178">
        <v>2030</v>
      </c>
      <c r="G1178">
        <v>0.60890185100000005</v>
      </c>
      <c r="H1178">
        <v>3.5000000000000003E-2</v>
      </c>
      <c r="I1178">
        <v>19.440000000000001</v>
      </c>
    </row>
    <row r="1179" spans="1:9" hidden="1" x14ac:dyDescent="0.25">
      <c r="A1179" t="s">
        <v>34</v>
      </c>
      <c r="B1179" t="s">
        <v>6</v>
      </c>
      <c r="C1179" t="s">
        <v>12</v>
      </c>
      <c r="D1179" t="s">
        <v>6</v>
      </c>
      <c r="E1179" t="s">
        <v>10</v>
      </c>
      <c r="F1179">
        <v>2031</v>
      </c>
      <c r="G1179">
        <v>0.62716890700000005</v>
      </c>
      <c r="H1179">
        <v>3.5000000000000003E-2</v>
      </c>
      <c r="I1179">
        <v>19.53</v>
      </c>
    </row>
    <row r="1180" spans="1:9" hidden="1" x14ac:dyDescent="0.25">
      <c r="A1180" t="s">
        <v>34</v>
      </c>
      <c r="B1180" t="s">
        <v>6</v>
      </c>
      <c r="C1180" t="s">
        <v>12</v>
      </c>
      <c r="D1180" t="s">
        <v>6</v>
      </c>
      <c r="E1180" t="s">
        <v>10</v>
      </c>
      <c r="F1180">
        <v>2032</v>
      </c>
      <c r="G1180">
        <v>0.64598397399999996</v>
      </c>
      <c r="H1180">
        <v>3.5000000000000003E-2</v>
      </c>
      <c r="I1180">
        <v>20.23</v>
      </c>
    </row>
    <row r="1181" spans="1:9" hidden="1" x14ac:dyDescent="0.25">
      <c r="A1181" t="s">
        <v>34</v>
      </c>
      <c r="B1181" t="s">
        <v>6</v>
      </c>
      <c r="C1181" t="s">
        <v>12</v>
      </c>
      <c r="D1181" t="s">
        <v>6</v>
      </c>
      <c r="E1181" t="s">
        <v>10</v>
      </c>
      <c r="F1181">
        <v>2033</v>
      </c>
      <c r="G1181">
        <v>0.66536349299999997</v>
      </c>
      <c r="H1181">
        <v>3.5000000000000003E-2</v>
      </c>
      <c r="I1181">
        <v>20.96</v>
      </c>
    </row>
    <row r="1182" spans="1:9" hidden="1" x14ac:dyDescent="0.25">
      <c r="A1182" t="s">
        <v>34</v>
      </c>
      <c r="B1182" t="s">
        <v>6</v>
      </c>
      <c r="C1182" t="s">
        <v>12</v>
      </c>
      <c r="D1182" t="s">
        <v>6</v>
      </c>
      <c r="E1182" t="s">
        <v>10</v>
      </c>
      <c r="F1182">
        <v>2034</v>
      </c>
      <c r="G1182">
        <v>0.685324398</v>
      </c>
      <c r="H1182">
        <v>3.5000000000000003E-2</v>
      </c>
      <c r="I1182">
        <v>21.72</v>
      </c>
    </row>
    <row r="1183" spans="1:9" hidden="1" x14ac:dyDescent="0.25">
      <c r="A1183" t="s">
        <v>34</v>
      </c>
      <c r="B1183" t="s">
        <v>6</v>
      </c>
      <c r="C1183" t="s">
        <v>12</v>
      </c>
      <c r="D1183" t="s">
        <v>6</v>
      </c>
      <c r="E1183" t="s">
        <v>10</v>
      </c>
      <c r="F1183">
        <v>2035</v>
      </c>
      <c r="G1183">
        <v>0.70588413000000005</v>
      </c>
      <c r="H1183">
        <v>3.5000000000000003E-2</v>
      </c>
      <c r="I1183">
        <v>22.51</v>
      </c>
    </row>
    <row r="1184" spans="1:9" hidden="1" x14ac:dyDescent="0.25">
      <c r="A1184" t="s">
        <v>34</v>
      </c>
      <c r="B1184" t="s">
        <v>6</v>
      </c>
      <c r="C1184" t="s">
        <v>12</v>
      </c>
      <c r="D1184" t="s">
        <v>6</v>
      </c>
      <c r="E1184" t="s">
        <v>10</v>
      </c>
      <c r="F1184">
        <v>2036</v>
      </c>
      <c r="G1184">
        <v>0.72706065399999997</v>
      </c>
      <c r="H1184">
        <v>3.5000000000000003E-2</v>
      </c>
      <c r="I1184">
        <v>23.33</v>
      </c>
    </row>
    <row r="1185" spans="1:9" hidden="1" x14ac:dyDescent="0.25">
      <c r="A1185" t="s">
        <v>34</v>
      </c>
      <c r="B1185" t="s">
        <v>6</v>
      </c>
      <c r="C1185" t="s">
        <v>12</v>
      </c>
      <c r="D1185" t="s">
        <v>6</v>
      </c>
      <c r="E1185" t="s">
        <v>10</v>
      </c>
      <c r="F1185">
        <v>2037</v>
      </c>
      <c r="G1185">
        <v>0.74887247300000004</v>
      </c>
      <c r="H1185">
        <v>3.5000000000000003E-2</v>
      </c>
      <c r="I1185">
        <v>24.17</v>
      </c>
    </row>
    <row r="1186" spans="1:9" hidden="1" x14ac:dyDescent="0.25">
      <c r="A1186" t="s">
        <v>34</v>
      </c>
      <c r="B1186" t="s">
        <v>6</v>
      </c>
      <c r="C1186" t="s">
        <v>12</v>
      </c>
      <c r="D1186" t="s">
        <v>6</v>
      </c>
      <c r="E1186" t="s">
        <v>10</v>
      </c>
      <c r="F1186">
        <v>2038</v>
      </c>
      <c r="G1186">
        <v>0.77133864799999996</v>
      </c>
      <c r="H1186">
        <v>3.5000000000000003E-2</v>
      </c>
      <c r="I1186">
        <v>25.05</v>
      </c>
    </row>
    <row r="1187" spans="1:9" hidden="1" x14ac:dyDescent="0.25">
      <c r="A1187" t="s">
        <v>34</v>
      </c>
      <c r="B1187" t="s">
        <v>6</v>
      </c>
      <c r="C1187" t="s">
        <v>12</v>
      </c>
      <c r="D1187" t="s">
        <v>6</v>
      </c>
      <c r="E1187" t="s">
        <v>10</v>
      </c>
      <c r="F1187">
        <v>2039</v>
      </c>
      <c r="G1187">
        <v>0.79447880699999995</v>
      </c>
      <c r="H1187">
        <v>3.5000000000000003E-2</v>
      </c>
      <c r="I1187">
        <v>25.95</v>
      </c>
    </row>
    <row r="1188" spans="1:9" hidden="1" x14ac:dyDescent="0.25">
      <c r="A1188" t="s">
        <v>34</v>
      </c>
      <c r="B1188" t="s">
        <v>6</v>
      </c>
      <c r="C1188" t="s">
        <v>12</v>
      </c>
      <c r="D1188" t="s">
        <v>6</v>
      </c>
      <c r="E1188" t="s">
        <v>10</v>
      </c>
      <c r="F1188">
        <v>2040</v>
      </c>
      <c r="G1188">
        <v>0.81831317100000001</v>
      </c>
      <c r="H1188">
        <v>3.5000000000000003E-2</v>
      </c>
      <c r="I1188">
        <v>26.89</v>
      </c>
    </row>
    <row r="1189" spans="1:9" hidden="1" x14ac:dyDescent="0.25">
      <c r="A1189" t="s">
        <v>34</v>
      </c>
      <c r="B1189" t="s">
        <v>6</v>
      </c>
      <c r="C1189" t="s">
        <v>12</v>
      </c>
      <c r="D1189" t="s">
        <v>6</v>
      </c>
      <c r="E1189" t="s">
        <v>10</v>
      </c>
      <c r="F1189">
        <v>2041</v>
      </c>
      <c r="G1189">
        <v>0.84286256599999998</v>
      </c>
      <c r="H1189">
        <v>3.5000000000000003E-2</v>
      </c>
      <c r="I1189">
        <v>27.87</v>
      </c>
    </row>
    <row r="1190" spans="1:9" hidden="1" x14ac:dyDescent="0.25">
      <c r="A1190" t="s">
        <v>34</v>
      </c>
      <c r="B1190" t="s">
        <v>6</v>
      </c>
      <c r="C1190" t="s">
        <v>11</v>
      </c>
      <c r="D1190" t="s">
        <v>6</v>
      </c>
      <c r="E1190" t="s">
        <v>9</v>
      </c>
      <c r="F1190">
        <v>2024</v>
      </c>
      <c r="G1190">
        <v>0.50994571399999999</v>
      </c>
      <c r="H1190">
        <v>3.5000000000000003E-2</v>
      </c>
      <c r="I1190">
        <v>0</v>
      </c>
    </row>
    <row r="1191" spans="1:9" hidden="1" x14ac:dyDescent="0.25">
      <c r="A1191" t="s">
        <v>34</v>
      </c>
      <c r="B1191" t="s">
        <v>6</v>
      </c>
      <c r="C1191" t="s">
        <v>11</v>
      </c>
      <c r="D1191" t="s">
        <v>6</v>
      </c>
      <c r="E1191" t="s">
        <v>9</v>
      </c>
      <c r="F1191">
        <v>2025</v>
      </c>
      <c r="G1191">
        <v>0.52524408600000005</v>
      </c>
      <c r="H1191">
        <v>3.5000000000000003E-2</v>
      </c>
      <c r="I1191">
        <v>0</v>
      </c>
    </row>
    <row r="1192" spans="1:9" hidden="1" x14ac:dyDescent="0.25">
      <c r="A1192" t="s">
        <v>34</v>
      </c>
      <c r="B1192" t="s">
        <v>6</v>
      </c>
      <c r="C1192" t="s">
        <v>11</v>
      </c>
      <c r="D1192" t="s">
        <v>6</v>
      </c>
      <c r="E1192" t="s">
        <v>9</v>
      </c>
      <c r="F1192">
        <v>2026</v>
      </c>
      <c r="G1192">
        <v>0.54100140799999996</v>
      </c>
      <c r="H1192">
        <v>3.5000000000000003E-2</v>
      </c>
      <c r="I1192">
        <v>0</v>
      </c>
    </row>
    <row r="1193" spans="1:9" hidden="1" x14ac:dyDescent="0.25">
      <c r="A1193" t="s">
        <v>34</v>
      </c>
      <c r="B1193" t="s">
        <v>6</v>
      </c>
      <c r="C1193" t="s">
        <v>11</v>
      </c>
      <c r="D1193" t="s">
        <v>6</v>
      </c>
      <c r="E1193" t="s">
        <v>9</v>
      </c>
      <c r="F1193">
        <v>2027</v>
      </c>
      <c r="G1193">
        <v>0.55723145100000004</v>
      </c>
      <c r="H1193">
        <v>3.5000000000000003E-2</v>
      </c>
      <c r="I1193">
        <v>0</v>
      </c>
    </row>
    <row r="1194" spans="1:9" hidden="1" x14ac:dyDescent="0.25">
      <c r="A1194" t="s">
        <v>34</v>
      </c>
      <c r="B1194" t="s">
        <v>6</v>
      </c>
      <c r="C1194" t="s">
        <v>11</v>
      </c>
      <c r="D1194" t="s">
        <v>6</v>
      </c>
      <c r="E1194" t="s">
        <v>9</v>
      </c>
      <c r="F1194">
        <v>2028</v>
      </c>
      <c r="G1194">
        <v>0.57394839399999997</v>
      </c>
      <c r="H1194">
        <v>3.5000000000000003E-2</v>
      </c>
      <c r="I1194">
        <v>0</v>
      </c>
    </row>
    <row r="1195" spans="1:9" hidden="1" x14ac:dyDescent="0.25">
      <c r="A1195" t="s">
        <v>34</v>
      </c>
      <c r="B1195" t="s">
        <v>6</v>
      </c>
      <c r="C1195" t="s">
        <v>11</v>
      </c>
      <c r="D1195" t="s">
        <v>6</v>
      </c>
      <c r="E1195" t="s">
        <v>9</v>
      </c>
      <c r="F1195">
        <v>2029</v>
      </c>
      <c r="G1195">
        <v>0.59116684600000002</v>
      </c>
      <c r="H1195">
        <v>3.5000000000000003E-2</v>
      </c>
      <c r="I1195">
        <v>0</v>
      </c>
    </row>
    <row r="1196" spans="1:9" hidden="1" x14ac:dyDescent="0.25">
      <c r="A1196" t="s">
        <v>34</v>
      </c>
      <c r="B1196" t="s">
        <v>6</v>
      </c>
      <c r="C1196" t="s">
        <v>11</v>
      </c>
      <c r="D1196" t="s">
        <v>6</v>
      </c>
      <c r="E1196" t="s">
        <v>9</v>
      </c>
      <c r="F1196">
        <v>2030</v>
      </c>
      <c r="G1196">
        <v>0.60890185100000005</v>
      </c>
      <c r="H1196">
        <v>3.5000000000000003E-2</v>
      </c>
      <c r="I1196">
        <v>0</v>
      </c>
    </row>
    <row r="1197" spans="1:9" hidden="1" x14ac:dyDescent="0.25">
      <c r="A1197" t="s">
        <v>34</v>
      </c>
      <c r="B1197" t="s">
        <v>6</v>
      </c>
      <c r="C1197" t="s">
        <v>11</v>
      </c>
      <c r="D1197" t="s">
        <v>6</v>
      </c>
      <c r="E1197" t="s">
        <v>9</v>
      </c>
      <c r="F1197">
        <v>2031</v>
      </c>
      <c r="G1197">
        <v>0.62716890700000005</v>
      </c>
      <c r="H1197">
        <v>3.5000000000000003E-2</v>
      </c>
      <c r="I1197">
        <v>0</v>
      </c>
    </row>
    <row r="1198" spans="1:9" hidden="1" x14ac:dyDescent="0.25">
      <c r="A1198" t="s">
        <v>34</v>
      </c>
      <c r="B1198" t="s">
        <v>6</v>
      </c>
      <c r="C1198" t="s">
        <v>11</v>
      </c>
      <c r="D1198" t="s">
        <v>6</v>
      </c>
      <c r="E1198" t="s">
        <v>9</v>
      </c>
      <c r="F1198">
        <v>2032</v>
      </c>
      <c r="G1198">
        <v>0.64598397399999996</v>
      </c>
      <c r="H1198">
        <v>3.5000000000000003E-2</v>
      </c>
      <c r="I1198">
        <v>0</v>
      </c>
    </row>
    <row r="1199" spans="1:9" hidden="1" x14ac:dyDescent="0.25">
      <c r="A1199" t="s">
        <v>34</v>
      </c>
      <c r="B1199" t="s">
        <v>6</v>
      </c>
      <c r="C1199" t="s">
        <v>11</v>
      </c>
      <c r="D1199" t="s">
        <v>6</v>
      </c>
      <c r="E1199" t="s">
        <v>9</v>
      </c>
      <c r="F1199">
        <v>2033</v>
      </c>
      <c r="G1199">
        <v>0.66536349299999997</v>
      </c>
      <c r="H1199">
        <v>3.5000000000000003E-2</v>
      </c>
      <c r="I1199">
        <v>0</v>
      </c>
    </row>
    <row r="1200" spans="1:9" hidden="1" x14ac:dyDescent="0.25">
      <c r="A1200" t="s">
        <v>34</v>
      </c>
      <c r="B1200" t="s">
        <v>6</v>
      </c>
      <c r="C1200" t="s">
        <v>11</v>
      </c>
      <c r="D1200" t="s">
        <v>6</v>
      </c>
      <c r="E1200" t="s">
        <v>9</v>
      </c>
      <c r="F1200">
        <v>2034</v>
      </c>
      <c r="G1200">
        <v>0.685324398</v>
      </c>
      <c r="H1200">
        <v>3.5000000000000003E-2</v>
      </c>
      <c r="I1200">
        <v>0</v>
      </c>
    </row>
    <row r="1201" spans="1:9" hidden="1" x14ac:dyDescent="0.25">
      <c r="A1201" t="s">
        <v>34</v>
      </c>
      <c r="B1201" t="s">
        <v>6</v>
      </c>
      <c r="C1201" t="s">
        <v>11</v>
      </c>
      <c r="D1201" t="s">
        <v>6</v>
      </c>
      <c r="E1201" t="s">
        <v>9</v>
      </c>
      <c r="F1201">
        <v>2035</v>
      </c>
      <c r="G1201">
        <v>0.70588413000000005</v>
      </c>
      <c r="H1201">
        <v>3.5000000000000003E-2</v>
      </c>
      <c r="I1201">
        <v>0</v>
      </c>
    </row>
    <row r="1202" spans="1:9" hidden="1" x14ac:dyDescent="0.25">
      <c r="A1202" t="s">
        <v>34</v>
      </c>
      <c r="B1202" t="s">
        <v>6</v>
      </c>
      <c r="C1202" t="s">
        <v>11</v>
      </c>
      <c r="D1202" t="s">
        <v>6</v>
      </c>
      <c r="E1202" t="s">
        <v>9</v>
      </c>
      <c r="F1202">
        <v>2036</v>
      </c>
      <c r="G1202">
        <v>0.72706065399999997</v>
      </c>
      <c r="H1202">
        <v>3.5000000000000003E-2</v>
      </c>
      <c r="I1202">
        <v>0</v>
      </c>
    </row>
    <row r="1203" spans="1:9" hidden="1" x14ac:dyDescent="0.25">
      <c r="A1203" t="s">
        <v>34</v>
      </c>
      <c r="B1203" t="s">
        <v>6</v>
      </c>
      <c r="C1203" t="s">
        <v>11</v>
      </c>
      <c r="D1203" t="s">
        <v>6</v>
      </c>
      <c r="E1203" t="s">
        <v>9</v>
      </c>
      <c r="F1203">
        <v>2037</v>
      </c>
      <c r="G1203">
        <v>0.74887247300000004</v>
      </c>
      <c r="H1203">
        <v>3.5000000000000003E-2</v>
      </c>
      <c r="I1203">
        <v>0</v>
      </c>
    </row>
    <row r="1204" spans="1:9" hidden="1" x14ac:dyDescent="0.25">
      <c r="A1204" t="s">
        <v>34</v>
      </c>
      <c r="B1204" t="s">
        <v>6</v>
      </c>
      <c r="C1204" t="s">
        <v>11</v>
      </c>
      <c r="D1204" t="s">
        <v>6</v>
      </c>
      <c r="E1204" t="s">
        <v>9</v>
      </c>
      <c r="F1204">
        <v>2038</v>
      </c>
      <c r="G1204">
        <v>0.77133864799999996</v>
      </c>
      <c r="H1204">
        <v>3.5000000000000003E-2</v>
      </c>
      <c r="I1204">
        <v>0</v>
      </c>
    </row>
    <row r="1205" spans="1:9" hidden="1" x14ac:dyDescent="0.25">
      <c r="A1205" t="s">
        <v>34</v>
      </c>
      <c r="B1205" t="s">
        <v>6</v>
      </c>
      <c r="C1205" t="s">
        <v>11</v>
      </c>
      <c r="D1205" t="s">
        <v>6</v>
      </c>
      <c r="E1205" t="s">
        <v>9</v>
      </c>
      <c r="F1205">
        <v>2039</v>
      </c>
      <c r="G1205">
        <v>0.79447880699999995</v>
      </c>
      <c r="H1205">
        <v>3.5000000000000003E-2</v>
      </c>
      <c r="I1205">
        <v>0</v>
      </c>
    </row>
    <row r="1206" spans="1:9" hidden="1" x14ac:dyDescent="0.25">
      <c r="A1206" t="s">
        <v>34</v>
      </c>
      <c r="B1206" t="s">
        <v>6</v>
      </c>
      <c r="C1206" t="s">
        <v>11</v>
      </c>
      <c r="D1206" t="s">
        <v>6</v>
      </c>
      <c r="E1206" t="s">
        <v>9</v>
      </c>
      <c r="F1206">
        <v>2040</v>
      </c>
      <c r="G1206">
        <v>0.81831317100000001</v>
      </c>
      <c r="H1206">
        <v>3.5000000000000003E-2</v>
      </c>
      <c r="I1206">
        <v>0</v>
      </c>
    </row>
    <row r="1207" spans="1:9" hidden="1" x14ac:dyDescent="0.25">
      <c r="A1207" t="s">
        <v>34</v>
      </c>
      <c r="B1207" t="s">
        <v>6</v>
      </c>
      <c r="C1207" t="s">
        <v>11</v>
      </c>
      <c r="D1207" t="s">
        <v>6</v>
      </c>
      <c r="E1207" t="s">
        <v>9</v>
      </c>
      <c r="F1207">
        <v>2041</v>
      </c>
      <c r="G1207">
        <v>0.84286256599999998</v>
      </c>
      <c r="H1207">
        <v>3.5000000000000003E-2</v>
      </c>
      <c r="I1207">
        <v>0</v>
      </c>
    </row>
    <row r="1208" spans="1:9" hidden="1" x14ac:dyDescent="0.25">
      <c r="A1208" t="s">
        <v>34</v>
      </c>
      <c r="B1208" t="s">
        <v>6</v>
      </c>
      <c r="C1208" t="s">
        <v>8</v>
      </c>
      <c r="D1208" t="s">
        <v>6</v>
      </c>
      <c r="E1208" t="s">
        <v>12</v>
      </c>
      <c r="F1208">
        <v>2024</v>
      </c>
      <c r="G1208">
        <v>0.50994571399999999</v>
      </c>
      <c r="H1208">
        <v>3.5000000000000003E-2</v>
      </c>
      <c r="I1208">
        <v>0</v>
      </c>
    </row>
    <row r="1209" spans="1:9" hidden="1" x14ac:dyDescent="0.25">
      <c r="A1209" t="s">
        <v>34</v>
      </c>
      <c r="B1209" t="s">
        <v>6</v>
      </c>
      <c r="C1209" t="s">
        <v>8</v>
      </c>
      <c r="D1209" t="s">
        <v>6</v>
      </c>
      <c r="E1209" t="s">
        <v>12</v>
      </c>
      <c r="F1209">
        <v>2025</v>
      </c>
      <c r="G1209">
        <v>0.52524408600000005</v>
      </c>
      <c r="H1209">
        <v>3.5000000000000003E-2</v>
      </c>
      <c r="I1209">
        <v>0</v>
      </c>
    </row>
    <row r="1210" spans="1:9" hidden="1" x14ac:dyDescent="0.25">
      <c r="A1210" t="s">
        <v>34</v>
      </c>
      <c r="B1210" t="s">
        <v>6</v>
      </c>
      <c r="C1210" t="s">
        <v>8</v>
      </c>
      <c r="D1210" t="s">
        <v>6</v>
      </c>
      <c r="E1210" t="s">
        <v>12</v>
      </c>
      <c r="F1210">
        <v>2026</v>
      </c>
      <c r="G1210">
        <v>0.54100140799999996</v>
      </c>
      <c r="H1210">
        <v>3.5000000000000003E-2</v>
      </c>
      <c r="I1210">
        <v>0</v>
      </c>
    </row>
    <row r="1211" spans="1:9" hidden="1" x14ac:dyDescent="0.25">
      <c r="A1211" t="s">
        <v>34</v>
      </c>
      <c r="B1211" t="s">
        <v>6</v>
      </c>
      <c r="C1211" t="s">
        <v>8</v>
      </c>
      <c r="D1211" t="s">
        <v>6</v>
      </c>
      <c r="E1211" t="s">
        <v>12</v>
      </c>
      <c r="F1211">
        <v>2027</v>
      </c>
      <c r="G1211">
        <v>0.55723145100000004</v>
      </c>
      <c r="H1211">
        <v>3.5000000000000003E-2</v>
      </c>
      <c r="I1211">
        <v>0</v>
      </c>
    </row>
    <row r="1212" spans="1:9" hidden="1" x14ac:dyDescent="0.25">
      <c r="A1212" t="s">
        <v>34</v>
      </c>
      <c r="B1212" t="s">
        <v>6</v>
      </c>
      <c r="C1212" t="s">
        <v>8</v>
      </c>
      <c r="D1212" t="s">
        <v>6</v>
      </c>
      <c r="E1212" t="s">
        <v>12</v>
      </c>
      <c r="F1212">
        <v>2028</v>
      </c>
      <c r="G1212">
        <v>0.57394839399999997</v>
      </c>
      <c r="H1212">
        <v>3.5000000000000003E-2</v>
      </c>
      <c r="I1212">
        <v>0</v>
      </c>
    </row>
    <row r="1213" spans="1:9" hidden="1" x14ac:dyDescent="0.25">
      <c r="A1213" t="s">
        <v>34</v>
      </c>
      <c r="B1213" t="s">
        <v>6</v>
      </c>
      <c r="C1213" t="s">
        <v>8</v>
      </c>
      <c r="D1213" t="s">
        <v>6</v>
      </c>
      <c r="E1213" t="s">
        <v>12</v>
      </c>
      <c r="F1213">
        <v>2029</v>
      </c>
      <c r="G1213">
        <v>0.59116684600000002</v>
      </c>
      <c r="H1213">
        <v>3.5000000000000003E-2</v>
      </c>
      <c r="I1213">
        <v>0</v>
      </c>
    </row>
    <row r="1214" spans="1:9" hidden="1" x14ac:dyDescent="0.25">
      <c r="A1214" t="s">
        <v>34</v>
      </c>
      <c r="B1214" t="s">
        <v>6</v>
      </c>
      <c r="C1214" t="s">
        <v>8</v>
      </c>
      <c r="D1214" t="s">
        <v>6</v>
      </c>
      <c r="E1214" t="s">
        <v>12</v>
      </c>
      <c r="F1214">
        <v>2030</v>
      </c>
      <c r="G1214">
        <v>0.60890185100000005</v>
      </c>
      <c r="H1214">
        <v>3.5000000000000003E-2</v>
      </c>
      <c r="I1214">
        <v>0</v>
      </c>
    </row>
    <row r="1215" spans="1:9" hidden="1" x14ac:dyDescent="0.25">
      <c r="A1215" t="s">
        <v>34</v>
      </c>
      <c r="B1215" t="s">
        <v>6</v>
      </c>
      <c r="C1215" t="s">
        <v>8</v>
      </c>
      <c r="D1215" t="s">
        <v>6</v>
      </c>
      <c r="E1215" t="s">
        <v>12</v>
      </c>
      <c r="F1215">
        <v>2031</v>
      </c>
      <c r="G1215">
        <v>0.62716890700000005</v>
      </c>
      <c r="H1215">
        <v>3.5000000000000003E-2</v>
      </c>
      <c r="I1215">
        <v>0</v>
      </c>
    </row>
    <row r="1216" spans="1:9" hidden="1" x14ac:dyDescent="0.25">
      <c r="A1216" t="s">
        <v>34</v>
      </c>
      <c r="B1216" t="s">
        <v>6</v>
      </c>
      <c r="C1216" t="s">
        <v>8</v>
      </c>
      <c r="D1216" t="s">
        <v>6</v>
      </c>
      <c r="E1216" t="s">
        <v>12</v>
      </c>
      <c r="F1216">
        <v>2032</v>
      </c>
      <c r="G1216">
        <v>0.64598397399999996</v>
      </c>
      <c r="H1216">
        <v>3.5000000000000003E-2</v>
      </c>
      <c r="I1216">
        <v>0</v>
      </c>
    </row>
    <row r="1217" spans="1:9" hidden="1" x14ac:dyDescent="0.25">
      <c r="A1217" t="s">
        <v>34</v>
      </c>
      <c r="B1217" t="s">
        <v>6</v>
      </c>
      <c r="C1217" t="s">
        <v>8</v>
      </c>
      <c r="D1217" t="s">
        <v>6</v>
      </c>
      <c r="E1217" t="s">
        <v>12</v>
      </c>
      <c r="F1217">
        <v>2033</v>
      </c>
      <c r="G1217">
        <v>0.66536349299999997</v>
      </c>
      <c r="H1217">
        <v>3.5000000000000003E-2</v>
      </c>
      <c r="I1217">
        <v>0</v>
      </c>
    </row>
    <row r="1218" spans="1:9" hidden="1" x14ac:dyDescent="0.25">
      <c r="A1218" t="s">
        <v>34</v>
      </c>
      <c r="B1218" t="s">
        <v>6</v>
      </c>
      <c r="C1218" t="s">
        <v>8</v>
      </c>
      <c r="D1218" t="s">
        <v>6</v>
      </c>
      <c r="E1218" t="s">
        <v>12</v>
      </c>
      <c r="F1218">
        <v>2034</v>
      </c>
      <c r="G1218">
        <v>0.685324398</v>
      </c>
      <c r="H1218">
        <v>3.5000000000000003E-2</v>
      </c>
      <c r="I1218">
        <v>0</v>
      </c>
    </row>
    <row r="1219" spans="1:9" hidden="1" x14ac:dyDescent="0.25">
      <c r="A1219" t="s">
        <v>34</v>
      </c>
      <c r="B1219" t="s">
        <v>6</v>
      </c>
      <c r="C1219" t="s">
        <v>8</v>
      </c>
      <c r="D1219" t="s">
        <v>6</v>
      </c>
      <c r="E1219" t="s">
        <v>12</v>
      </c>
      <c r="F1219">
        <v>2035</v>
      </c>
      <c r="G1219">
        <v>0.70588413000000005</v>
      </c>
      <c r="H1219">
        <v>3.5000000000000003E-2</v>
      </c>
      <c r="I1219">
        <v>0</v>
      </c>
    </row>
    <row r="1220" spans="1:9" hidden="1" x14ac:dyDescent="0.25">
      <c r="A1220" t="s">
        <v>34</v>
      </c>
      <c r="B1220" t="s">
        <v>6</v>
      </c>
      <c r="C1220" t="s">
        <v>8</v>
      </c>
      <c r="D1220" t="s">
        <v>6</v>
      </c>
      <c r="E1220" t="s">
        <v>12</v>
      </c>
      <c r="F1220">
        <v>2036</v>
      </c>
      <c r="G1220">
        <v>0.72706065399999997</v>
      </c>
      <c r="H1220">
        <v>3.5000000000000003E-2</v>
      </c>
      <c r="I1220">
        <v>0</v>
      </c>
    </row>
    <row r="1221" spans="1:9" hidden="1" x14ac:dyDescent="0.25">
      <c r="A1221" t="s">
        <v>34</v>
      </c>
      <c r="B1221" t="s">
        <v>6</v>
      </c>
      <c r="C1221" t="s">
        <v>8</v>
      </c>
      <c r="D1221" t="s">
        <v>6</v>
      </c>
      <c r="E1221" t="s">
        <v>12</v>
      </c>
      <c r="F1221">
        <v>2037</v>
      </c>
      <c r="G1221">
        <v>0.74887247300000004</v>
      </c>
      <c r="H1221">
        <v>3.5000000000000003E-2</v>
      </c>
      <c r="I1221">
        <v>0</v>
      </c>
    </row>
    <row r="1222" spans="1:9" hidden="1" x14ac:dyDescent="0.25">
      <c r="A1222" t="s">
        <v>34</v>
      </c>
      <c r="B1222" t="s">
        <v>6</v>
      </c>
      <c r="C1222" t="s">
        <v>8</v>
      </c>
      <c r="D1222" t="s">
        <v>6</v>
      </c>
      <c r="E1222" t="s">
        <v>12</v>
      </c>
      <c r="F1222">
        <v>2038</v>
      </c>
      <c r="G1222">
        <v>0.77133864799999996</v>
      </c>
      <c r="H1222">
        <v>3.5000000000000003E-2</v>
      </c>
      <c r="I1222">
        <v>0</v>
      </c>
    </row>
    <row r="1223" spans="1:9" hidden="1" x14ac:dyDescent="0.25">
      <c r="A1223" t="s">
        <v>34</v>
      </c>
      <c r="B1223" t="s">
        <v>6</v>
      </c>
      <c r="C1223" t="s">
        <v>8</v>
      </c>
      <c r="D1223" t="s">
        <v>6</v>
      </c>
      <c r="E1223" t="s">
        <v>12</v>
      </c>
      <c r="F1223">
        <v>2039</v>
      </c>
      <c r="G1223">
        <v>0.79447880699999995</v>
      </c>
      <c r="H1223">
        <v>3.5000000000000003E-2</v>
      </c>
      <c r="I1223">
        <v>0</v>
      </c>
    </row>
    <row r="1224" spans="1:9" hidden="1" x14ac:dyDescent="0.25">
      <c r="A1224" t="s">
        <v>34</v>
      </c>
      <c r="B1224" t="s">
        <v>6</v>
      </c>
      <c r="C1224" t="s">
        <v>8</v>
      </c>
      <c r="D1224" t="s">
        <v>6</v>
      </c>
      <c r="E1224" t="s">
        <v>12</v>
      </c>
      <c r="F1224">
        <v>2040</v>
      </c>
      <c r="G1224">
        <v>0.81831317100000001</v>
      </c>
      <c r="H1224">
        <v>3.5000000000000003E-2</v>
      </c>
      <c r="I1224">
        <v>0</v>
      </c>
    </row>
    <row r="1225" spans="1:9" hidden="1" x14ac:dyDescent="0.25">
      <c r="A1225" t="s">
        <v>34</v>
      </c>
      <c r="B1225" t="s">
        <v>6</v>
      </c>
      <c r="C1225" t="s">
        <v>8</v>
      </c>
      <c r="D1225" t="s">
        <v>6</v>
      </c>
      <c r="E1225" t="s">
        <v>12</v>
      </c>
      <c r="F1225">
        <v>2041</v>
      </c>
      <c r="G1225">
        <v>0.84286256599999998</v>
      </c>
      <c r="H1225">
        <v>3.5000000000000003E-2</v>
      </c>
      <c r="I1225">
        <v>0</v>
      </c>
    </row>
    <row r="1226" spans="1:9" hidden="1" x14ac:dyDescent="0.25">
      <c r="A1226" t="s">
        <v>34</v>
      </c>
      <c r="B1226" t="s">
        <v>6</v>
      </c>
      <c r="C1226" t="s">
        <v>10</v>
      </c>
      <c r="D1226" t="s">
        <v>6</v>
      </c>
      <c r="E1226" t="s">
        <v>11</v>
      </c>
      <c r="F1226">
        <v>2024</v>
      </c>
      <c r="G1226">
        <v>0.50994571399999999</v>
      </c>
      <c r="H1226">
        <v>3.5000000000000003E-2</v>
      </c>
      <c r="I1226">
        <v>21.19</v>
      </c>
    </row>
    <row r="1227" spans="1:9" hidden="1" x14ac:dyDescent="0.25">
      <c r="A1227" t="s">
        <v>34</v>
      </c>
      <c r="B1227" t="s">
        <v>6</v>
      </c>
      <c r="C1227" t="s">
        <v>10</v>
      </c>
      <c r="D1227" t="s">
        <v>6</v>
      </c>
      <c r="E1227" t="s">
        <v>11</v>
      </c>
      <c r="F1227">
        <v>2025</v>
      </c>
      <c r="G1227">
        <v>0.52524408600000005</v>
      </c>
      <c r="H1227">
        <v>3.5000000000000003E-2</v>
      </c>
      <c r="I1227">
        <v>21.19</v>
      </c>
    </row>
    <row r="1228" spans="1:9" hidden="1" x14ac:dyDescent="0.25">
      <c r="A1228" t="s">
        <v>34</v>
      </c>
      <c r="B1228" t="s">
        <v>6</v>
      </c>
      <c r="C1228" t="s">
        <v>10</v>
      </c>
      <c r="D1228" t="s">
        <v>6</v>
      </c>
      <c r="E1228" t="s">
        <v>11</v>
      </c>
      <c r="F1228">
        <v>2026</v>
      </c>
      <c r="G1228">
        <v>0.54100140799999996</v>
      </c>
      <c r="H1228">
        <v>3.5000000000000003E-2</v>
      </c>
      <c r="I1228">
        <v>22.79</v>
      </c>
    </row>
    <row r="1229" spans="1:9" hidden="1" x14ac:dyDescent="0.25">
      <c r="A1229" t="s">
        <v>34</v>
      </c>
      <c r="B1229" t="s">
        <v>6</v>
      </c>
      <c r="C1229" t="s">
        <v>10</v>
      </c>
      <c r="D1229" t="s">
        <v>6</v>
      </c>
      <c r="E1229" t="s">
        <v>11</v>
      </c>
      <c r="F1229">
        <v>2027</v>
      </c>
      <c r="G1229">
        <v>0.55723145100000004</v>
      </c>
      <c r="H1229">
        <v>3.5000000000000003E-2</v>
      </c>
      <c r="I1229">
        <v>22.79</v>
      </c>
    </row>
    <row r="1230" spans="1:9" hidden="1" x14ac:dyDescent="0.25">
      <c r="A1230" t="s">
        <v>34</v>
      </c>
      <c r="B1230" t="s">
        <v>6</v>
      </c>
      <c r="C1230" t="s">
        <v>10</v>
      </c>
      <c r="D1230" t="s">
        <v>6</v>
      </c>
      <c r="E1230" t="s">
        <v>11</v>
      </c>
      <c r="F1230">
        <v>2028</v>
      </c>
      <c r="G1230">
        <v>0.57394839399999997</v>
      </c>
      <c r="H1230">
        <v>3.5000000000000003E-2</v>
      </c>
      <c r="I1230">
        <v>22.79</v>
      </c>
    </row>
    <row r="1231" spans="1:9" hidden="1" x14ac:dyDescent="0.25">
      <c r="A1231" t="s">
        <v>34</v>
      </c>
      <c r="B1231" t="s">
        <v>6</v>
      </c>
      <c r="C1231" t="s">
        <v>10</v>
      </c>
      <c r="D1231" t="s">
        <v>6</v>
      </c>
      <c r="E1231" t="s">
        <v>11</v>
      </c>
      <c r="F1231">
        <v>2029</v>
      </c>
      <c r="G1231">
        <v>0.59116684600000002</v>
      </c>
      <c r="H1231">
        <v>3.5000000000000003E-2</v>
      </c>
      <c r="I1231">
        <v>22.79</v>
      </c>
    </row>
    <row r="1232" spans="1:9" hidden="1" x14ac:dyDescent="0.25">
      <c r="A1232" t="s">
        <v>34</v>
      </c>
      <c r="B1232" t="s">
        <v>6</v>
      </c>
      <c r="C1232" t="s">
        <v>10</v>
      </c>
      <c r="D1232" t="s">
        <v>6</v>
      </c>
      <c r="E1232" t="s">
        <v>11</v>
      </c>
      <c r="F1232">
        <v>2030</v>
      </c>
      <c r="G1232">
        <v>0.60890185100000005</v>
      </c>
      <c r="H1232">
        <v>3.5000000000000003E-2</v>
      </c>
      <c r="I1232">
        <v>22.79</v>
      </c>
    </row>
    <row r="1233" spans="1:9" hidden="1" x14ac:dyDescent="0.25">
      <c r="A1233" t="s">
        <v>34</v>
      </c>
      <c r="B1233" t="s">
        <v>6</v>
      </c>
      <c r="C1233" t="s">
        <v>10</v>
      </c>
      <c r="D1233" t="s">
        <v>6</v>
      </c>
      <c r="E1233" t="s">
        <v>11</v>
      </c>
      <c r="F1233">
        <v>2031</v>
      </c>
      <c r="G1233">
        <v>0.62716890700000005</v>
      </c>
      <c r="H1233">
        <v>3.5000000000000003E-2</v>
      </c>
      <c r="I1233">
        <v>26.99</v>
      </c>
    </row>
    <row r="1234" spans="1:9" hidden="1" x14ac:dyDescent="0.25">
      <c r="A1234" t="s">
        <v>34</v>
      </c>
      <c r="B1234" t="s">
        <v>6</v>
      </c>
      <c r="C1234" t="s">
        <v>10</v>
      </c>
      <c r="D1234" t="s">
        <v>6</v>
      </c>
      <c r="E1234" t="s">
        <v>11</v>
      </c>
      <c r="F1234">
        <v>2032</v>
      </c>
      <c r="G1234">
        <v>0.64598397399999996</v>
      </c>
      <c r="H1234">
        <v>3.5000000000000003E-2</v>
      </c>
      <c r="I1234">
        <v>27.96</v>
      </c>
    </row>
    <row r="1235" spans="1:9" hidden="1" x14ac:dyDescent="0.25">
      <c r="A1235" t="s">
        <v>34</v>
      </c>
      <c r="B1235" t="s">
        <v>6</v>
      </c>
      <c r="C1235" t="s">
        <v>10</v>
      </c>
      <c r="D1235" t="s">
        <v>6</v>
      </c>
      <c r="E1235" t="s">
        <v>11</v>
      </c>
      <c r="F1235">
        <v>2033</v>
      </c>
      <c r="G1235">
        <v>0.66536349299999997</v>
      </c>
      <c r="H1235">
        <v>3.5000000000000003E-2</v>
      </c>
      <c r="I1235">
        <v>28.98</v>
      </c>
    </row>
    <row r="1236" spans="1:9" hidden="1" x14ac:dyDescent="0.25">
      <c r="A1236" t="s">
        <v>34</v>
      </c>
      <c r="B1236" t="s">
        <v>6</v>
      </c>
      <c r="C1236" t="s">
        <v>10</v>
      </c>
      <c r="D1236" t="s">
        <v>6</v>
      </c>
      <c r="E1236" t="s">
        <v>11</v>
      </c>
      <c r="F1236">
        <v>2034</v>
      </c>
      <c r="G1236">
        <v>0.685324398</v>
      </c>
      <c r="H1236">
        <v>3.5000000000000003E-2</v>
      </c>
      <c r="I1236">
        <v>30.02</v>
      </c>
    </row>
    <row r="1237" spans="1:9" hidden="1" x14ac:dyDescent="0.25">
      <c r="A1237" t="s">
        <v>34</v>
      </c>
      <c r="B1237" t="s">
        <v>6</v>
      </c>
      <c r="C1237" t="s">
        <v>10</v>
      </c>
      <c r="D1237" t="s">
        <v>6</v>
      </c>
      <c r="E1237" t="s">
        <v>11</v>
      </c>
      <c r="F1237">
        <v>2035</v>
      </c>
      <c r="G1237">
        <v>0.70588413000000005</v>
      </c>
      <c r="H1237">
        <v>3.5000000000000003E-2</v>
      </c>
      <c r="I1237">
        <v>31.11</v>
      </c>
    </row>
    <row r="1238" spans="1:9" hidden="1" x14ac:dyDescent="0.25">
      <c r="A1238" t="s">
        <v>34</v>
      </c>
      <c r="B1238" t="s">
        <v>6</v>
      </c>
      <c r="C1238" t="s">
        <v>10</v>
      </c>
      <c r="D1238" t="s">
        <v>6</v>
      </c>
      <c r="E1238" t="s">
        <v>11</v>
      </c>
      <c r="F1238">
        <v>2036</v>
      </c>
      <c r="G1238">
        <v>0.72706065399999997</v>
      </c>
      <c r="H1238">
        <v>3.5000000000000003E-2</v>
      </c>
      <c r="I1238">
        <v>32.24</v>
      </c>
    </row>
    <row r="1239" spans="1:9" hidden="1" x14ac:dyDescent="0.25">
      <c r="A1239" t="s">
        <v>34</v>
      </c>
      <c r="B1239" t="s">
        <v>6</v>
      </c>
      <c r="C1239" t="s">
        <v>10</v>
      </c>
      <c r="D1239" t="s">
        <v>6</v>
      </c>
      <c r="E1239" t="s">
        <v>11</v>
      </c>
      <c r="F1239">
        <v>2037</v>
      </c>
      <c r="G1239">
        <v>0.74887247300000004</v>
      </c>
      <c r="H1239">
        <v>3.5000000000000003E-2</v>
      </c>
      <c r="I1239">
        <v>33.409999999999997</v>
      </c>
    </row>
    <row r="1240" spans="1:9" hidden="1" x14ac:dyDescent="0.25">
      <c r="A1240" t="s">
        <v>34</v>
      </c>
      <c r="B1240" t="s">
        <v>6</v>
      </c>
      <c r="C1240" t="s">
        <v>10</v>
      </c>
      <c r="D1240" t="s">
        <v>6</v>
      </c>
      <c r="E1240" t="s">
        <v>11</v>
      </c>
      <c r="F1240">
        <v>2038</v>
      </c>
      <c r="G1240">
        <v>0.77133864799999996</v>
      </c>
      <c r="H1240">
        <v>3.5000000000000003E-2</v>
      </c>
      <c r="I1240">
        <v>34.619999999999997</v>
      </c>
    </row>
    <row r="1241" spans="1:9" hidden="1" x14ac:dyDescent="0.25">
      <c r="A1241" t="s">
        <v>34</v>
      </c>
      <c r="B1241" t="s">
        <v>6</v>
      </c>
      <c r="C1241" t="s">
        <v>10</v>
      </c>
      <c r="D1241" t="s">
        <v>6</v>
      </c>
      <c r="E1241" t="s">
        <v>11</v>
      </c>
      <c r="F1241">
        <v>2039</v>
      </c>
      <c r="G1241">
        <v>0.79447880699999995</v>
      </c>
      <c r="H1241">
        <v>3.5000000000000003E-2</v>
      </c>
      <c r="I1241">
        <v>35.869999999999997</v>
      </c>
    </row>
    <row r="1242" spans="1:9" hidden="1" x14ac:dyDescent="0.25">
      <c r="A1242" t="s">
        <v>34</v>
      </c>
      <c r="B1242" t="s">
        <v>6</v>
      </c>
      <c r="C1242" t="s">
        <v>10</v>
      </c>
      <c r="D1242" t="s">
        <v>6</v>
      </c>
      <c r="E1242" t="s">
        <v>11</v>
      </c>
      <c r="F1242">
        <v>2040</v>
      </c>
      <c r="G1242">
        <v>0.81831317100000001</v>
      </c>
      <c r="H1242">
        <v>3.5000000000000003E-2</v>
      </c>
      <c r="I1242">
        <v>37.17</v>
      </c>
    </row>
    <row r="1243" spans="1:9" hidden="1" x14ac:dyDescent="0.25">
      <c r="A1243" t="s">
        <v>34</v>
      </c>
      <c r="B1243" t="s">
        <v>6</v>
      </c>
      <c r="C1243" t="s">
        <v>10</v>
      </c>
      <c r="D1243" t="s">
        <v>6</v>
      </c>
      <c r="E1243" t="s">
        <v>11</v>
      </c>
      <c r="F1243">
        <v>2041</v>
      </c>
      <c r="G1243">
        <v>0.84286256599999998</v>
      </c>
      <c r="H1243">
        <v>3.5000000000000003E-2</v>
      </c>
      <c r="I1243">
        <v>38.51</v>
      </c>
    </row>
    <row r="1244" spans="1:9" hidden="1" x14ac:dyDescent="0.25">
      <c r="A1244" t="s">
        <v>34</v>
      </c>
      <c r="B1244" t="s">
        <v>6</v>
      </c>
      <c r="C1244" t="s">
        <v>9</v>
      </c>
      <c r="D1244" t="s">
        <v>6</v>
      </c>
      <c r="E1244" t="s">
        <v>8</v>
      </c>
      <c r="F1244">
        <v>2024</v>
      </c>
      <c r="G1244">
        <v>0.50994571399999999</v>
      </c>
      <c r="H1244">
        <v>3.5000000000000003E-2</v>
      </c>
      <c r="I1244">
        <v>0</v>
      </c>
    </row>
    <row r="1245" spans="1:9" hidden="1" x14ac:dyDescent="0.25">
      <c r="A1245" t="s">
        <v>34</v>
      </c>
      <c r="B1245" t="s">
        <v>6</v>
      </c>
      <c r="C1245" t="s">
        <v>9</v>
      </c>
      <c r="D1245" t="s">
        <v>6</v>
      </c>
      <c r="E1245" t="s">
        <v>8</v>
      </c>
      <c r="F1245">
        <v>2025</v>
      </c>
      <c r="G1245">
        <v>0.52524408600000005</v>
      </c>
      <c r="H1245">
        <v>3.5000000000000003E-2</v>
      </c>
      <c r="I1245">
        <v>0</v>
      </c>
    </row>
    <row r="1246" spans="1:9" hidden="1" x14ac:dyDescent="0.25">
      <c r="A1246" t="s">
        <v>34</v>
      </c>
      <c r="B1246" t="s">
        <v>6</v>
      </c>
      <c r="C1246" t="s">
        <v>9</v>
      </c>
      <c r="D1246" t="s">
        <v>6</v>
      </c>
      <c r="E1246" t="s">
        <v>8</v>
      </c>
      <c r="F1246">
        <v>2026</v>
      </c>
      <c r="G1246">
        <v>0.54100140799999996</v>
      </c>
      <c r="H1246">
        <v>3.5000000000000003E-2</v>
      </c>
      <c r="I1246">
        <v>0</v>
      </c>
    </row>
    <row r="1247" spans="1:9" hidden="1" x14ac:dyDescent="0.25">
      <c r="A1247" t="s">
        <v>34</v>
      </c>
      <c r="B1247" t="s">
        <v>6</v>
      </c>
      <c r="C1247" t="s">
        <v>9</v>
      </c>
      <c r="D1247" t="s">
        <v>6</v>
      </c>
      <c r="E1247" t="s">
        <v>8</v>
      </c>
      <c r="F1247">
        <v>2027</v>
      </c>
      <c r="G1247">
        <v>0.55723145100000004</v>
      </c>
      <c r="H1247">
        <v>3.5000000000000003E-2</v>
      </c>
      <c r="I1247">
        <v>0</v>
      </c>
    </row>
    <row r="1248" spans="1:9" hidden="1" x14ac:dyDescent="0.25">
      <c r="A1248" t="s">
        <v>34</v>
      </c>
      <c r="B1248" t="s">
        <v>6</v>
      </c>
      <c r="C1248" t="s">
        <v>9</v>
      </c>
      <c r="D1248" t="s">
        <v>6</v>
      </c>
      <c r="E1248" t="s">
        <v>8</v>
      </c>
      <c r="F1248">
        <v>2028</v>
      </c>
      <c r="G1248">
        <v>0.57394839399999997</v>
      </c>
      <c r="H1248">
        <v>3.5000000000000003E-2</v>
      </c>
      <c r="I1248">
        <v>0</v>
      </c>
    </row>
    <row r="1249" spans="1:9" hidden="1" x14ac:dyDescent="0.25">
      <c r="A1249" t="s">
        <v>34</v>
      </c>
      <c r="B1249" t="s">
        <v>6</v>
      </c>
      <c r="C1249" t="s">
        <v>9</v>
      </c>
      <c r="D1249" t="s">
        <v>6</v>
      </c>
      <c r="E1249" t="s">
        <v>8</v>
      </c>
      <c r="F1249">
        <v>2029</v>
      </c>
      <c r="G1249">
        <v>0.59116684600000002</v>
      </c>
      <c r="H1249">
        <v>3.5000000000000003E-2</v>
      </c>
      <c r="I1249">
        <v>0</v>
      </c>
    </row>
    <row r="1250" spans="1:9" hidden="1" x14ac:dyDescent="0.25">
      <c r="A1250" t="s">
        <v>34</v>
      </c>
      <c r="B1250" t="s">
        <v>6</v>
      </c>
      <c r="C1250" t="s">
        <v>9</v>
      </c>
      <c r="D1250" t="s">
        <v>6</v>
      </c>
      <c r="E1250" t="s">
        <v>8</v>
      </c>
      <c r="F1250">
        <v>2030</v>
      </c>
      <c r="G1250">
        <v>0.60890185100000005</v>
      </c>
      <c r="H1250">
        <v>3.5000000000000003E-2</v>
      </c>
      <c r="I1250">
        <v>0</v>
      </c>
    </row>
    <row r="1251" spans="1:9" hidden="1" x14ac:dyDescent="0.25">
      <c r="A1251" t="s">
        <v>34</v>
      </c>
      <c r="B1251" t="s">
        <v>6</v>
      </c>
      <c r="C1251" t="s">
        <v>9</v>
      </c>
      <c r="D1251" t="s">
        <v>6</v>
      </c>
      <c r="E1251" t="s">
        <v>8</v>
      </c>
      <c r="F1251">
        <v>2031</v>
      </c>
      <c r="G1251">
        <v>0.62716890700000005</v>
      </c>
      <c r="H1251">
        <v>3.5000000000000003E-2</v>
      </c>
      <c r="I1251">
        <v>0</v>
      </c>
    </row>
    <row r="1252" spans="1:9" hidden="1" x14ac:dyDescent="0.25">
      <c r="A1252" t="s">
        <v>34</v>
      </c>
      <c r="B1252" t="s">
        <v>6</v>
      </c>
      <c r="C1252" t="s">
        <v>9</v>
      </c>
      <c r="D1252" t="s">
        <v>6</v>
      </c>
      <c r="E1252" t="s">
        <v>8</v>
      </c>
      <c r="F1252">
        <v>2032</v>
      </c>
      <c r="G1252">
        <v>0.64598397399999996</v>
      </c>
      <c r="H1252">
        <v>3.5000000000000003E-2</v>
      </c>
      <c r="I1252">
        <v>0</v>
      </c>
    </row>
    <row r="1253" spans="1:9" hidden="1" x14ac:dyDescent="0.25">
      <c r="A1253" t="s">
        <v>34</v>
      </c>
      <c r="B1253" t="s">
        <v>6</v>
      </c>
      <c r="C1253" t="s">
        <v>9</v>
      </c>
      <c r="D1253" t="s">
        <v>6</v>
      </c>
      <c r="E1253" t="s">
        <v>8</v>
      </c>
      <c r="F1253">
        <v>2033</v>
      </c>
      <c r="G1253">
        <v>0.66536349299999997</v>
      </c>
      <c r="H1253">
        <v>3.5000000000000003E-2</v>
      </c>
      <c r="I1253">
        <v>0</v>
      </c>
    </row>
    <row r="1254" spans="1:9" hidden="1" x14ac:dyDescent="0.25">
      <c r="A1254" t="s">
        <v>34</v>
      </c>
      <c r="B1254" t="s">
        <v>6</v>
      </c>
      <c r="C1254" t="s">
        <v>9</v>
      </c>
      <c r="D1254" t="s">
        <v>6</v>
      </c>
      <c r="E1254" t="s">
        <v>8</v>
      </c>
      <c r="F1254">
        <v>2034</v>
      </c>
      <c r="G1254">
        <v>0.685324398</v>
      </c>
      <c r="H1254">
        <v>3.5000000000000003E-2</v>
      </c>
      <c r="I1254">
        <v>0</v>
      </c>
    </row>
    <row r="1255" spans="1:9" hidden="1" x14ac:dyDescent="0.25">
      <c r="A1255" t="s">
        <v>34</v>
      </c>
      <c r="B1255" t="s">
        <v>6</v>
      </c>
      <c r="C1255" t="s">
        <v>9</v>
      </c>
      <c r="D1255" t="s">
        <v>6</v>
      </c>
      <c r="E1255" t="s">
        <v>8</v>
      </c>
      <c r="F1255">
        <v>2035</v>
      </c>
      <c r="G1255">
        <v>0.70588413000000005</v>
      </c>
      <c r="H1255">
        <v>3.5000000000000003E-2</v>
      </c>
      <c r="I1255">
        <v>0</v>
      </c>
    </row>
    <row r="1256" spans="1:9" hidden="1" x14ac:dyDescent="0.25">
      <c r="A1256" t="s">
        <v>34</v>
      </c>
      <c r="B1256" t="s">
        <v>6</v>
      </c>
      <c r="C1256" t="s">
        <v>9</v>
      </c>
      <c r="D1256" t="s">
        <v>6</v>
      </c>
      <c r="E1256" t="s">
        <v>8</v>
      </c>
      <c r="F1256">
        <v>2036</v>
      </c>
      <c r="G1256">
        <v>0.72706065399999997</v>
      </c>
      <c r="H1256">
        <v>3.5000000000000003E-2</v>
      </c>
      <c r="I1256">
        <v>0</v>
      </c>
    </row>
    <row r="1257" spans="1:9" hidden="1" x14ac:dyDescent="0.25">
      <c r="A1257" t="s">
        <v>34</v>
      </c>
      <c r="B1257" t="s">
        <v>6</v>
      </c>
      <c r="C1257" t="s">
        <v>9</v>
      </c>
      <c r="D1257" t="s">
        <v>6</v>
      </c>
      <c r="E1257" t="s">
        <v>8</v>
      </c>
      <c r="F1257">
        <v>2037</v>
      </c>
      <c r="G1257">
        <v>0.74887247300000004</v>
      </c>
      <c r="H1257">
        <v>3.5000000000000003E-2</v>
      </c>
      <c r="I1257">
        <v>0</v>
      </c>
    </row>
    <row r="1258" spans="1:9" hidden="1" x14ac:dyDescent="0.25">
      <c r="A1258" t="s">
        <v>34</v>
      </c>
      <c r="B1258" t="s">
        <v>6</v>
      </c>
      <c r="C1258" t="s">
        <v>9</v>
      </c>
      <c r="D1258" t="s">
        <v>6</v>
      </c>
      <c r="E1258" t="s">
        <v>8</v>
      </c>
      <c r="F1258">
        <v>2038</v>
      </c>
      <c r="G1258">
        <v>0.77133864799999996</v>
      </c>
      <c r="H1258">
        <v>3.5000000000000003E-2</v>
      </c>
      <c r="I1258">
        <v>0</v>
      </c>
    </row>
    <row r="1259" spans="1:9" hidden="1" x14ac:dyDescent="0.25">
      <c r="A1259" t="s">
        <v>34</v>
      </c>
      <c r="B1259" t="s">
        <v>6</v>
      </c>
      <c r="C1259" t="s">
        <v>9</v>
      </c>
      <c r="D1259" t="s">
        <v>6</v>
      </c>
      <c r="E1259" t="s">
        <v>8</v>
      </c>
      <c r="F1259">
        <v>2039</v>
      </c>
      <c r="G1259">
        <v>0.79447880699999995</v>
      </c>
      <c r="H1259">
        <v>3.5000000000000003E-2</v>
      </c>
      <c r="I1259">
        <v>0</v>
      </c>
    </row>
    <row r="1260" spans="1:9" hidden="1" x14ac:dyDescent="0.25">
      <c r="A1260" t="s">
        <v>34</v>
      </c>
      <c r="B1260" t="s">
        <v>6</v>
      </c>
      <c r="C1260" t="s">
        <v>9</v>
      </c>
      <c r="D1260" t="s">
        <v>6</v>
      </c>
      <c r="E1260" t="s">
        <v>8</v>
      </c>
      <c r="F1260">
        <v>2040</v>
      </c>
      <c r="G1260">
        <v>0.81831317100000001</v>
      </c>
      <c r="H1260">
        <v>3.5000000000000003E-2</v>
      </c>
      <c r="I1260">
        <v>0</v>
      </c>
    </row>
    <row r="1261" spans="1:9" hidden="1" x14ac:dyDescent="0.25">
      <c r="A1261" t="s">
        <v>34</v>
      </c>
      <c r="B1261" t="s">
        <v>6</v>
      </c>
      <c r="C1261" t="s">
        <v>9</v>
      </c>
      <c r="D1261" t="s">
        <v>6</v>
      </c>
      <c r="E1261" t="s">
        <v>8</v>
      </c>
      <c r="F1261">
        <v>2041</v>
      </c>
      <c r="G1261">
        <v>0.84286256599999998</v>
      </c>
      <c r="H1261">
        <v>3.5000000000000003E-2</v>
      </c>
      <c r="I1261">
        <v>0</v>
      </c>
    </row>
    <row r="1262" spans="1:9" hidden="1" x14ac:dyDescent="0.25">
      <c r="A1262" t="s">
        <v>34</v>
      </c>
      <c r="B1262" t="s">
        <v>6</v>
      </c>
      <c r="C1262" t="s">
        <v>12</v>
      </c>
      <c r="D1262" t="s">
        <v>6</v>
      </c>
      <c r="E1262" t="s">
        <v>9</v>
      </c>
      <c r="F1262">
        <v>2024</v>
      </c>
      <c r="G1262">
        <v>0.50994571399999999</v>
      </c>
      <c r="H1262">
        <v>3.5000000000000003E-2</v>
      </c>
      <c r="I1262">
        <v>1.5</v>
      </c>
    </row>
    <row r="1263" spans="1:9" hidden="1" x14ac:dyDescent="0.25">
      <c r="A1263" t="s">
        <v>34</v>
      </c>
      <c r="B1263" t="s">
        <v>6</v>
      </c>
      <c r="C1263" t="s">
        <v>12</v>
      </c>
      <c r="D1263" t="s">
        <v>6</v>
      </c>
      <c r="E1263" t="s">
        <v>9</v>
      </c>
      <c r="F1263">
        <v>2025</v>
      </c>
      <c r="G1263">
        <v>0.52524408600000005</v>
      </c>
      <c r="H1263">
        <v>3.5000000000000003E-2</v>
      </c>
      <c r="I1263">
        <v>1.5</v>
      </c>
    </row>
    <row r="1264" spans="1:9" hidden="1" x14ac:dyDescent="0.25">
      <c r="A1264" t="s">
        <v>34</v>
      </c>
      <c r="B1264" t="s">
        <v>6</v>
      </c>
      <c r="C1264" t="s">
        <v>12</v>
      </c>
      <c r="D1264" t="s">
        <v>6</v>
      </c>
      <c r="E1264" t="s">
        <v>9</v>
      </c>
      <c r="F1264">
        <v>2026</v>
      </c>
      <c r="G1264">
        <v>0.54100140799999996</v>
      </c>
      <c r="H1264">
        <v>3.5000000000000003E-2</v>
      </c>
      <c r="I1264">
        <v>1.5</v>
      </c>
    </row>
    <row r="1265" spans="1:9" hidden="1" x14ac:dyDescent="0.25">
      <c r="A1265" t="s">
        <v>34</v>
      </c>
      <c r="B1265" t="s">
        <v>6</v>
      </c>
      <c r="C1265" t="s">
        <v>12</v>
      </c>
      <c r="D1265" t="s">
        <v>6</v>
      </c>
      <c r="E1265" t="s">
        <v>9</v>
      </c>
      <c r="F1265">
        <v>2027</v>
      </c>
      <c r="G1265">
        <v>0.55723145100000004</v>
      </c>
      <c r="H1265">
        <v>3.5000000000000003E-2</v>
      </c>
      <c r="I1265">
        <v>1.5</v>
      </c>
    </row>
    <row r="1266" spans="1:9" hidden="1" x14ac:dyDescent="0.25">
      <c r="A1266" t="s">
        <v>34</v>
      </c>
      <c r="B1266" t="s">
        <v>6</v>
      </c>
      <c r="C1266" t="s">
        <v>12</v>
      </c>
      <c r="D1266" t="s">
        <v>6</v>
      </c>
      <c r="E1266" t="s">
        <v>9</v>
      </c>
      <c r="F1266">
        <v>2028</v>
      </c>
      <c r="G1266">
        <v>0.57394839399999997</v>
      </c>
      <c r="H1266">
        <v>3.5000000000000003E-2</v>
      </c>
      <c r="I1266">
        <v>1.5</v>
      </c>
    </row>
    <row r="1267" spans="1:9" hidden="1" x14ac:dyDescent="0.25">
      <c r="A1267" t="s">
        <v>34</v>
      </c>
      <c r="B1267" t="s">
        <v>6</v>
      </c>
      <c r="C1267" t="s">
        <v>12</v>
      </c>
      <c r="D1267" t="s">
        <v>6</v>
      </c>
      <c r="E1267" t="s">
        <v>9</v>
      </c>
      <c r="F1267">
        <v>2029</v>
      </c>
      <c r="G1267">
        <v>0.59116684600000002</v>
      </c>
      <c r="H1267">
        <v>3.5000000000000003E-2</v>
      </c>
      <c r="I1267">
        <v>1.5</v>
      </c>
    </row>
    <row r="1268" spans="1:9" hidden="1" x14ac:dyDescent="0.25">
      <c r="A1268" t="s">
        <v>34</v>
      </c>
      <c r="B1268" t="s">
        <v>6</v>
      </c>
      <c r="C1268" t="s">
        <v>12</v>
      </c>
      <c r="D1268" t="s">
        <v>6</v>
      </c>
      <c r="E1268" t="s">
        <v>9</v>
      </c>
      <c r="F1268">
        <v>2030</v>
      </c>
      <c r="G1268">
        <v>0.60890185100000005</v>
      </c>
      <c r="H1268">
        <v>3.5000000000000003E-2</v>
      </c>
      <c r="I1268">
        <v>1.5</v>
      </c>
    </row>
    <row r="1269" spans="1:9" hidden="1" x14ac:dyDescent="0.25">
      <c r="A1269" t="s">
        <v>34</v>
      </c>
      <c r="B1269" t="s">
        <v>6</v>
      </c>
      <c r="C1269" t="s">
        <v>12</v>
      </c>
      <c r="D1269" t="s">
        <v>6</v>
      </c>
      <c r="E1269" t="s">
        <v>9</v>
      </c>
      <c r="F1269">
        <v>2031</v>
      </c>
      <c r="G1269">
        <v>0.62716890700000005</v>
      </c>
      <c r="H1269">
        <v>3.5000000000000003E-2</v>
      </c>
      <c r="I1269">
        <v>1.5</v>
      </c>
    </row>
    <row r="1270" spans="1:9" hidden="1" x14ac:dyDescent="0.25">
      <c r="A1270" t="s">
        <v>34</v>
      </c>
      <c r="B1270" t="s">
        <v>6</v>
      </c>
      <c r="C1270" t="s">
        <v>12</v>
      </c>
      <c r="D1270" t="s">
        <v>6</v>
      </c>
      <c r="E1270" t="s">
        <v>9</v>
      </c>
      <c r="F1270">
        <v>2032</v>
      </c>
      <c r="G1270">
        <v>0.64598397399999996</v>
      </c>
      <c r="H1270">
        <v>3.5000000000000003E-2</v>
      </c>
      <c r="I1270">
        <v>1.55</v>
      </c>
    </row>
    <row r="1271" spans="1:9" hidden="1" x14ac:dyDescent="0.25">
      <c r="A1271" t="s">
        <v>34</v>
      </c>
      <c r="B1271" t="s">
        <v>6</v>
      </c>
      <c r="C1271" t="s">
        <v>12</v>
      </c>
      <c r="D1271" t="s">
        <v>6</v>
      </c>
      <c r="E1271" t="s">
        <v>9</v>
      </c>
      <c r="F1271">
        <v>2033</v>
      </c>
      <c r="G1271">
        <v>0.66536349299999997</v>
      </c>
      <c r="H1271">
        <v>3.5000000000000003E-2</v>
      </c>
      <c r="I1271">
        <v>1.61</v>
      </c>
    </row>
    <row r="1272" spans="1:9" hidden="1" x14ac:dyDescent="0.25">
      <c r="A1272" t="s">
        <v>34</v>
      </c>
      <c r="B1272" t="s">
        <v>6</v>
      </c>
      <c r="C1272" t="s">
        <v>12</v>
      </c>
      <c r="D1272" t="s">
        <v>6</v>
      </c>
      <c r="E1272" t="s">
        <v>9</v>
      </c>
      <c r="F1272">
        <v>2034</v>
      </c>
      <c r="G1272">
        <v>0.685324398</v>
      </c>
      <c r="H1272">
        <v>3.5000000000000003E-2</v>
      </c>
      <c r="I1272">
        <v>1.66</v>
      </c>
    </row>
    <row r="1273" spans="1:9" hidden="1" x14ac:dyDescent="0.25">
      <c r="A1273" t="s">
        <v>34</v>
      </c>
      <c r="B1273" t="s">
        <v>6</v>
      </c>
      <c r="C1273" t="s">
        <v>12</v>
      </c>
      <c r="D1273" t="s">
        <v>6</v>
      </c>
      <c r="E1273" t="s">
        <v>9</v>
      </c>
      <c r="F1273">
        <v>2035</v>
      </c>
      <c r="G1273">
        <v>0.70588413000000005</v>
      </c>
      <c r="H1273">
        <v>3.5000000000000003E-2</v>
      </c>
      <c r="I1273">
        <v>1.72</v>
      </c>
    </row>
    <row r="1274" spans="1:9" hidden="1" x14ac:dyDescent="0.25">
      <c r="A1274" t="s">
        <v>34</v>
      </c>
      <c r="B1274" t="s">
        <v>6</v>
      </c>
      <c r="C1274" t="s">
        <v>12</v>
      </c>
      <c r="D1274" t="s">
        <v>6</v>
      </c>
      <c r="E1274" t="s">
        <v>9</v>
      </c>
      <c r="F1274">
        <v>2036</v>
      </c>
      <c r="G1274">
        <v>0.72706065399999997</v>
      </c>
      <c r="H1274">
        <v>3.5000000000000003E-2</v>
      </c>
      <c r="I1274">
        <v>1.79</v>
      </c>
    </row>
    <row r="1275" spans="1:9" hidden="1" x14ac:dyDescent="0.25">
      <c r="A1275" t="s">
        <v>34</v>
      </c>
      <c r="B1275" t="s">
        <v>6</v>
      </c>
      <c r="C1275" t="s">
        <v>12</v>
      </c>
      <c r="D1275" t="s">
        <v>6</v>
      </c>
      <c r="E1275" t="s">
        <v>9</v>
      </c>
      <c r="F1275">
        <v>2037</v>
      </c>
      <c r="G1275">
        <v>0.74887247300000004</v>
      </c>
      <c r="H1275">
        <v>3.5000000000000003E-2</v>
      </c>
      <c r="I1275">
        <v>1.85</v>
      </c>
    </row>
    <row r="1276" spans="1:9" hidden="1" x14ac:dyDescent="0.25">
      <c r="A1276" t="s">
        <v>34</v>
      </c>
      <c r="B1276" t="s">
        <v>6</v>
      </c>
      <c r="C1276" t="s">
        <v>12</v>
      </c>
      <c r="D1276" t="s">
        <v>6</v>
      </c>
      <c r="E1276" t="s">
        <v>9</v>
      </c>
      <c r="F1276">
        <v>2038</v>
      </c>
      <c r="G1276">
        <v>0.77133864799999996</v>
      </c>
      <c r="H1276">
        <v>3.5000000000000003E-2</v>
      </c>
      <c r="I1276">
        <v>1.92</v>
      </c>
    </row>
    <row r="1277" spans="1:9" hidden="1" x14ac:dyDescent="0.25">
      <c r="A1277" t="s">
        <v>34</v>
      </c>
      <c r="B1277" t="s">
        <v>6</v>
      </c>
      <c r="C1277" t="s">
        <v>12</v>
      </c>
      <c r="D1277" t="s">
        <v>6</v>
      </c>
      <c r="E1277" t="s">
        <v>9</v>
      </c>
      <c r="F1277">
        <v>2039</v>
      </c>
      <c r="G1277">
        <v>0.79447880699999995</v>
      </c>
      <c r="H1277">
        <v>3.5000000000000003E-2</v>
      </c>
      <c r="I1277">
        <v>1.99</v>
      </c>
    </row>
    <row r="1278" spans="1:9" hidden="1" x14ac:dyDescent="0.25">
      <c r="A1278" t="s">
        <v>34</v>
      </c>
      <c r="B1278" t="s">
        <v>6</v>
      </c>
      <c r="C1278" t="s">
        <v>12</v>
      </c>
      <c r="D1278" t="s">
        <v>6</v>
      </c>
      <c r="E1278" t="s">
        <v>9</v>
      </c>
      <c r="F1278">
        <v>2040</v>
      </c>
      <c r="G1278">
        <v>0.81831317100000001</v>
      </c>
      <c r="H1278">
        <v>3.5000000000000003E-2</v>
      </c>
      <c r="I1278">
        <v>2.06</v>
      </c>
    </row>
    <row r="1279" spans="1:9" hidden="1" x14ac:dyDescent="0.25">
      <c r="A1279" t="s">
        <v>34</v>
      </c>
      <c r="B1279" t="s">
        <v>6</v>
      </c>
      <c r="C1279" t="s">
        <v>12</v>
      </c>
      <c r="D1279" t="s">
        <v>6</v>
      </c>
      <c r="E1279" t="s">
        <v>9</v>
      </c>
      <c r="F1279">
        <v>2041</v>
      </c>
      <c r="G1279">
        <v>0.84286256599999998</v>
      </c>
      <c r="H1279">
        <v>3.5000000000000003E-2</v>
      </c>
      <c r="I1279">
        <v>2.14</v>
      </c>
    </row>
    <row r="1280" spans="1:9" hidden="1" x14ac:dyDescent="0.25">
      <c r="A1280" t="s">
        <v>34</v>
      </c>
      <c r="B1280" t="s">
        <v>6</v>
      </c>
      <c r="C1280" t="s">
        <v>11</v>
      </c>
      <c r="D1280" t="s">
        <v>6</v>
      </c>
      <c r="E1280" t="s">
        <v>12</v>
      </c>
      <c r="F1280">
        <v>2024</v>
      </c>
      <c r="G1280">
        <v>0.50994571399999999</v>
      </c>
      <c r="H1280">
        <v>3.5000000000000003E-2</v>
      </c>
      <c r="I1280">
        <v>32.57</v>
      </c>
    </row>
    <row r="1281" spans="1:9" hidden="1" x14ac:dyDescent="0.25">
      <c r="A1281" t="s">
        <v>34</v>
      </c>
      <c r="B1281" t="s">
        <v>6</v>
      </c>
      <c r="C1281" t="s">
        <v>11</v>
      </c>
      <c r="D1281" t="s">
        <v>6</v>
      </c>
      <c r="E1281" t="s">
        <v>12</v>
      </c>
      <c r="F1281">
        <v>2025</v>
      </c>
      <c r="G1281">
        <v>0.52524408600000005</v>
      </c>
      <c r="H1281">
        <v>3.5000000000000003E-2</v>
      </c>
      <c r="I1281">
        <v>33.99</v>
      </c>
    </row>
    <row r="1282" spans="1:9" hidden="1" x14ac:dyDescent="0.25">
      <c r="A1282" t="s">
        <v>34</v>
      </c>
      <c r="B1282" t="s">
        <v>6</v>
      </c>
      <c r="C1282" t="s">
        <v>11</v>
      </c>
      <c r="D1282" t="s">
        <v>6</v>
      </c>
      <c r="E1282" t="s">
        <v>12</v>
      </c>
      <c r="F1282">
        <v>2026</v>
      </c>
      <c r="G1282">
        <v>0.54100140799999996</v>
      </c>
      <c r="H1282">
        <v>3.5000000000000003E-2</v>
      </c>
      <c r="I1282">
        <v>33.99</v>
      </c>
    </row>
    <row r="1283" spans="1:9" hidden="1" x14ac:dyDescent="0.25">
      <c r="A1283" t="s">
        <v>34</v>
      </c>
      <c r="B1283" t="s">
        <v>6</v>
      </c>
      <c r="C1283" t="s">
        <v>11</v>
      </c>
      <c r="D1283" t="s">
        <v>6</v>
      </c>
      <c r="E1283" t="s">
        <v>12</v>
      </c>
      <c r="F1283">
        <v>2027</v>
      </c>
      <c r="G1283">
        <v>0.55723145100000004</v>
      </c>
      <c r="H1283">
        <v>3.5000000000000003E-2</v>
      </c>
      <c r="I1283">
        <v>33.99</v>
      </c>
    </row>
    <row r="1284" spans="1:9" hidden="1" x14ac:dyDescent="0.25">
      <c r="A1284" t="s">
        <v>34</v>
      </c>
      <c r="B1284" t="s">
        <v>6</v>
      </c>
      <c r="C1284" t="s">
        <v>11</v>
      </c>
      <c r="D1284" t="s">
        <v>6</v>
      </c>
      <c r="E1284" t="s">
        <v>12</v>
      </c>
      <c r="F1284">
        <v>2028</v>
      </c>
      <c r="G1284">
        <v>0.57394839399999997</v>
      </c>
      <c r="H1284">
        <v>3.5000000000000003E-2</v>
      </c>
      <c r="I1284">
        <v>46.72</v>
      </c>
    </row>
    <row r="1285" spans="1:9" hidden="1" x14ac:dyDescent="0.25">
      <c r="A1285" t="s">
        <v>34</v>
      </c>
      <c r="B1285" t="s">
        <v>6</v>
      </c>
      <c r="C1285" t="s">
        <v>11</v>
      </c>
      <c r="D1285" t="s">
        <v>6</v>
      </c>
      <c r="E1285" t="s">
        <v>12</v>
      </c>
      <c r="F1285">
        <v>2029</v>
      </c>
      <c r="G1285">
        <v>0.59116684600000002</v>
      </c>
      <c r="H1285">
        <v>3.5000000000000003E-2</v>
      </c>
      <c r="I1285">
        <v>46.72</v>
      </c>
    </row>
    <row r="1286" spans="1:9" hidden="1" x14ac:dyDescent="0.25">
      <c r="A1286" t="s">
        <v>34</v>
      </c>
      <c r="B1286" t="s">
        <v>6</v>
      </c>
      <c r="C1286" t="s">
        <v>11</v>
      </c>
      <c r="D1286" t="s">
        <v>6</v>
      </c>
      <c r="E1286" t="s">
        <v>12</v>
      </c>
      <c r="F1286">
        <v>2030</v>
      </c>
      <c r="G1286">
        <v>0.60890185100000005</v>
      </c>
      <c r="H1286">
        <v>3.5000000000000003E-2</v>
      </c>
      <c r="I1286">
        <v>50.92</v>
      </c>
    </row>
    <row r="1287" spans="1:9" hidden="1" x14ac:dyDescent="0.25">
      <c r="A1287" t="s">
        <v>34</v>
      </c>
      <c r="B1287" t="s">
        <v>6</v>
      </c>
      <c r="C1287" t="s">
        <v>11</v>
      </c>
      <c r="D1287" t="s">
        <v>6</v>
      </c>
      <c r="E1287" t="s">
        <v>12</v>
      </c>
      <c r="F1287">
        <v>2031</v>
      </c>
      <c r="G1287">
        <v>0.62716890700000005</v>
      </c>
      <c r="H1287">
        <v>3.5000000000000003E-2</v>
      </c>
      <c r="I1287">
        <v>61.12</v>
      </c>
    </row>
    <row r="1288" spans="1:9" hidden="1" x14ac:dyDescent="0.25">
      <c r="A1288" t="s">
        <v>34</v>
      </c>
      <c r="B1288" t="s">
        <v>6</v>
      </c>
      <c r="C1288" t="s">
        <v>11</v>
      </c>
      <c r="D1288" t="s">
        <v>6</v>
      </c>
      <c r="E1288" t="s">
        <v>12</v>
      </c>
      <c r="F1288">
        <v>2032</v>
      </c>
      <c r="G1288">
        <v>0.64598397399999996</v>
      </c>
      <c r="H1288">
        <v>3.5000000000000003E-2</v>
      </c>
      <c r="I1288">
        <v>65.36</v>
      </c>
    </row>
    <row r="1289" spans="1:9" hidden="1" x14ac:dyDescent="0.25">
      <c r="A1289" t="s">
        <v>34</v>
      </c>
      <c r="B1289" t="s">
        <v>6</v>
      </c>
      <c r="C1289" t="s">
        <v>11</v>
      </c>
      <c r="D1289" t="s">
        <v>6</v>
      </c>
      <c r="E1289" t="s">
        <v>12</v>
      </c>
      <c r="F1289">
        <v>2033</v>
      </c>
      <c r="G1289">
        <v>0.66536349299999997</v>
      </c>
      <c r="H1289">
        <v>3.5000000000000003E-2</v>
      </c>
      <c r="I1289">
        <v>69.900000000000006</v>
      </c>
    </row>
    <row r="1290" spans="1:9" hidden="1" x14ac:dyDescent="0.25">
      <c r="A1290" t="s">
        <v>34</v>
      </c>
      <c r="B1290" t="s">
        <v>6</v>
      </c>
      <c r="C1290" t="s">
        <v>11</v>
      </c>
      <c r="D1290" t="s">
        <v>6</v>
      </c>
      <c r="E1290" t="s">
        <v>12</v>
      </c>
      <c r="F1290">
        <v>2034</v>
      </c>
      <c r="G1290">
        <v>0.685324398</v>
      </c>
      <c r="H1290">
        <v>3.5000000000000003E-2</v>
      </c>
      <c r="I1290">
        <v>74.75</v>
      </c>
    </row>
    <row r="1291" spans="1:9" hidden="1" x14ac:dyDescent="0.25">
      <c r="A1291" t="s">
        <v>34</v>
      </c>
      <c r="B1291" t="s">
        <v>6</v>
      </c>
      <c r="C1291" t="s">
        <v>11</v>
      </c>
      <c r="D1291" t="s">
        <v>6</v>
      </c>
      <c r="E1291" t="s">
        <v>12</v>
      </c>
      <c r="F1291">
        <v>2035</v>
      </c>
      <c r="G1291">
        <v>0.70588413000000005</v>
      </c>
      <c r="H1291">
        <v>3.5000000000000003E-2</v>
      </c>
      <c r="I1291">
        <v>79.95</v>
      </c>
    </row>
    <row r="1292" spans="1:9" hidden="1" x14ac:dyDescent="0.25">
      <c r="A1292" t="s">
        <v>34</v>
      </c>
      <c r="B1292" t="s">
        <v>6</v>
      </c>
      <c r="C1292" t="s">
        <v>11</v>
      </c>
      <c r="D1292" t="s">
        <v>6</v>
      </c>
      <c r="E1292" t="s">
        <v>12</v>
      </c>
      <c r="F1292">
        <v>2036</v>
      </c>
      <c r="G1292">
        <v>0.72706065399999997</v>
      </c>
      <c r="H1292">
        <v>3.5000000000000003E-2</v>
      </c>
      <c r="I1292">
        <v>85.5</v>
      </c>
    </row>
    <row r="1293" spans="1:9" hidden="1" x14ac:dyDescent="0.25">
      <c r="A1293" t="s">
        <v>34</v>
      </c>
      <c r="B1293" t="s">
        <v>6</v>
      </c>
      <c r="C1293" t="s">
        <v>11</v>
      </c>
      <c r="D1293" t="s">
        <v>6</v>
      </c>
      <c r="E1293" t="s">
        <v>12</v>
      </c>
      <c r="F1293">
        <v>2037</v>
      </c>
      <c r="G1293">
        <v>0.74887247300000004</v>
      </c>
      <c r="H1293">
        <v>3.5000000000000003E-2</v>
      </c>
      <c r="I1293">
        <v>91.44</v>
      </c>
    </row>
    <row r="1294" spans="1:9" hidden="1" x14ac:dyDescent="0.25">
      <c r="A1294" t="s">
        <v>34</v>
      </c>
      <c r="B1294" t="s">
        <v>6</v>
      </c>
      <c r="C1294" t="s">
        <v>11</v>
      </c>
      <c r="D1294" t="s">
        <v>6</v>
      </c>
      <c r="E1294" t="s">
        <v>12</v>
      </c>
      <c r="F1294">
        <v>2038</v>
      </c>
      <c r="G1294">
        <v>0.77133864799999996</v>
      </c>
      <c r="H1294">
        <v>3.5000000000000003E-2</v>
      </c>
      <c r="I1294">
        <v>97.79</v>
      </c>
    </row>
    <row r="1295" spans="1:9" hidden="1" x14ac:dyDescent="0.25">
      <c r="A1295" t="s">
        <v>34</v>
      </c>
      <c r="B1295" t="s">
        <v>6</v>
      </c>
      <c r="C1295" t="s">
        <v>11</v>
      </c>
      <c r="D1295" t="s">
        <v>6</v>
      </c>
      <c r="E1295" t="s">
        <v>12</v>
      </c>
      <c r="F1295">
        <v>2039</v>
      </c>
      <c r="G1295">
        <v>0.79447880699999995</v>
      </c>
      <c r="H1295">
        <v>3.5000000000000003E-2</v>
      </c>
      <c r="I1295">
        <v>104.58</v>
      </c>
    </row>
    <row r="1296" spans="1:9" hidden="1" x14ac:dyDescent="0.25">
      <c r="A1296" t="s">
        <v>34</v>
      </c>
      <c r="B1296" t="s">
        <v>6</v>
      </c>
      <c r="C1296" t="s">
        <v>11</v>
      </c>
      <c r="D1296" t="s">
        <v>6</v>
      </c>
      <c r="E1296" t="s">
        <v>12</v>
      </c>
      <c r="F1296">
        <v>2040</v>
      </c>
      <c r="G1296">
        <v>0.81831317100000001</v>
      </c>
      <c r="H1296">
        <v>3.5000000000000003E-2</v>
      </c>
      <c r="I1296">
        <v>111.84</v>
      </c>
    </row>
    <row r="1297" spans="1:9" hidden="1" x14ac:dyDescent="0.25">
      <c r="A1297" t="s">
        <v>34</v>
      </c>
      <c r="B1297" t="s">
        <v>6</v>
      </c>
      <c r="C1297" t="s">
        <v>11</v>
      </c>
      <c r="D1297" t="s">
        <v>6</v>
      </c>
      <c r="E1297" t="s">
        <v>12</v>
      </c>
      <c r="F1297">
        <v>2041</v>
      </c>
      <c r="G1297">
        <v>0.84286256599999998</v>
      </c>
      <c r="H1297">
        <v>3.5000000000000003E-2</v>
      </c>
      <c r="I1297">
        <v>119.61</v>
      </c>
    </row>
    <row r="1298" spans="1:9" hidden="1" x14ac:dyDescent="0.25">
      <c r="A1298" t="s">
        <v>34</v>
      </c>
      <c r="B1298" t="s">
        <v>6</v>
      </c>
      <c r="C1298" t="s">
        <v>8</v>
      </c>
      <c r="D1298" t="s">
        <v>6</v>
      </c>
      <c r="E1298" t="s">
        <v>11</v>
      </c>
      <c r="F1298">
        <v>2024</v>
      </c>
      <c r="G1298">
        <v>0.50994571399999999</v>
      </c>
      <c r="H1298">
        <v>3.5000000000000003E-2</v>
      </c>
      <c r="I1298">
        <v>19.93</v>
      </c>
    </row>
    <row r="1299" spans="1:9" hidden="1" x14ac:dyDescent="0.25">
      <c r="A1299" t="s">
        <v>34</v>
      </c>
      <c r="B1299" t="s">
        <v>6</v>
      </c>
      <c r="C1299" t="s">
        <v>8</v>
      </c>
      <c r="D1299" t="s">
        <v>6</v>
      </c>
      <c r="E1299" t="s">
        <v>11</v>
      </c>
      <c r="F1299">
        <v>2025</v>
      </c>
      <c r="G1299">
        <v>0.52524408600000005</v>
      </c>
      <c r="H1299">
        <v>3.5000000000000003E-2</v>
      </c>
      <c r="I1299">
        <v>19.93</v>
      </c>
    </row>
    <row r="1300" spans="1:9" hidden="1" x14ac:dyDescent="0.25">
      <c r="A1300" t="s">
        <v>34</v>
      </c>
      <c r="B1300" t="s">
        <v>6</v>
      </c>
      <c r="C1300" t="s">
        <v>8</v>
      </c>
      <c r="D1300" t="s">
        <v>6</v>
      </c>
      <c r="E1300" t="s">
        <v>11</v>
      </c>
      <c r="F1300">
        <v>2026</v>
      </c>
      <c r="G1300">
        <v>0.54100140799999996</v>
      </c>
      <c r="H1300">
        <v>3.5000000000000003E-2</v>
      </c>
      <c r="I1300">
        <v>19.93</v>
      </c>
    </row>
    <row r="1301" spans="1:9" hidden="1" x14ac:dyDescent="0.25">
      <c r="A1301" t="s">
        <v>34</v>
      </c>
      <c r="B1301" t="s">
        <v>6</v>
      </c>
      <c r="C1301" t="s">
        <v>8</v>
      </c>
      <c r="D1301" t="s">
        <v>6</v>
      </c>
      <c r="E1301" t="s">
        <v>11</v>
      </c>
      <c r="F1301">
        <v>2027</v>
      </c>
      <c r="G1301">
        <v>0.55723145100000004</v>
      </c>
      <c r="H1301">
        <v>3.5000000000000003E-2</v>
      </c>
      <c r="I1301">
        <v>19.93</v>
      </c>
    </row>
    <row r="1302" spans="1:9" hidden="1" x14ac:dyDescent="0.25">
      <c r="A1302" t="s">
        <v>34</v>
      </c>
      <c r="B1302" t="s">
        <v>6</v>
      </c>
      <c r="C1302" t="s">
        <v>8</v>
      </c>
      <c r="D1302" t="s">
        <v>6</v>
      </c>
      <c r="E1302" t="s">
        <v>11</v>
      </c>
      <c r="F1302">
        <v>2028</v>
      </c>
      <c r="G1302">
        <v>0.57394839399999997</v>
      </c>
      <c r="H1302">
        <v>3.5000000000000003E-2</v>
      </c>
      <c r="I1302">
        <v>25.12</v>
      </c>
    </row>
    <row r="1303" spans="1:9" hidden="1" x14ac:dyDescent="0.25">
      <c r="A1303" t="s">
        <v>34</v>
      </c>
      <c r="B1303" t="s">
        <v>6</v>
      </c>
      <c r="C1303" t="s">
        <v>8</v>
      </c>
      <c r="D1303" t="s">
        <v>6</v>
      </c>
      <c r="E1303" t="s">
        <v>11</v>
      </c>
      <c r="F1303">
        <v>2029</v>
      </c>
      <c r="G1303">
        <v>0.59116684600000002</v>
      </c>
      <c r="H1303">
        <v>3.5000000000000003E-2</v>
      </c>
      <c r="I1303">
        <v>25.12</v>
      </c>
    </row>
    <row r="1304" spans="1:9" hidden="1" x14ac:dyDescent="0.25">
      <c r="A1304" t="s">
        <v>34</v>
      </c>
      <c r="B1304" t="s">
        <v>6</v>
      </c>
      <c r="C1304" t="s">
        <v>8</v>
      </c>
      <c r="D1304" t="s">
        <v>6</v>
      </c>
      <c r="E1304" t="s">
        <v>11</v>
      </c>
      <c r="F1304">
        <v>2030</v>
      </c>
      <c r="G1304">
        <v>0.60890185100000005</v>
      </c>
      <c r="H1304">
        <v>3.5000000000000003E-2</v>
      </c>
      <c r="I1304">
        <v>25.12</v>
      </c>
    </row>
    <row r="1305" spans="1:9" hidden="1" x14ac:dyDescent="0.25">
      <c r="A1305" t="s">
        <v>34</v>
      </c>
      <c r="B1305" t="s">
        <v>6</v>
      </c>
      <c r="C1305" t="s">
        <v>8</v>
      </c>
      <c r="D1305" t="s">
        <v>6</v>
      </c>
      <c r="E1305" t="s">
        <v>11</v>
      </c>
      <c r="F1305">
        <v>2031</v>
      </c>
      <c r="G1305">
        <v>0.62716890700000005</v>
      </c>
      <c r="H1305">
        <v>3.5000000000000003E-2</v>
      </c>
      <c r="I1305">
        <v>25.5</v>
      </c>
    </row>
    <row r="1306" spans="1:9" hidden="1" x14ac:dyDescent="0.25">
      <c r="A1306" t="s">
        <v>34</v>
      </c>
      <c r="B1306" t="s">
        <v>6</v>
      </c>
      <c r="C1306" t="s">
        <v>8</v>
      </c>
      <c r="D1306" t="s">
        <v>6</v>
      </c>
      <c r="E1306" t="s">
        <v>11</v>
      </c>
      <c r="F1306">
        <v>2032</v>
      </c>
      <c r="G1306">
        <v>0.64598397399999996</v>
      </c>
      <c r="H1306">
        <v>3.5000000000000003E-2</v>
      </c>
      <c r="I1306">
        <v>27.02</v>
      </c>
    </row>
    <row r="1307" spans="1:9" hidden="1" x14ac:dyDescent="0.25">
      <c r="A1307" t="s">
        <v>34</v>
      </c>
      <c r="B1307" t="s">
        <v>6</v>
      </c>
      <c r="C1307" t="s">
        <v>8</v>
      </c>
      <c r="D1307" t="s">
        <v>6</v>
      </c>
      <c r="E1307" t="s">
        <v>11</v>
      </c>
      <c r="F1307">
        <v>2033</v>
      </c>
      <c r="G1307">
        <v>0.66536349299999997</v>
      </c>
      <c r="H1307">
        <v>3.5000000000000003E-2</v>
      </c>
      <c r="I1307">
        <v>28.63</v>
      </c>
    </row>
    <row r="1308" spans="1:9" hidden="1" x14ac:dyDescent="0.25">
      <c r="A1308" t="s">
        <v>34</v>
      </c>
      <c r="B1308" t="s">
        <v>6</v>
      </c>
      <c r="C1308" t="s">
        <v>8</v>
      </c>
      <c r="D1308" t="s">
        <v>6</v>
      </c>
      <c r="E1308" t="s">
        <v>11</v>
      </c>
      <c r="F1308">
        <v>2034</v>
      </c>
      <c r="G1308">
        <v>0.685324398</v>
      </c>
      <c r="H1308">
        <v>3.5000000000000003E-2</v>
      </c>
      <c r="I1308">
        <v>30.33</v>
      </c>
    </row>
    <row r="1309" spans="1:9" hidden="1" x14ac:dyDescent="0.25">
      <c r="A1309" t="s">
        <v>34</v>
      </c>
      <c r="B1309" t="s">
        <v>6</v>
      </c>
      <c r="C1309" t="s">
        <v>8</v>
      </c>
      <c r="D1309" t="s">
        <v>6</v>
      </c>
      <c r="E1309" t="s">
        <v>11</v>
      </c>
      <c r="F1309">
        <v>2035</v>
      </c>
      <c r="G1309">
        <v>0.70588413000000005</v>
      </c>
      <c r="H1309">
        <v>3.5000000000000003E-2</v>
      </c>
      <c r="I1309">
        <v>32.130000000000003</v>
      </c>
    </row>
    <row r="1310" spans="1:9" hidden="1" x14ac:dyDescent="0.25">
      <c r="A1310" t="s">
        <v>34</v>
      </c>
      <c r="B1310" t="s">
        <v>6</v>
      </c>
      <c r="C1310" t="s">
        <v>8</v>
      </c>
      <c r="D1310" t="s">
        <v>6</v>
      </c>
      <c r="E1310" t="s">
        <v>11</v>
      </c>
      <c r="F1310">
        <v>2036</v>
      </c>
      <c r="G1310">
        <v>0.72706065399999997</v>
      </c>
      <c r="H1310">
        <v>3.5000000000000003E-2</v>
      </c>
      <c r="I1310">
        <v>34.04</v>
      </c>
    </row>
    <row r="1311" spans="1:9" hidden="1" x14ac:dyDescent="0.25">
      <c r="A1311" t="s">
        <v>34</v>
      </c>
      <c r="B1311" t="s">
        <v>6</v>
      </c>
      <c r="C1311" t="s">
        <v>8</v>
      </c>
      <c r="D1311" t="s">
        <v>6</v>
      </c>
      <c r="E1311" t="s">
        <v>11</v>
      </c>
      <c r="F1311">
        <v>2037</v>
      </c>
      <c r="G1311">
        <v>0.74887247300000004</v>
      </c>
      <c r="H1311">
        <v>3.5000000000000003E-2</v>
      </c>
      <c r="I1311">
        <v>36.07</v>
      </c>
    </row>
    <row r="1312" spans="1:9" hidden="1" x14ac:dyDescent="0.25">
      <c r="A1312" t="s">
        <v>34</v>
      </c>
      <c r="B1312" t="s">
        <v>6</v>
      </c>
      <c r="C1312" t="s">
        <v>8</v>
      </c>
      <c r="D1312" t="s">
        <v>6</v>
      </c>
      <c r="E1312" t="s">
        <v>11</v>
      </c>
      <c r="F1312">
        <v>2038</v>
      </c>
      <c r="G1312">
        <v>0.77133864799999996</v>
      </c>
      <c r="H1312">
        <v>3.5000000000000003E-2</v>
      </c>
      <c r="I1312">
        <v>38.21</v>
      </c>
    </row>
    <row r="1313" spans="1:9" hidden="1" x14ac:dyDescent="0.25">
      <c r="A1313" t="s">
        <v>34</v>
      </c>
      <c r="B1313" t="s">
        <v>6</v>
      </c>
      <c r="C1313" t="s">
        <v>8</v>
      </c>
      <c r="D1313" t="s">
        <v>6</v>
      </c>
      <c r="E1313" t="s">
        <v>11</v>
      </c>
      <c r="F1313">
        <v>2039</v>
      </c>
      <c r="G1313">
        <v>0.79447880699999995</v>
      </c>
      <c r="H1313">
        <v>3.5000000000000003E-2</v>
      </c>
      <c r="I1313">
        <v>40.49</v>
      </c>
    </row>
    <row r="1314" spans="1:9" hidden="1" x14ac:dyDescent="0.25">
      <c r="A1314" t="s">
        <v>34</v>
      </c>
      <c r="B1314" t="s">
        <v>6</v>
      </c>
      <c r="C1314" t="s">
        <v>8</v>
      </c>
      <c r="D1314" t="s">
        <v>6</v>
      </c>
      <c r="E1314" t="s">
        <v>11</v>
      </c>
      <c r="F1314">
        <v>2040</v>
      </c>
      <c r="G1314">
        <v>0.81831317100000001</v>
      </c>
      <c r="H1314">
        <v>3.5000000000000003E-2</v>
      </c>
      <c r="I1314">
        <v>42.89</v>
      </c>
    </row>
    <row r="1315" spans="1:9" hidden="1" x14ac:dyDescent="0.25">
      <c r="A1315" t="s">
        <v>34</v>
      </c>
      <c r="B1315" t="s">
        <v>6</v>
      </c>
      <c r="C1315" t="s">
        <v>8</v>
      </c>
      <c r="D1315" t="s">
        <v>6</v>
      </c>
      <c r="E1315" t="s">
        <v>11</v>
      </c>
      <c r="F1315">
        <v>2041</v>
      </c>
      <c r="G1315">
        <v>0.84286256599999998</v>
      </c>
      <c r="H1315">
        <v>3.5000000000000003E-2</v>
      </c>
      <c r="I1315">
        <v>45.44</v>
      </c>
    </row>
    <row r="1316" spans="1:9" hidden="1" x14ac:dyDescent="0.25">
      <c r="A1316" t="s">
        <v>34</v>
      </c>
      <c r="B1316" t="s">
        <v>6</v>
      </c>
      <c r="C1316" t="s">
        <v>10</v>
      </c>
      <c r="D1316" t="s">
        <v>6</v>
      </c>
      <c r="E1316" t="s">
        <v>8</v>
      </c>
      <c r="F1316">
        <v>2024</v>
      </c>
      <c r="G1316">
        <v>0.50994571399999999</v>
      </c>
      <c r="H1316">
        <v>3.5000000000000003E-2</v>
      </c>
      <c r="I1316">
        <v>7.83</v>
      </c>
    </row>
    <row r="1317" spans="1:9" hidden="1" x14ac:dyDescent="0.25">
      <c r="A1317" t="s">
        <v>34</v>
      </c>
      <c r="B1317" t="s">
        <v>6</v>
      </c>
      <c r="C1317" t="s">
        <v>10</v>
      </c>
      <c r="D1317" t="s">
        <v>6</v>
      </c>
      <c r="E1317" t="s">
        <v>8</v>
      </c>
      <c r="F1317">
        <v>2025</v>
      </c>
      <c r="G1317">
        <v>0.52524408600000005</v>
      </c>
      <c r="H1317">
        <v>3.5000000000000003E-2</v>
      </c>
      <c r="I1317">
        <v>7.83</v>
      </c>
    </row>
    <row r="1318" spans="1:9" hidden="1" x14ac:dyDescent="0.25">
      <c r="A1318" t="s">
        <v>34</v>
      </c>
      <c r="B1318" t="s">
        <v>6</v>
      </c>
      <c r="C1318" t="s">
        <v>10</v>
      </c>
      <c r="D1318" t="s">
        <v>6</v>
      </c>
      <c r="E1318" t="s">
        <v>8</v>
      </c>
      <c r="F1318">
        <v>2026</v>
      </c>
      <c r="G1318">
        <v>0.54100140799999996</v>
      </c>
      <c r="H1318">
        <v>3.5000000000000003E-2</v>
      </c>
      <c r="I1318">
        <v>7.83</v>
      </c>
    </row>
    <row r="1319" spans="1:9" hidden="1" x14ac:dyDescent="0.25">
      <c r="A1319" t="s">
        <v>34</v>
      </c>
      <c r="B1319" t="s">
        <v>6</v>
      </c>
      <c r="C1319" t="s">
        <v>10</v>
      </c>
      <c r="D1319" t="s">
        <v>6</v>
      </c>
      <c r="E1319" t="s">
        <v>8</v>
      </c>
      <c r="F1319">
        <v>2027</v>
      </c>
      <c r="G1319">
        <v>0.55723145100000004</v>
      </c>
      <c r="H1319">
        <v>3.5000000000000003E-2</v>
      </c>
      <c r="I1319">
        <v>7.83</v>
      </c>
    </row>
    <row r="1320" spans="1:9" hidden="1" x14ac:dyDescent="0.25">
      <c r="A1320" t="s">
        <v>34</v>
      </c>
      <c r="B1320" t="s">
        <v>6</v>
      </c>
      <c r="C1320" t="s">
        <v>10</v>
      </c>
      <c r="D1320" t="s">
        <v>6</v>
      </c>
      <c r="E1320" t="s">
        <v>8</v>
      </c>
      <c r="F1320">
        <v>2028</v>
      </c>
      <c r="G1320">
        <v>0.57394839399999997</v>
      </c>
      <c r="H1320">
        <v>3.5000000000000003E-2</v>
      </c>
      <c r="I1320">
        <v>7.83</v>
      </c>
    </row>
    <row r="1321" spans="1:9" hidden="1" x14ac:dyDescent="0.25">
      <c r="A1321" t="s">
        <v>34</v>
      </c>
      <c r="B1321" t="s">
        <v>6</v>
      </c>
      <c r="C1321" t="s">
        <v>10</v>
      </c>
      <c r="D1321" t="s">
        <v>6</v>
      </c>
      <c r="E1321" t="s">
        <v>8</v>
      </c>
      <c r="F1321">
        <v>2029</v>
      </c>
      <c r="G1321">
        <v>0.59116684600000002</v>
      </c>
      <c r="H1321">
        <v>3.5000000000000003E-2</v>
      </c>
      <c r="I1321">
        <v>7.83</v>
      </c>
    </row>
    <row r="1322" spans="1:9" hidden="1" x14ac:dyDescent="0.25">
      <c r="A1322" t="s">
        <v>34</v>
      </c>
      <c r="B1322" t="s">
        <v>6</v>
      </c>
      <c r="C1322" t="s">
        <v>10</v>
      </c>
      <c r="D1322" t="s">
        <v>6</v>
      </c>
      <c r="E1322" t="s">
        <v>8</v>
      </c>
      <c r="F1322">
        <v>2030</v>
      </c>
      <c r="G1322">
        <v>0.60890185100000005</v>
      </c>
      <c r="H1322">
        <v>3.5000000000000003E-2</v>
      </c>
      <c r="I1322">
        <v>7.83</v>
      </c>
    </row>
    <row r="1323" spans="1:9" hidden="1" x14ac:dyDescent="0.25">
      <c r="A1323" t="s">
        <v>34</v>
      </c>
      <c r="B1323" t="s">
        <v>6</v>
      </c>
      <c r="C1323" t="s">
        <v>10</v>
      </c>
      <c r="D1323" t="s">
        <v>6</v>
      </c>
      <c r="E1323" t="s">
        <v>8</v>
      </c>
      <c r="F1323">
        <v>2031</v>
      </c>
      <c r="G1323">
        <v>0.62716890700000005</v>
      </c>
      <c r="H1323">
        <v>3.5000000000000003E-2</v>
      </c>
      <c r="I1323">
        <v>12.03</v>
      </c>
    </row>
    <row r="1324" spans="1:9" hidden="1" x14ac:dyDescent="0.25">
      <c r="A1324" t="s">
        <v>34</v>
      </c>
      <c r="B1324" t="s">
        <v>6</v>
      </c>
      <c r="C1324" t="s">
        <v>10</v>
      </c>
      <c r="D1324" t="s">
        <v>6</v>
      </c>
      <c r="E1324" t="s">
        <v>8</v>
      </c>
      <c r="F1324">
        <v>2032</v>
      </c>
      <c r="G1324">
        <v>0.64598397399999996</v>
      </c>
      <c r="H1324">
        <v>3.5000000000000003E-2</v>
      </c>
      <c r="I1324">
        <v>12.46</v>
      </c>
    </row>
    <row r="1325" spans="1:9" hidden="1" x14ac:dyDescent="0.25">
      <c r="A1325" t="s">
        <v>34</v>
      </c>
      <c r="B1325" t="s">
        <v>6</v>
      </c>
      <c r="C1325" t="s">
        <v>10</v>
      </c>
      <c r="D1325" t="s">
        <v>6</v>
      </c>
      <c r="E1325" t="s">
        <v>8</v>
      </c>
      <c r="F1325">
        <v>2033</v>
      </c>
      <c r="G1325">
        <v>0.66536349299999997</v>
      </c>
      <c r="H1325">
        <v>3.5000000000000003E-2</v>
      </c>
      <c r="I1325">
        <v>12.91</v>
      </c>
    </row>
    <row r="1326" spans="1:9" hidden="1" x14ac:dyDescent="0.25">
      <c r="A1326" t="s">
        <v>34</v>
      </c>
      <c r="B1326" t="s">
        <v>6</v>
      </c>
      <c r="C1326" t="s">
        <v>10</v>
      </c>
      <c r="D1326" t="s">
        <v>6</v>
      </c>
      <c r="E1326" t="s">
        <v>8</v>
      </c>
      <c r="F1326">
        <v>2034</v>
      </c>
      <c r="G1326">
        <v>0.685324398</v>
      </c>
      <c r="H1326">
        <v>3.5000000000000003E-2</v>
      </c>
      <c r="I1326">
        <v>13.38</v>
      </c>
    </row>
    <row r="1327" spans="1:9" hidden="1" x14ac:dyDescent="0.25">
      <c r="A1327" t="s">
        <v>34</v>
      </c>
      <c r="B1327" t="s">
        <v>6</v>
      </c>
      <c r="C1327" t="s">
        <v>10</v>
      </c>
      <c r="D1327" t="s">
        <v>6</v>
      </c>
      <c r="E1327" t="s">
        <v>8</v>
      </c>
      <c r="F1327">
        <v>2035</v>
      </c>
      <c r="G1327">
        <v>0.70588413000000005</v>
      </c>
      <c r="H1327">
        <v>3.5000000000000003E-2</v>
      </c>
      <c r="I1327">
        <v>13.86</v>
      </c>
    </row>
    <row r="1328" spans="1:9" hidden="1" x14ac:dyDescent="0.25">
      <c r="A1328" t="s">
        <v>34</v>
      </c>
      <c r="B1328" t="s">
        <v>6</v>
      </c>
      <c r="C1328" t="s">
        <v>10</v>
      </c>
      <c r="D1328" t="s">
        <v>6</v>
      </c>
      <c r="E1328" t="s">
        <v>8</v>
      </c>
      <c r="F1328">
        <v>2036</v>
      </c>
      <c r="G1328">
        <v>0.72706065399999997</v>
      </c>
      <c r="H1328">
        <v>3.5000000000000003E-2</v>
      </c>
      <c r="I1328">
        <v>14.37</v>
      </c>
    </row>
    <row r="1329" spans="1:9" hidden="1" x14ac:dyDescent="0.25">
      <c r="A1329" t="s">
        <v>34</v>
      </c>
      <c r="B1329" t="s">
        <v>6</v>
      </c>
      <c r="C1329" t="s">
        <v>10</v>
      </c>
      <c r="D1329" t="s">
        <v>6</v>
      </c>
      <c r="E1329" t="s">
        <v>8</v>
      </c>
      <c r="F1329">
        <v>2037</v>
      </c>
      <c r="G1329">
        <v>0.74887247300000004</v>
      </c>
      <c r="H1329">
        <v>3.5000000000000003E-2</v>
      </c>
      <c r="I1329">
        <v>14.89</v>
      </c>
    </row>
    <row r="1330" spans="1:9" hidden="1" x14ac:dyDescent="0.25">
      <c r="A1330" t="s">
        <v>34</v>
      </c>
      <c r="B1330" t="s">
        <v>6</v>
      </c>
      <c r="C1330" t="s">
        <v>10</v>
      </c>
      <c r="D1330" t="s">
        <v>6</v>
      </c>
      <c r="E1330" t="s">
        <v>8</v>
      </c>
      <c r="F1330">
        <v>2038</v>
      </c>
      <c r="G1330">
        <v>0.77133864799999996</v>
      </c>
      <c r="H1330">
        <v>3.5000000000000003E-2</v>
      </c>
      <c r="I1330">
        <v>15.43</v>
      </c>
    </row>
    <row r="1331" spans="1:9" hidden="1" x14ac:dyDescent="0.25">
      <c r="A1331" t="s">
        <v>34</v>
      </c>
      <c r="B1331" t="s">
        <v>6</v>
      </c>
      <c r="C1331" t="s">
        <v>10</v>
      </c>
      <c r="D1331" t="s">
        <v>6</v>
      </c>
      <c r="E1331" t="s">
        <v>8</v>
      </c>
      <c r="F1331">
        <v>2039</v>
      </c>
      <c r="G1331">
        <v>0.79447880699999995</v>
      </c>
      <c r="H1331">
        <v>3.5000000000000003E-2</v>
      </c>
      <c r="I1331">
        <v>15.99</v>
      </c>
    </row>
    <row r="1332" spans="1:9" hidden="1" x14ac:dyDescent="0.25">
      <c r="A1332" t="s">
        <v>34</v>
      </c>
      <c r="B1332" t="s">
        <v>6</v>
      </c>
      <c r="C1332" t="s">
        <v>10</v>
      </c>
      <c r="D1332" t="s">
        <v>6</v>
      </c>
      <c r="E1332" t="s">
        <v>8</v>
      </c>
      <c r="F1332">
        <v>2040</v>
      </c>
      <c r="G1332">
        <v>0.81831317100000001</v>
      </c>
      <c r="H1332">
        <v>3.5000000000000003E-2</v>
      </c>
      <c r="I1332">
        <v>16.559999999999999</v>
      </c>
    </row>
    <row r="1333" spans="1:9" hidden="1" x14ac:dyDescent="0.25">
      <c r="A1333" t="s">
        <v>34</v>
      </c>
      <c r="B1333" t="s">
        <v>6</v>
      </c>
      <c r="C1333" t="s">
        <v>10</v>
      </c>
      <c r="D1333" t="s">
        <v>6</v>
      </c>
      <c r="E1333" t="s">
        <v>8</v>
      </c>
      <c r="F1333">
        <v>2041</v>
      </c>
      <c r="G1333">
        <v>0.84286256599999998</v>
      </c>
      <c r="H1333">
        <v>3.5000000000000003E-2</v>
      </c>
      <c r="I1333">
        <v>17.16</v>
      </c>
    </row>
    <row r="1334" spans="1:9" hidden="1" x14ac:dyDescent="0.25">
      <c r="A1334" t="s">
        <v>34</v>
      </c>
      <c r="B1334" t="s">
        <v>6</v>
      </c>
      <c r="C1334" t="s">
        <v>9</v>
      </c>
      <c r="D1334" t="s">
        <v>6</v>
      </c>
      <c r="E1334" t="s">
        <v>10</v>
      </c>
      <c r="F1334">
        <v>2024</v>
      </c>
      <c r="G1334">
        <v>0.50994571399999999</v>
      </c>
      <c r="H1334">
        <v>3.5000000000000003E-2</v>
      </c>
      <c r="I1334">
        <v>2.95</v>
      </c>
    </row>
    <row r="1335" spans="1:9" hidden="1" x14ac:dyDescent="0.25">
      <c r="A1335" t="s">
        <v>34</v>
      </c>
      <c r="B1335" t="s">
        <v>6</v>
      </c>
      <c r="C1335" t="s">
        <v>9</v>
      </c>
      <c r="D1335" t="s">
        <v>6</v>
      </c>
      <c r="E1335" t="s">
        <v>10</v>
      </c>
      <c r="F1335">
        <v>2025</v>
      </c>
      <c r="G1335">
        <v>0.52524408600000005</v>
      </c>
      <c r="H1335">
        <v>3.5000000000000003E-2</v>
      </c>
      <c r="I1335">
        <v>3.55</v>
      </c>
    </row>
    <row r="1336" spans="1:9" hidden="1" x14ac:dyDescent="0.25">
      <c r="A1336" t="s">
        <v>34</v>
      </c>
      <c r="B1336" t="s">
        <v>6</v>
      </c>
      <c r="C1336" t="s">
        <v>9</v>
      </c>
      <c r="D1336" t="s">
        <v>6</v>
      </c>
      <c r="E1336" t="s">
        <v>10</v>
      </c>
      <c r="F1336">
        <v>2026</v>
      </c>
      <c r="G1336">
        <v>0.54100140799999996</v>
      </c>
      <c r="H1336">
        <v>3.5000000000000003E-2</v>
      </c>
      <c r="I1336">
        <v>3.55</v>
      </c>
    </row>
    <row r="1337" spans="1:9" hidden="1" x14ac:dyDescent="0.25">
      <c r="A1337" t="s">
        <v>34</v>
      </c>
      <c r="B1337" t="s">
        <v>6</v>
      </c>
      <c r="C1337" t="s">
        <v>9</v>
      </c>
      <c r="D1337" t="s">
        <v>6</v>
      </c>
      <c r="E1337" t="s">
        <v>10</v>
      </c>
      <c r="F1337">
        <v>2027</v>
      </c>
      <c r="G1337">
        <v>0.55723145100000004</v>
      </c>
      <c r="H1337">
        <v>3.5000000000000003E-2</v>
      </c>
      <c r="I1337">
        <v>3.55</v>
      </c>
    </row>
    <row r="1338" spans="1:9" hidden="1" x14ac:dyDescent="0.25">
      <c r="A1338" t="s">
        <v>34</v>
      </c>
      <c r="B1338" t="s">
        <v>6</v>
      </c>
      <c r="C1338" t="s">
        <v>9</v>
      </c>
      <c r="D1338" t="s">
        <v>6</v>
      </c>
      <c r="E1338" t="s">
        <v>10</v>
      </c>
      <c r="F1338">
        <v>2028</v>
      </c>
      <c r="G1338">
        <v>0.57394839399999997</v>
      </c>
      <c r="H1338">
        <v>3.5000000000000003E-2</v>
      </c>
      <c r="I1338">
        <v>3.55</v>
      </c>
    </row>
    <row r="1339" spans="1:9" hidden="1" x14ac:dyDescent="0.25">
      <c r="A1339" t="s">
        <v>34</v>
      </c>
      <c r="B1339" t="s">
        <v>6</v>
      </c>
      <c r="C1339" t="s">
        <v>9</v>
      </c>
      <c r="D1339" t="s">
        <v>6</v>
      </c>
      <c r="E1339" t="s">
        <v>10</v>
      </c>
      <c r="F1339">
        <v>2029</v>
      </c>
      <c r="G1339">
        <v>0.59116684600000002</v>
      </c>
      <c r="H1339">
        <v>3.5000000000000003E-2</v>
      </c>
      <c r="I1339">
        <v>3.55</v>
      </c>
    </row>
    <row r="1340" spans="1:9" hidden="1" x14ac:dyDescent="0.25">
      <c r="A1340" t="s">
        <v>34</v>
      </c>
      <c r="B1340" t="s">
        <v>6</v>
      </c>
      <c r="C1340" t="s">
        <v>9</v>
      </c>
      <c r="D1340" t="s">
        <v>6</v>
      </c>
      <c r="E1340" t="s">
        <v>10</v>
      </c>
      <c r="F1340">
        <v>2030</v>
      </c>
      <c r="G1340">
        <v>0.60890185100000005</v>
      </c>
      <c r="H1340">
        <v>3.5000000000000003E-2</v>
      </c>
      <c r="I1340">
        <v>3.55</v>
      </c>
    </row>
    <row r="1341" spans="1:9" hidden="1" x14ac:dyDescent="0.25">
      <c r="A1341" t="s">
        <v>34</v>
      </c>
      <c r="B1341" t="s">
        <v>6</v>
      </c>
      <c r="C1341" t="s">
        <v>9</v>
      </c>
      <c r="D1341" t="s">
        <v>6</v>
      </c>
      <c r="E1341" t="s">
        <v>10</v>
      </c>
      <c r="F1341">
        <v>2031</v>
      </c>
      <c r="G1341">
        <v>0.62716890700000005</v>
      </c>
      <c r="H1341">
        <v>3.5000000000000003E-2</v>
      </c>
      <c r="I1341">
        <v>3.55</v>
      </c>
    </row>
    <row r="1342" spans="1:9" hidden="1" x14ac:dyDescent="0.25">
      <c r="A1342" t="s">
        <v>34</v>
      </c>
      <c r="B1342" t="s">
        <v>6</v>
      </c>
      <c r="C1342" t="s">
        <v>9</v>
      </c>
      <c r="D1342" t="s">
        <v>6</v>
      </c>
      <c r="E1342" t="s">
        <v>10</v>
      </c>
      <c r="F1342">
        <v>2032</v>
      </c>
      <c r="G1342">
        <v>0.64598397399999996</v>
      </c>
      <c r="H1342">
        <v>3.5000000000000003E-2</v>
      </c>
      <c r="I1342">
        <v>3.67</v>
      </c>
    </row>
    <row r="1343" spans="1:9" hidden="1" x14ac:dyDescent="0.25">
      <c r="A1343" t="s">
        <v>34</v>
      </c>
      <c r="B1343" t="s">
        <v>6</v>
      </c>
      <c r="C1343" t="s">
        <v>9</v>
      </c>
      <c r="D1343" t="s">
        <v>6</v>
      </c>
      <c r="E1343" t="s">
        <v>10</v>
      </c>
      <c r="F1343">
        <v>2033</v>
      </c>
      <c r="G1343">
        <v>0.66536349299999997</v>
      </c>
      <c r="H1343">
        <v>3.5000000000000003E-2</v>
      </c>
      <c r="I1343">
        <v>3.81</v>
      </c>
    </row>
    <row r="1344" spans="1:9" hidden="1" x14ac:dyDescent="0.25">
      <c r="A1344" t="s">
        <v>34</v>
      </c>
      <c r="B1344" t="s">
        <v>6</v>
      </c>
      <c r="C1344" t="s">
        <v>9</v>
      </c>
      <c r="D1344" t="s">
        <v>6</v>
      </c>
      <c r="E1344" t="s">
        <v>10</v>
      </c>
      <c r="F1344">
        <v>2034</v>
      </c>
      <c r="G1344">
        <v>0.685324398</v>
      </c>
      <c r="H1344">
        <v>3.5000000000000003E-2</v>
      </c>
      <c r="I1344">
        <v>3.94</v>
      </c>
    </row>
    <row r="1345" spans="1:9" hidden="1" x14ac:dyDescent="0.25">
      <c r="A1345" t="s">
        <v>34</v>
      </c>
      <c r="B1345" t="s">
        <v>6</v>
      </c>
      <c r="C1345" t="s">
        <v>9</v>
      </c>
      <c r="D1345" t="s">
        <v>6</v>
      </c>
      <c r="E1345" t="s">
        <v>10</v>
      </c>
      <c r="F1345">
        <v>2035</v>
      </c>
      <c r="G1345">
        <v>0.70588413000000005</v>
      </c>
      <c r="H1345">
        <v>3.5000000000000003E-2</v>
      </c>
      <c r="I1345">
        <v>4.09</v>
      </c>
    </row>
    <row r="1346" spans="1:9" hidden="1" x14ac:dyDescent="0.25">
      <c r="A1346" t="s">
        <v>34</v>
      </c>
      <c r="B1346" t="s">
        <v>6</v>
      </c>
      <c r="C1346" t="s">
        <v>9</v>
      </c>
      <c r="D1346" t="s">
        <v>6</v>
      </c>
      <c r="E1346" t="s">
        <v>10</v>
      </c>
      <c r="F1346">
        <v>2036</v>
      </c>
      <c r="G1346">
        <v>0.72706065399999997</v>
      </c>
      <c r="H1346">
        <v>3.5000000000000003E-2</v>
      </c>
      <c r="I1346">
        <v>4.24</v>
      </c>
    </row>
    <row r="1347" spans="1:9" hidden="1" x14ac:dyDescent="0.25">
      <c r="A1347" t="s">
        <v>34</v>
      </c>
      <c r="B1347" t="s">
        <v>6</v>
      </c>
      <c r="C1347" t="s">
        <v>9</v>
      </c>
      <c r="D1347" t="s">
        <v>6</v>
      </c>
      <c r="E1347" t="s">
        <v>10</v>
      </c>
      <c r="F1347">
        <v>2037</v>
      </c>
      <c r="G1347">
        <v>0.74887247300000004</v>
      </c>
      <c r="H1347">
        <v>3.5000000000000003E-2</v>
      </c>
      <c r="I1347">
        <v>4.3899999999999997</v>
      </c>
    </row>
    <row r="1348" spans="1:9" hidden="1" x14ac:dyDescent="0.25">
      <c r="A1348" t="s">
        <v>34</v>
      </c>
      <c r="B1348" t="s">
        <v>6</v>
      </c>
      <c r="C1348" t="s">
        <v>9</v>
      </c>
      <c r="D1348" t="s">
        <v>6</v>
      </c>
      <c r="E1348" t="s">
        <v>10</v>
      </c>
      <c r="F1348">
        <v>2038</v>
      </c>
      <c r="G1348">
        <v>0.77133864799999996</v>
      </c>
      <c r="H1348">
        <v>3.5000000000000003E-2</v>
      </c>
      <c r="I1348">
        <v>4.55</v>
      </c>
    </row>
    <row r="1349" spans="1:9" hidden="1" x14ac:dyDescent="0.25">
      <c r="A1349" t="s">
        <v>34</v>
      </c>
      <c r="B1349" t="s">
        <v>6</v>
      </c>
      <c r="C1349" t="s">
        <v>9</v>
      </c>
      <c r="D1349" t="s">
        <v>6</v>
      </c>
      <c r="E1349" t="s">
        <v>10</v>
      </c>
      <c r="F1349">
        <v>2039</v>
      </c>
      <c r="G1349">
        <v>0.79447880699999995</v>
      </c>
      <c r="H1349">
        <v>3.5000000000000003E-2</v>
      </c>
      <c r="I1349">
        <v>4.71</v>
      </c>
    </row>
    <row r="1350" spans="1:9" hidden="1" x14ac:dyDescent="0.25">
      <c r="A1350" t="s">
        <v>34</v>
      </c>
      <c r="B1350" t="s">
        <v>6</v>
      </c>
      <c r="C1350" t="s">
        <v>9</v>
      </c>
      <c r="D1350" t="s">
        <v>6</v>
      </c>
      <c r="E1350" t="s">
        <v>10</v>
      </c>
      <c r="F1350">
        <v>2040</v>
      </c>
      <c r="G1350">
        <v>0.81831317100000001</v>
      </c>
      <c r="H1350">
        <v>3.5000000000000003E-2</v>
      </c>
      <c r="I1350">
        <v>4.88</v>
      </c>
    </row>
    <row r="1351" spans="1:9" hidden="1" x14ac:dyDescent="0.25">
      <c r="A1351" t="s">
        <v>34</v>
      </c>
      <c r="B1351" t="s">
        <v>6</v>
      </c>
      <c r="C1351" t="s">
        <v>9</v>
      </c>
      <c r="D1351" t="s">
        <v>6</v>
      </c>
      <c r="E1351" t="s">
        <v>10</v>
      </c>
      <c r="F1351">
        <v>2041</v>
      </c>
      <c r="G1351">
        <v>0.84286256599999998</v>
      </c>
      <c r="H1351">
        <v>3.5000000000000003E-2</v>
      </c>
      <c r="I1351">
        <v>5.0599999999999996</v>
      </c>
    </row>
    <row r="1352" spans="1:9" hidden="1" x14ac:dyDescent="0.25">
      <c r="A1352" t="s">
        <v>35</v>
      </c>
      <c r="B1352" t="s">
        <v>6</v>
      </c>
      <c r="D1352" t="s">
        <v>6</v>
      </c>
      <c r="F1352">
        <v>2024</v>
      </c>
      <c r="G1352">
        <v>18190.455259999999</v>
      </c>
      <c r="H1352">
        <v>0.03</v>
      </c>
      <c r="I1352">
        <v>92.186954999999998</v>
      </c>
    </row>
    <row r="1353" spans="1:9" hidden="1" x14ac:dyDescent="0.25">
      <c r="A1353" t="s">
        <v>35</v>
      </c>
      <c r="B1353" t="s">
        <v>6</v>
      </c>
      <c r="D1353" t="s">
        <v>6</v>
      </c>
      <c r="F1353">
        <v>2025</v>
      </c>
      <c r="G1353">
        <v>18190.455259999999</v>
      </c>
      <c r="H1353">
        <v>0.03</v>
      </c>
      <c r="I1353">
        <v>101.937054</v>
      </c>
    </row>
    <row r="1354" spans="1:9" hidden="1" x14ac:dyDescent="0.25">
      <c r="A1354" t="s">
        <v>35</v>
      </c>
      <c r="B1354" t="s">
        <v>6</v>
      </c>
      <c r="D1354" t="s">
        <v>6</v>
      </c>
      <c r="F1354">
        <v>2026</v>
      </c>
      <c r="G1354">
        <v>18190.455259999999</v>
      </c>
      <c r="H1354">
        <v>0.03</v>
      </c>
      <c r="I1354">
        <v>115.216943</v>
      </c>
    </row>
    <row r="1355" spans="1:9" hidden="1" x14ac:dyDescent="0.25">
      <c r="A1355" t="s">
        <v>35</v>
      </c>
      <c r="B1355" t="s">
        <v>6</v>
      </c>
      <c r="D1355" t="s">
        <v>6</v>
      </c>
      <c r="F1355">
        <v>2027</v>
      </c>
      <c r="G1355">
        <v>18190.455259999999</v>
      </c>
      <c r="H1355">
        <v>0.03</v>
      </c>
      <c r="I1355">
        <v>124.0409674</v>
      </c>
    </row>
    <row r="1356" spans="1:9" hidden="1" x14ac:dyDescent="0.25">
      <c r="A1356" t="s">
        <v>35</v>
      </c>
      <c r="B1356" t="s">
        <v>6</v>
      </c>
      <c r="D1356" t="s">
        <v>6</v>
      </c>
      <c r="F1356">
        <v>2028</v>
      </c>
      <c r="G1356">
        <v>18190.455259999999</v>
      </c>
      <c r="H1356">
        <v>0.03</v>
      </c>
      <c r="I1356">
        <v>130.63776429999999</v>
      </c>
    </row>
    <row r="1357" spans="1:9" hidden="1" x14ac:dyDescent="0.25">
      <c r="A1357" t="s">
        <v>35</v>
      </c>
      <c r="B1357" t="s">
        <v>6</v>
      </c>
      <c r="D1357" t="s">
        <v>6</v>
      </c>
      <c r="F1357">
        <v>2029</v>
      </c>
      <c r="G1357">
        <v>18190.455259999999</v>
      </c>
      <c r="H1357">
        <v>0.03</v>
      </c>
      <c r="I1357">
        <v>145.10118130000001</v>
      </c>
    </row>
    <row r="1358" spans="1:9" hidden="1" x14ac:dyDescent="0.25">
      <c r="A1358" t="s">
        <v>35</v>
      </c>
      <c r="B1358" t="s">
        <v>6</v>
      </c>
      <c r="D1358" t="s">
        <v>6</v>
      </c>
      <c r="F1358">
        <v>2030</v>
      </c>
      <c r="G1358">
        <v>18190.455259999999</v>
      </c>
      <c r="H1358">
        <v>0.03</v>
      </c>
      <c r="I1358">
        <v>149.72208130000001</v>
      </c>
    </row>
    <row r="1359" spans="1:9" hidden="1" x14ac:dyDescent="0.25">
      <c r="A1359" t="s">
        <v>35</v>
      </c>
      <c r="B1359" t="s">
        <v>6</v>
      </c>
      <c r="D1359" t="s">
        <v>6</v>
      </c>
      <c r="F1359">
        <v>2031</v>
      </c>
      <c r="G1359">
        <v>18190.455259999999</v>
      </c>
      <c r="H1359">
        <v>0.03</v>
      </c>
      <c r="I1359">
        <v>154.34298129999999</v>
      </c>
    </row>
    <row r="1360" spans="1:9" hidden="1" x14ac:dyDescent="0.25">
      <c r="A1360" t="s">
        <v>35</v>
      </c>
      <c r="B1360" t="s">
        <v>6</v>
      </c>
      <c r="D1360" t="s">
        <v>6</v>
      </c>
      <c r="F1360">
        <v>2032</v>
      </c>
      <c r="G1360">
        <v>18190.455259999999</v>
      </c>
      <c r="H1360">
        <v>0.03</v>
      </c>
      <c r="I1360">
        <v>158.9638813</v>
      </c>
    </row>
    <row r="1361" spans="1:9" hidden="1" x14ac:dyDescent="0.25">
      <c r="A1361" t="s">
        <v>35</v>
      </c>
      <c r="B1361" t="s">
        <v>6</v>
      </c>
      <c r="D1361" t="s">
        <v>6</v>
      </c>
      <c r="F1361">
        <v>2033</v>
      </c>
      <c r="G1361">
        <v>18190.455259999999</v>
      </c>
      <c r="H1361">
        <v>0.03</v>
      </c>
      <c r="I1361">
        <v>163.5847813</v>
      </c>
    </row>
    <row r="1362" spans="1:9" hidden="1" x14ac:dyDescent="0.25">
      <c r="A1362" t="s">
        <v>35</v>
      </c>
      <c r="B1362" t="s">
        <v>6</v>
      </c>
      <c r="D1362" t="s">
        <v>6</v>
      </c>
      <c r="F1362">
        <v>2034</v>
      </c>
      <c r="G1362">
        <v>18190.455259999999</v>
      </c>
      <c r="H1362">
        <v>0.03</v>
      </c>
      <c r="I1362">
        <v>168.20568130000001</v>
      </c>
    </row>
    <row r="1363" spans="1:9" hidden="1" x14ac:dyDescent="0.25">
      <c r="A1363" t="s">
        <v>35</v>
      </c>
      <c r="B1363" t="s">
        <v>6</v>
      </c>
      <c r="D1363" t="s">
        <v>6</v>
      </c>
      <c r="F1363">
        <v>2035</v>
      </c>
      <c r="G1363">
        <v>18190.455259999999</v>
      </c>
      <c r="H1363">
        <v>0.03</v>
      </c>
      <c r="I1363">
        <v>172.82658129999999</v>
      </c>
    </row>
    <row r="1364" spans="1:9" hidden="1" x14ac:dyDescent="0.25">
      <c r="A1364" t="s">
        <v>35</v>
      </c>
      <c r="B1364" t="s">
        <v>6</v>
      </c>
      <c r="D1364" t="s">
        <v>6</v>
      </c>
      <c r="F1364">
        <v>2036</v>
      </c>
      <c r="G1364">
        <v>18190.455259999999</v>
      </c>
      <c r="H1364">
        <v>0.03</v>
      </c>
      <c r="I1364">
        <v>175.13703129999999</v>
      </c>
    </row>
    <row r="1365" spans="1:9" hidden="1" x14ac:dyDescent="0.25">
      <c r="A1365" t="s">
        <v>35</v>
      </c>
      <c r="B1365" t="s">
        <v>6</v>
      </c>
      <c r="D1365" t="s">
        <v>6</v>
      </c>
      <c r="F1365">
        <v>2037</v>
      </c>
      <c r="G1365">
        <v>18190.455259999999</v>
      </c>
      <c r="H1365">
        <v>0.03</v>
      </c>
      <c r="I1365">
        <v>177.44748129999999</v>
      </c>
    </row>
    <row r="1366" spans="1:9" hidden="1" x14ac:dyDescent="0.25">
      <c r="A1366" t="s">
        <v>35</v>
      </c>
      <c r="B1366" t="s">
        <v>6</v>
      </c>
      <c r="D1366" t="s">
        <v>6</v>
      </c>
      <c r="F1366">
        <v>2038</v>
      </c>
      <c r="G1366">
        <v>18190.455259999999</v>
      </c>
      <c r="H1366">
        <v>0.03</v>
      </c>
      <c r="I1366">
        <v>179.7579313</v>
      </c>
    </row>
    <row r="1367" spans="1:9" hidden="1" x14ac:dyDescent="0.25">
      <c r="A1367" t="s">
        <v>35</v>
      </c>
      <c r="B1367" t="s">
        <v>6</v>
      </c>
      <c r="D1367" t="s">
        <v>6</v>
      </c>
      <c r="F1367">
        <v>2039</v>
      </c>
      <c r="G1367">
        <v>18190.455259999999</v>
      </c>
      <c r="H1367">
        <v>0.03</v>
      </c>
      <c r="I1367">
        <v>182.0683813</v>
      </c>
    </row>
    <row r="1368" spans="1:9" hidden="1" x14ac:dyDescent="0.25">
      <c r="A1368" t="s">
        <v>35</v>
      </c>
      <c r="B1368" t="s">
        <v>6</v>
      </c>
      <c r="D1368" t="s">
        <v>6</v>
      </c>
      <c r="F1368">
        <v>2040</v>
      </c>
      <c r="G1368">
        <v>18190.455259999999</v>
      </c>
      <c r="H1368">
        <v>0.03</v>
      </c>
      <c r="I1368">
        <v>184.3788313</v>
      </c>
    </row>
    <row r="1369" spans="1:9" hidden="1" x14ac:dyDescent="0.25">
      <c r="A1369" t="s">
        <v>35</v>
      </c>
      <c r="B1369" t="s">
        <v>6</v>
      </c>
      <c r="D1369" t="s">
        <v>6</v>
      </c>
      <c r="F1369">
        <v>2041</v>
      </c>
      <c r="G1369">
        <v>18190.455259999999</v>
      </c>
      <c r="H1369">
        <v>0.03</v>
      </c>
      <c r="I1369">
        <v>186.6892813</v>
      </c>
    </row>
    <row r="1370" spans="1:9" hidden="1" x14ac:dyDescent="0.25">
      <c r="A1370" t="s">
        <v>41</v>
      </c>
      <c r="B1370" t="s">
        <v>6</v>
      </c>
      <c r="D1370" t="s">
        <v>6</v>
      </c>
      <c r="F1370">
        <v>2024</v>
      </c>
      <c r="G1370">
        <v>1331.2569599999999</v>
      </c>
      <c r="H1370">
        <v>1.4999999999999999E-4</v>
      </c>
      <c r="I1370">
        <v>-1</v>
      </c>
    </row>
    <row r="1371" spans="1:9" hidden="1" x14ac:dyDescent="0.25">
      <c r="A1371" t="s">
        <v>41</v>
      </c>
      <c r="B1371" t="s">
        <v>6</v>
      </c>
      <c r="D1371" t="s">
        <v>6</v>
      </c>
      <c r="F1371">
        <v>2025</v>
      </c>
      <c r="G1371">
        <v>1331.2569599999999</v>
      </c>
      <c r="H1371">
        <v>1.4999999999999999E-4</v>
      </c>
      <c r="I1371">
        <v>-1</v>
      </c>
    </row>
    <row r="1372" spans="1:9" hidden="1" x14ac:dyDescent="0.25">
      <c r="A1372" t="s">
        <v>41</v>
      </c>
      <c r="B1372" t="s">
        <v>6</v>
      </c>
      <c r="D1372" t="s">
        <v>6</v>
      </c>
      <c r="F1372">
        <v>2026</v>
      </c>
      <c r="G1372">
        <v>1331.2569599999999</v>
      </c>
      <c r="H1372">
        <v>1.4999999999999999E-4</v>
      </c>
      <c r="I1372">
        <v>-1</v>
      </c>
    </row>
    <row r="1373" spans="1:9" hidden="1" x14ac:dyDescent="0.25">
      <c r="A1373" t="s">
        <v>41</v>
      </c>
      <c r="B1373" t="s">
        <v>6</v>
      </c>
      <c r="D1373" t="s">
        <v>6</v>
      </c>
      <c r="F1373">
        <v>2027</v>
      </c>
      <c r="G1373">
        <v>1331.2569599999999</v>
      </c>
      <c r="H1373">
        <v>1.4999999999999999E-4</v>
      </c>
      <c r="I1373">
        <v>-1</v>
      </c>
    </row>
    <row r="1374" spans="1:9" hidden="1" x14ac:dyDescent="0.25">
      <c r="A1374" t="s">
        <v>41</v>
      </c>
      <c r="B1374" t="s">
        <v>6</v>
      </c>
      <c r="D1374" t="s">
        <v>6</v>
      </c>
      <c r="F1374">
        <v>2028</v>
      </c>
      <c r="G1374">
        <v>1331.2569599999999</v>
      </c>
      <c r="H1374">
        <v>1.4999999999999999E-4</v>
      </c>
      <c r="I1374">
        <v>-1</v>
      </c>
    </row>
    <row r="1375" spans="1:9" hidden="1" x14ac:dyDescent="0.25">
      <c r="A1375" t="s">
        <v>41</v>
      </c>
      <c r="B1375" t="s">
        <v>6</v>
      </c>
      <c r="D1375" t="s">
        <v>6</v>
      </c>
      <c r="F1375">
        <v>2029</v>
      </c>
      <c r="G1375">
        <v>1331.2569599999999</v>
      </c>
      <c r="H1375">
        <v>1.4999999999999999E-4</v>
      </c>
      <c r="I1375">
        <v>-1</v>
      </c>
    </row>
    <row r="1376" spans="1:9" hidden="1" x14ac:dyDescent="0.25">
      <c r="A1376" t="s">
        <v>41</v>
      </c>
      <c r="B1376" t="s">
        <v>6</v>
      </c>
      <c r="D1376" t="s">
        <v>6</v>
      </c>
      <c r="F1376">
        <v>2030</v>
      </c>
      <c r="G1376">
        <v>1331.2569599999999</v>
      </c>
      <c r="H1376">
        <v>1.4999999999999999E-4</v>
      </c>
      <c r="I1376">
        <v>-1</v>
      </c>
    </row>
    <row r="1377" spans="1:9" hidden="1" x14ac:dyDescent="0.25">
      <c r="A1377" t="s">
        <v>41</v>
      </c>
      <c r="B1377" t="s">
        <v>6</v>
      </c>
      <c r="D1377" t="s">
        <v>6</v>
      </c>
      <c r="F1377">
        <v>2031</v>
      </c>
      <c r="G1377">
        <v>1331.2569599999999</v>
      </c>
      <c r="H1377">
        <v>1.4999999999999999E-4</v>
      </c>
      <c r="I1377">
        <v>-1</v>
      </c>
    </row>
    <row r="1378" spans="1:9" hidden="1" x14ac:dyDescent="0.25">
      <c r="A1378" t="s">
        <v>41</v>
      </c>
      <c r="B1378" t="s">
        <v>6</v>
      </c>
      <c r="D1378" t="s">
        <v>6</v>
      </c>
      <c r="F1378">
        <v>2032</v>
      </c>
      <c r="G1378">
        <v>1331.2569599999999</v>
      </c>
      <c r="H1378">
        <v>1.4999999999999999E-4</v>
      </c>
      <c r="I1378">
        <v>-1</v>
      </c>
    </row>
    <row r="1379" spans="1:9" hidden="1" x14ac:dyDescent="0.25">
      <c r="A1379" t="s">
        <v>41</v>
      </c>
      <c r="B1379" t="s">
        <v>6</v>
      </c>
      <c r="D1379" t="s">
        <v>6</v>
      </c>
      <c r="F1379">
        <v>2033</v>
      </c>
      <c r="G1379">
        <v>1331.2569599999999</v>
      </c>
      <c r="H1379">
        <v>1.4999999999999999E-4</v>
      </c>
      <c r="I1379">
        <v>-1</v>
      </c>
    </row>
    <row r="1380" spans="1:9" hidden="1" x14ac:dyDescent="0.25">
      <c r="A1380" t="s">
        <v>41</v>
      </c>
      <c r="B1380" t="s">
        <v>6</v>
      </c>
      <c r="D1380" t="s">
        <v>6</v>
      </c>
      <c r="F1380">
        <v>2034</v>
      </c>
      <c r="G1380">
        <v>1331.2569599999999</v>
      </c>
      <c r="H1380">
        <v>1.4999999999999999E-4</v>
      </c>
      <c r="I1380">
        <v>-1</v>
      </c>
    </row>
    <row r="1381" spans="1:9" hidden="1" x14ac:dyDescent="0.25">
      <c r="A1381" t="s">
        <v>41</v>
      </c>
      <c r="B1381" t="s">
        <v>6</v>
      </c>
      <c r="D1381" t="s">
        <v>6</v>
      </c>
      <c r="F1381">
        <v>2035</v>
      </c>
      <c r="G1381">
        <v>1331.2569599999999</v>
      </c>
      <c r="H1381">
        <v>1.4999999999999999E-4</v>
      </c>
      <c r="I1381">
        <v>-1</v>
      </c>
    </row>
    <row r="1382" spans="1:9" hidden="1" x14ac:dyDescent="0.25">
      <c r="A1382" t="s">
        <v>41</v>
      </c>
      <c r="B1382" t="s">
        <v>6</v>
      </c>
      <c r="D1382" t="s">
        <v>6</v>
      </c>
      <c r="F1382">
        <v>2036</v>
      </c>
      <c r="G1382">
        <v>1331.2569599999999</v>
      </c>
      <c r="H1382">
        <v>1.4999999999999999E-4</v>
      </c>
      <c r="I1382">
        <v>-1</v>
      </c>
    </row>
    <row r="1383" spans="1:9" hidden="1" x14ac:dyDescent="0.25">
      <c r="A1383" t="s">
        <v>41</v>
      </c>
      <c r="B1383" t="s">
        <v>6</v>
      </c>
      <c r="D1383" t="s">
        <v>6</v>
      </c>
      <c r="F1383">
        <v>2037</v>
      </c>
      <c r="G1383">
        <v>1331.2569599999999</v>
      </c>
      <c r="H1383">
        <v>1.4999999999999999E-4</v>
      </c>
      <c r="I1383">
        <v>-1</v>
      </c>
    </row>
    <row r="1384" spans="1:9" hidden="1" x14ac:dyDescent="0.25">
      <c r="A1384" t="s">
        <v>41</v>
      </c>
      <c r="B1384" t="s">
        <v>6</v>
      </c>
      <c r="D1384" t="s">
        <v>6</v>
      </c>
      <c r="F1384">
        <v>2038</v>
      </c>
      <c r="G1384">
        <v>1331.2569599999999</v>
      </c>
      <c r="H1384">
        <v>1.4999999999999999E-4</v>
      </c>
      <c r="I1384">
        <v>-1</v>
      </c>
    </row>
    <row r="1385" spans="1:9" hidden="1" x14ac:dyDescent="0.25">
      <c r="A1385" t="s">
        <v>41</v>
      </c>
      <c r="B1385" t="s">
        <v>6</v>
      </c>
      <c r="D1385" t="s">
        <v>6</v>
      </c>
      <c r="F1385">
        <v>2039</v>
      </c>
      <c r="G1385">
        <v>1331.2569599999999</v>
      </c>
      <c r="H1385">
        <v>1.4999999999999999E-4</v>
      </c>
      <c r="I1385">
        <v>-1</v>
      </c>
    </row>
    <row r="1386" spans="1:9" hidden="1" x14ac:dyDescent="0.25">
      <c r="A1386" t="s">
        <v>41</v>
      </c>
      <c r="B1386" t="s">
        <v>6</v>
      </c>
      <c r="D1386" t="s">
        <v>6</v>
      </c>
      <c r="F1386">
        <v>2040</v>
      </c>
      <c r="G1386">
        <v>1331.2569599999999</v>
      </c>
      <c r="H1386">
        <v>1.4999999999999999E-4</v>
      </c>
      <c r="I1386">
        <v>-1</v>
      </c>
    </row>
    <row r="1387" spans="1:9" hidden="1" x14ac:dyDescent="0.25">
      <c r="A1387" t="s">
        <v>41</v>
      </c>
      <c r="B1387" t="s">
        <v>6</v>
      </c>
      <c r="D1387" t="s">
        <v>6</v>
      </c>
      <c r="F1387">
        <v>2041</v>
      </c>
      <c r="G1387">
        <v>1331.2569599999999</v>
      </c>
      <c r="H1387">
        <v>1.4999999999999999E-4</v>
      </c>
      <c r="I1387">
        <v>-1</v>
      </c>
    </row>
    <row r="1388" spans="1:9" hidden="1" x14ac:dyDescent="0.25">
      <c r="A1388" t="s">
        <v>42</v>
      </c>
      <c r="B1388" t="s">
        <v>6</v>
      </c>
      <c r="D1388" t="s">
        <v>6</v>
      </c>
      <c r="F1388">
        <v>2024</v>
      </c>
      <c r="G1388">
        <v>1739.9275</v>
      </c>
      <c r="H1388">
        <v>1.4999999999999999E-4</v>
      </c>
      <c r="I1388">
        <v>-1</v>
      </c>
    </row>
    <row r="1389" spans="1:9" hidden="1" x14ac:dyDescent="0.25">
      <c r="A1389" t="s">
        <v>42</v>
      </c>
      <c r="B1389" t="s">
        <v>6</v>
      </c>
      <c r="D1389" t="s">
        <v>6</v>
      </c>
      <c r="F1389">
        <v>2025</v>
      </c>
      <c r="G1389">
        <v>1739.9275</v>
      </c>
      <c r="H1389">
        <v>1.4999999999999999E-4</v>
      </c>
      <c r="I1389">
        <v>-1</v>
      </c>
    </row>
    <row r="1390" spans="1:9" hidden="1" x14ac:dyDescent="0.25">
      <c r="A1390" t="s">
        <v>42</v>
      </c>
      <c r="B1390" t="s">
        <v>6</v>
      </c>
      <c r="D1390" t="s">
        <v>6</v>
      </c>
      <c r="F1390">
        <v>2026</v>
      </c>
      <c r="G1390">
        <v>1739.9275</v>
      </c>
      <c r="H1390">
        <v>1.4999999999999999E-4</v>
      </c>
      <c r="I1390">
        <v>-1</v>
      </c>
    </row>
    <row r="1391" spans="1:9" hidden="1" x14ac:dyDescent="0.25">
      <c r="A1391" t="s">
        <v>42</v>
      </c>
      <c r="B1391" t="s">
        <v>6</v>
      </c>
      <c r="D1391" t="s">
        <v>6</v>
      </c>
      <c r="F1391">
        <v>2027</v>
      </c>
      <c r="G1391">
        <v>1739.9275</v>
      </c>
      <c r="H1391">
        <v>1.4999999999999999E-4</v>
      </c>
      <c r="I1391">
        <v>-1</v>
      </c>
    </row>
    <row r="1392" spans="1:9" hidden="1" x14ac:dyDescent="0.25">
      <c r="A1392" t="s">
        <v>42</v>
      </c>
      <c r="B1392" t="s">
        <v>6</v>
      </c>
      <c r="D1392" t="s">
        <v>6</v>
      </c>
      <c r="F1392">
        <v>2028</v>
      </c>
      <c r="G1392">
        <v>1739.9275</v>
      </c>
      <c r="H1392">
        <v>1.4999999999999999E-4</v>
      </c>
      <c r="I1392">
        <v>-1</v>
      </c>
    </row>
    <row r="1393" spans="1:9" hidden="1" x14ac:dyDescent="0.25">
      <c r="A1393" t="s">
        <v>42</v>
      </c>
      <c r="B1393" t="s">
        <v>6</v>
      </c>
      <c r="D1393" t="s">
        <v>6</v>
      </c>
      <c r="F1393">
        <v>2029</v>
      </c>
      <c r="G1393">
        <v>1739.9275</v>
      </c>
      <c r="H1393">
        <v>1.4999999999999999E-4</v>
      </c>
      <c r="I1393">
        <v>-1</v>
      </c>
    </row>
    <row r="1394" spans="1:9" hidden="1" x14ac:dyDescent="0.25">
      <c r="A1394" t="s">
        <v>42</v>
      </c>
      <c r="B1394" t="s">
        <v>6</v>
      </c>
      <c r="D1394" t="s">
        <v>6</v>
      </c>
      <c r="F1394">
        <v>2030</v>
      </c>
      <c r="G1394">
        <v>1739.9275</v>
      </c>
      <c r="H1394">
        <v>1.4999999999999999E-4</v>
      </c>
      <c r="I1394">
        <v>-1</v>
      </c>
    </row>
    <row r="1395" spans="1:9" hidden="1" x14ac:dyDescent="0.25">
      <c r="A1395" t="s">
        <v>42</v>
      </c>
      <c r="B1395" t="s">
        <v>6</v>
      </c>
      <c r="D1395" t="s">
        <v>6</v>
      </c>
      <c r="F1395">
        <v>2031</v>
      </c>
      <c r="G1395">
        <v>1739.9275</v>
      </c>
      <c r="H1395">
        <v>1.4999999999999999E-4</v>
      </c>
      <c r="I1395">
        <v>-1</v>
      </c>
    </row>
    <row r="1396" spans="1:9" hidden="1" x14ac:dyDescent="0.25">
      <c r="A1396" t="s">
        <v>42</v>
      </c>
      <c r="B1396" t="s">
        <v>6</v>
      </c>
      <c r="D1396" t="s">
        <v>6</v>
      </c>
      <c r="F1396">
        <v>2032</v>
      </c>
      <c r="G1396">
        <v>1739.9275</v>
      </c>
      <c r="H1396">
        <v>1.4999999999999999E-4</v>
      </c>
      <c r="I1396">
        <v>-1</v>
      </c>
    </row>
    <row r="1397" spans="1:9" hidden="1" x14ac:dyDescent="0.25">
      <c r="A1397" t="s">
        <v>42</v>
      </c>
      <c r="B1397" t="s">
        <v>6</v>
      </c>
      <c r="D1397" t="s">
        <v>6</v>
      </c>
      <c r="F1397">
        <v>2033</v>
      </c>
      <c r="G1397">
        <v>1739.9275</v>
      </c>
      <c r="H1397">
        <v>1.4999999999999999E-4</v>
      </c>
      <c r="I1397">
        <v>-1</v>
      </c>
    </row>
    <row r="1398" spans="1:9" hidden="1" x14ac:dyDescent="0.25">
      <c r="A1398" t="s">
        <v>42</v>
      </c>
      <c r="B1398" t="s">
        <v>6</v>
      </c>
      <c r="D1398" t="s">
        <v>6</v>
      </c>
      <c r="F1398">
        <v>2034</v>
      </c>
      <c r="G1398">
        <v>1739.9275</v>
      </c>
      <c r="H1398">
        <v>1.4999999999999999E-4</v>
      </c>
      <c r="I1398">
        <v>-1</v>
      </c>
    </row>
    <row r="1399" spans="1:9" hidden="1" x14ac:dyDescent="0.25">
      <c r="A1399" t="s">
        <v>42</v>
      </c>
      <c r="B1399" t="s">
        <v>6</v>
      </c>
      <c r="D1399" t="s">
        <v>6</v>
      </c>
      <c r="F1399">
        <v>2035</v>
      </c>
      <c r="G1399">
        <v>1739.9275</v>
      </c>
      <c r="H1399">
        <v>1.4999999999999999E-4</v>
      </c>
      <c r="I1399">
        <v>-1</v>
      </c>
    </row>
    <row r="1400" spans="1:9" hidden="1" x14ac:dyDescent="0.25">
      <c r="A1400" t="s">
        <v>42</v>
      </c>
      <c r="B1400" t="s">
        <v>6</v>
      </c>
      <c r="D1400" t="s">
        <v>6</v>
      </c>
      <c r="F1400">
        <v>2036</v>
      </c>
      <c r="G1400">
        <v>1739.9275</v>
      </c>
      <c r="H1400">
        <v>1.4999999999999999E-4</v>
      </c>
      <c r="I1400">
        <v>-1</v>
      </c>
    </row>
    <row r="1401" spans="1:9" hidden="1" x14ac:dyDescent="0.25">
      <c r="A1401" t="s">
        <v>42</v>
      </c>
      <c r="B1401" t="s">
        <v>6</v>
      </c>
      <c r="D1401" t="s">
        <v>6</v>
      </c>
      <c r="F1401">
        <v>2037</v>
      </c>
      <c r="G1401">
        <v>1739.9275</v>
      </c>
      <c r="H1401">
        <v>1.4999999999999999E-4</v>
      </c>
      <c r="I1401">
        <v>-1</v>
      </c>
    </row>
    <row r="1402" spans="1:9" hidden="1" x14ac:dyDescent="0.25">
      <c r="A1402" t="s">
        <v>42</v>
      </c>
      <c r="B1402" t="s">
        <v>6</v>
      </c>
      <c r="D1402" t="s">
        <v>6</v>
      </c>
      <c r="F1402">
        <v>2038</v>
      </c>
      <c r="G1402">
        <v>1739.9275</v>
      </c>
      <c r="H1402">
        <v>1.4999999999999999E-4</v>
      </c>
      <c r="I1402">
        <v>-1</v>
      </c>
    </row>
    <row r="1403" spans="1:9" hidden="1" x14ac:dyDescent="0.25">
      <c r="A1403" t="s">
        <v>42</v>
      </c>
      <c r="B1403" t="s">
        <v>6</v>
      </c>
      <c r="D1403" t="s">
        <v>6</v>
      </c>
      <c r="F1403">
        <v>2039</v>
      </c>
      <c r="G1403">
        <v>1739.9275</v>
      </c>
      <c r="H1403">
        <v>1.4999999999999999E-4</v>
      </c>
      <c r="I1403">
        <v>-1</v>
      </c>
    </row>
    <row r="1404" spans="1:9" hidden="1" x14ac:dyDescent="0.25">
      <c r="A1404" t="s">
        <v>42</v>
      </c>
      <c r="B1404" t="s">
        <v>6</v>
      </c>
      <c r="D1404" t="s">
        <v>6</v>
      </c>
      <c r="F1404">
        <v>2040</v>
      </c>
      <c r="G1404">
        <v>1739.9275</v>
      </c>
      <c r="H1404">
        <v>1.4999999999999999E-4</v>
      </c>
      <c r="I1404">
        <v>-1</v>
      </c>
    </row>
    <row r="1405" spans="1:9" hidden="1" x14ac:dyDescent="0.25">
      <c r="A1405" t="s">
        <v>42</v>
      </c>
      <c r="B1405" t="s">
        <v>6</v>
      </c>
      <c r="D1405" t="s">
        <v>6</v>
      </c>
      <c r="F1405">
        <v>2041</v>
      </c>
      <c r="G1405">
        <v>1739.9275</v>
      </c>
      <c r="H1405">
        <v>1.4999999999999999E-4</v>
      </c>
      <c r="I1405">
        <v>-1</v>
      </c>
    </row>
    <row r="1406" spans="1:9" hidden="1" x14ac:dyDescent="0.25">
      <c r="A1406" t="s">
        <v>43</v>
      </c>
      <c r="B1406" t="s">
        <v>6</v>
      </c>
      <c r="D1406" t="s">
        <v>6</v>
      </c>
      <c r="F1406">
        <v>2024</v>
      </c>
      <c r="G1406">
        <v>1161.5999999999999</v>
      </c>
      <c r="H1406">
        <v>1.4999999999999999E-4</v>
      </c>
      <c r="I1406">
        <v>-1</v>
      </c>
    </row>
    <row r="1407" spans="1:9" hidden="1" x14ac:dyDescent="0.25">
      <c r="A1407" t="s">
        <v>43</v>
      </c>
      <c r="B1407" t="s">
        <v>6</v>
      </c>
      <c r="D1407" t="s">
        <v>6</v>
      </c>
      <c r="F1407">
        <v>2025</v>
      </c>
      <c r="G1407">
        <v>1161.5999999999999</v>
      </c>
      <c r="H1407">
        <v>1.4999999999999999E-4</v>
      </c>
      <c r="I1407">
        <v>-1</v>
      </c>
    </row>
    <row r="1408" spans="1:9" hidden="1" x14ac:dyDescent="0.25">
      <c r="A1408" t="s">
        <v>43</v>
      </c>
      <c r="B1408" t="s">
        <v>6</v>
      </c>
      <c r="D1408" t="s">
        <v>6</v>
      </c>
      <c r="F1408">
        <v>2026</v>
      </c>
      <c r="G1408">
        <v>1161.5999999999999</v>
      </c>
      <c r="H1408">
        <v>1.4999999999999999E-4</v>
      </c>
      <c r="I1408">
        <v>-1</v>
      </c>
    </row>
    <row r="1409" spans="1:9" hidden="1" x14ac:dyDescent="0.25">
      <c r="A1409" t="s">
        <v>43</v>
      </c>
      <c r="B1409" t="s">
        <v>6</v>
      </c>
      <c r="D1409" t="s">
        <v>6</v>
      </c>
      <c r="F1409">
        <v>2027</v>
      </c>
      <c r="G1409">
        <v>1161.5999999999999</v>
      </c>
      <c r="H1409">
        <v>1.4999999999999999E-4</v>
      </c>
      <c r="I1409">
        <v>-1</v>
      </c>
    </row>
    <row r="1410" spans="1:9" hidden="1" x14ac:dyDescent="0.25">
      <c r="A1410" t="s">
        <v>43</v>
      </c>
      <c r="B1410" t="s">
        <v>6</v>
      </c>
      <c r="D1410" t="s">
        <v>6</v>
      </c>
      <c r="F1410">
        <v>2028</v>
      </c>
      <c r="G1410">
        <v>1161.5999999999999</v>
      </c>
      <c r="H1410">
        <v>1.4999999999999999E-4</v>
      </c>
      <c r="I1410">
        <v>-1</v>
      </c>
    </row>
    <row r="1411" spans="1:9" hidden="1" x14ac:dyDescent="0.25">
      <c r="A1411" t="s">
        <v>43</v>
      </c>
      <c r="B1411" t="s">
        <v>6</v>
      </c>
      <c r="D1411" t="s">
        <v>6</v>
      </c>
      <c r="F1411">
        <v>2029</v>
      </c>
      <c r="G1411">
        <v>1161.5999999999999</v>
      </c>
      <c r="H1411">
        <v>1.4999999999999999E-4</v>
      </c>
      <c r="I1411">
        <v>-1</v>
      </c>
    </row>
    <row r="1412" spans="1:9" hidden="1" x14ac:dyDescent="0.25">
      <c r="A1412" t="s">
        <v>43</v>
      </c>
      <c r="B1412" t="s">
        <v>6</v>
      </c>
      <c r="D1412" t="s">
        <v>6</v>
      </c>
      <c r="F1412">
        <v>2030</v>
      </c>
      <c r="G1412">
        <v>1161.5999999999999</v>
      </c>
      <c r="H1412">
        <v>1.4999999999999999E-4</v>
      </c>
      <c r="I1412">
        <v>-1</v>
      </c>
    </row>
    <row r="1413" spans="1:9" hidden="1" x14ac:dyDescent="0.25">
      <c r="A1413" t="s">
        <v>43</v>
      </c>
      <c r="B1413" t="s">
        <v>6</v>
      </c>
      <c r="D1413" t="s">
        <v>6</v>
      </c>
      <c r="F1413">
        <v>2031</v>
      </c>
      <c r="G1413">
        <v>1161.5999999999999</v>
      </c>
      <c r="H1413">
        <v>1.4999999999999999E-4</v>
      </c>
      <c r="I1413">
        <v>-1</v>
      </c>
    </row>
    <row r="1414" spans="1:9" hidden="1" x14ac:dyDescent="0.25">
      <c r="A1414" t="s">
        <v>43</v>
      </c>
      <c r="B1414" t="s">
        <v>6</v>
      </c>
      <c r="D1414" t="s">
        <v>6</v>
      </c>
      <c r="F1414">
        <v>2032</v>
      </c>
      <c r="G1414">
        <v>1161.5999999999999</v>
      </c>
      <c r="H1414">
        <v>1.4999999999999999E-4</v>
      </c>
      <c r="I1414">
        <v>-1</v>
      </c>
    </row>
    <row r="1415" spans="1:9" hidden="1" x14ac:dyDescent="0.25">
      <c r="A1415" t="s">
        <v>43</v>
      </c>
      <c r="B1415" t="s">
        <v>6</v>
      </c>
      <c r="D1415" t="s">
        <v>6</v>
      </c>
      <c r="F1415">
        <v>2033</v>
      </c>
      <c r="G1415">
        <v>1161.5999999999999</v>
      </c>
      <c r="H1415">
        <v>1.4999999999999999E-4</v>
      </c>
      <c r="I1415">
        <v>-1</v>
      </c>
    </row>
    <row r="1416" spans="1:9" hidden="1" x14ac:dyDescent="0.25">
      <c r="A1416" t="s">
        <v>43</v>
      </c>
      <c r="B1416" t="s">
        <v>6</v>
      </c>
      <c r="D1416" t="s">
        <v>6</v>
      </c>
      <c r="F1416">
        <v>2034</v>
      </c>
      <c r="G1416">
        <v>1161.5999999999999</v>
      </c>
      <c r="H1416">
        <v>1.4999999999999999E-4</v>
      </c>
      <c r="I1416">
        <v>-1</v>
      </c>
    </row>
    <row r="1417" spans="1:9" hidden="1" x14ac:dyDescent="0.25">
      <c r="A1417" t="s">
        <v>43</v>
      </c>
      <c r="B1417" t="s">
        <v>6</v>
      </c>
      <c r="D1417" t="s">
        <v>6</v>
      </c>
      <c r="F1417">
        <v>2035</v>
      </c>
      <c r="G1417">
        <v>1161.5999999999999</v>
      </c>
      <c r="H1417">
        <v>1.4999999999999999E-4</v>
      </c>
      <c r="I1417">
        <v>-1</v>
      </c>
    </row>
    <row r="1418" spans="1:9" hidden="1" x14ac:dyDescent="0.25">
      <c r="A1418" t="s">
        <v>43</v>
      </c>
      <c r="B1418" t="s">
        <v>6</v>
      </c>
      <c r="D1418" t="s">
        <v>6</v>
      </c>
      <c r="F1418">
        <v>2036</v>
      </c>
      <c r="G1418">
        <v>1161.5999999999999</v>
      </c>
      <c r="H1418">
        <v>1.4999999999999999E-4</v>
      </c>
      <c r="I1418">
        <v>-1</v>
      </c>
    </row>
    <row r="1419" spans="1:9" hidden="1" x14ac:dyDescent="0.25">
      <c r="A1419" t="s">
        <v>43</v>
      </c>
      <c r="B1419" t="s">
        <v>6</v>
      </c>
      <c r="D1419" t="s">
        <v>6</v>
      </c>
      <c r="F1419">
        <v>2037</v>
      </c>
      <c r="G1419">
        <v>1161.5999999999999</v>
      </c>
      <c r="H1419">
        <v>1.4999999999999999E-4</v>
      </c>
      <c r="I1419">
        <v>-1</v>
      </c>
    </row>
    <row r="1420" spans="1:9" hidden="1" x14ac:dyDescent="0.25">
      <c r="A1420" t="s">
        <v>43</v>
      </c>
      <c r="B1420" t="s">
        <v>6</v>
      </c>
      <c r="D1420" t="s">
        <v>6</v>
      </c>
      <c r="F1420">
        <v>2038</v>
      </c>
      <c r="G1420">
        <v>1161.5999999999999</v>
      </c>
      <c r="H1420">
        <v>1.4999999999999999E-4</v>
      </c>
      <c r="I1420">
        <v>-1</v>
      </c>
    </row>
    <row r="1421" spans="1:9" hidden="1" x14ac:dyDescent="0.25">
      <c r="A1421" t="s">
        <v>43</v>
      </c>
      <c r="B1421" t="s">
        <v>6</v>
      </c>
      <c r="D1421" t="s">
        <v>6</v>
      </c>
      <c r="F1421">
        <v>2039</v>
      </c>
      <c r="G1421">
        <v>1161.5999999999999</v>
      </c>
      <c r="H1421">
        <v>1.4999999999999999E-4</v>
      </c>
      <c r="I1421">
        <v>-1</v>
      </c>
    </row>
    <row r="1422" spans="1:9" hidden="1" x14ac:dyDescent="0.25">
      <c r="A1422" t="s">
        <v>43</v>
      </c>
      <c r="B1422" t="s">
        <v>6</v>
      </c>
      <c r="D1422" t="s">
        <v>6</v>
      </c>
      <c r="F1422">
        <v>2040</v>
      </c>
      <c r="G1422">
        <v>1161.5999999999999</v>
      </c>
      <c r="H1422">
        <v>1.4999999999999999E-4</v>
      </c>
      <c r="I1422">
        <v>-1</v>
      </c>
    </row>
    <row r="1423" spans="1:9" hidden="1" x14ac:dyDescent="0.25">
      <c r="A1423" t="s">
        <v>43</v>
      </c>
      <c r="B1423" t="s">
        <v>6</v>
      </c>
      <c r="D1423" t="s">
        <v>6</v>
      </c>
      <c r="F1423">
        <v>2041</v>
      </c>
      <c r="G1423">
        <v>1161.5999999999999</v>
      </c>
      <c r="H1423">
        <v>1.4999999999999999E-4</v>
      </c>
      <c r="I1423">
        <v>-1</v>
      </c>
    </row>
    <row r="1424" spans="1:9" hidden="1" x14ac:dyDescent="0.25">
      <c r="A1424" t="s">
        <v>44</v>
      </c>
      <c r="B1424" t="s">
        <v>6</v>
      </c>
      <c r="D1424" t="s">
        <v>6</v>
      </c>
      <c r="F1424">
        <v>2024</v>
      </c>
      <c r="G1424">
        <v>10827.56631</v>
      </c>
      <c r="H1424">
        <v>1.4999999999999999E-4</v>
      </c>
      <c r="I1424">
        <v>-1</v>
      </c>
    </row>
    <row r="1425" spans="1:9" hidden="1" x14ac:dyDescent="0.25">
      <c r="A1425" t="s">
        <v>44</v>
      </c>
      <c r="B1425" t="s">
        <v>6</v>
      </c>
      <c r="D1425" t="s">
        <v>6</v>
      </c>
      <c r="F1425">
        <v>2025</v>
      </c>
      <c r="G1425">
        <v>10827.56631</v>
      </c>
      <c r="H1425">
        <v>1.4999999999999999E-4</v>
      </c>
      <c r="I1425">
        <v>-1</v>
      </c>
    </row>
    <row r="1426" spans="1:9" hidden="1" x14ac:dyDescent="0.25">
      <c r="A1426" t="s">
        <v>44</v>
      </c>
      <c r="B1426" t="s">
        <v>6</v>
      </c>
      <c r="D1426" t="s">
        <v>6</v>
      </c>
      <c r="F1426">
        <v>2026</v>
      </c>
      <c r="G1426">
        <v>10827.56631</v>
      </c>
      <c r="H1426">
        <v>1.4999999999999999E-4</v>
      </c>
      <c r="I1426">
        <v>-1</v>
      </c>
    </row>
    <row r="1427" spans="1:9" hidden="1" x14ac:dyDescent="0.25">
      <c r="A1427" t="s">
        <v>44</v>
      </c>
      <c r="B1427" t="s">
        <v>6</v>
      </c>
      <c r="D1427" t="s">
        <v>6</v>
      </c>
      <c r="F1427">
        <v>2027</v>
      </c>
      <c r="G1427">
        <v>10827.56631</v>
      </c>
      <c r="H1427">
        <v>1.4999999999999999E-4</v>
      </c>
      <c r="I1427">
        <v>-1</v>
      </c>
    </row>
    <row r="1428" spans="1:9" hidden="1" x14ac:dyDescent="0.25">
      <c r="A1428" t="s">
        <v>44</v>
      </c>
      <c r="B1428" t="s">
        <v>6</v>
      </c>
      <c r="D1428" t="s">
        <v>6</v>
      </c>
      <c r="F1428">
        <v>2028</v>
      </c>
      <c r="G1428">
        <v>10827.56631</v>
      </c>
      <c r="H1428">
        <v>1.4999999999999999E-4</v>
      </c>
      <c r="I1428">
        <v>-1</v>
      </c>
    </row>
    <row r="1429" spans="1:9" hidden="1" x14ac:dyDescent="0.25">
      <c r="A1429" t="s">
        <v>44</v>
      </c>
      <c r="B1429" t="s">
        <v>6</v>
      </c>
      <c r="D1429" t="s">
        <v>6</v>
      </c>
      <c r="F1429">
        <v>2029</v>
      </c>
      <c r="G1429">
        <v>10827.56631</v>
      </c>
      <c r="H1429">
        <v>1.4999999999999999E-4</v>
      </c>
      <c r="I1429">
        <v>-1</v>
      </c>
    </row>
    <row r="1430" spans="1:9" hidden="1" x14ac:dyDescent="0.25">
      <c r="A1430" t="s">
        <v>44</v>
      </c>
      <c r="B1430" t="s">
        <v>6</v>
      </c>
      <c r="D1430" t="s">
        <v>6</v>
      </c>
      <c r="F1430">
        <v>2030</v>
      </c>
      <c r="G1430">
        <v>10827.56631</v>
      </c>
      <c r="H1430">
        <v>1.4999999999999999E-4</v>
      </c>
      <c r="I1430">
        <v>-1</v>
      </c>
    </row>
    <row r="1431" spans="1:9" hidden="1" x14ac:dyDescent="0.25">
      <c r="A1431" t="s">
        <v>44</v>
      </c>
      <c r="B1431" t="s">
        <v>6</v>
      </c>
      <c r="D1431" t="s">
        <v>6</v>
      </c>
      <c r="F1431">
        <v>2031</v>
      </c>
      <c r="G1431">
        <v>10827.56631</v>
      </c>
      <c r="H1431">
        <v>1.4999999999999999E-4</v>
      </c>
      <c r="I1431">
        <v>-1</v>
      </c>
    </row>
    <row r="1432" spans="1:9" hidden="1" x14ac:dyDescent="0.25">
      <c r="A1432" t="s">
        <v>44</v>
      </c>
      <c r="B1432" t="s">
        <v>6</v>
      </c>
      <c r="D1432" t="s">
        <v>6</v>
      </c>
      <c r="F1432">
        <v>2032</v>
      </c>
      <c r="G1432">
        <v>10827.56631</v>
      </c>
      <c r="H1432">
        <v>1.4999999999999999E-4</v>
      </c>
      <c r="I1432">
        <v>-1</v>
      </c>
    </row>
    <row r="1433" spans="1:9" hidden="1" x14ac:dyDescent="0.25">
      <c r="A1433" t="s">
        <v>44</v>
      </c>
      <c r="B1433" t="s">
        <v>6</v>
      </c>
      <c r="D1433" t="s">
        <v>6</v>
      </c>
      <c r="F1433">
        <v>2033</v>
      </c>
      <c r="G1433">
        <v>10827.56631</v>
      </c>
      <c r="H1433">
        <v>1.4999999999999999E-4</v>
      </c>
      <c r="I1433">
        <v>-1</v>
      </c>
    </row>
    <row r="1434" spans="1:9" hidden="1" x14ac:dyDescent="0.25">
      <c r="A1434" t="s">
        <v>44</v>
      </c>
      <c r="B1434" t="s">
        <v>6</v>
      </c>
      <c r="D1434" t="s">
        <v>6</v>
      </c>
      <c r="F1434">
        <v>2034</v>
      </c>
      <c r="G1434">
        <v>10827.56631</v>
      </c>
      <c r="H1434">
        <v>1.4999999999999999E-4</v>
      </c>
      <c r="I1434">
        <v>-1</v>
      </c>
    </row>
    <row r="1435" spans="1:9" hidden="1" x14ac:dyDescent="0.25">
      <c r="A1435" t="s">
        <v>44</v>
      </c>
      <c r="B1435" t="s">
        <v>6</v>
      </c>
      <c r="D1435" t="s">
        <v>6</v>
      </c>
      <c r="F1435">
        <v>2035</v>
      </c>
      <c r="G1435">
        <v>10827.56631</v>
      </c>
      <c r="H1435">
        <v>1.4999999999999999E-4</v>
      </c>
      <c r="I1435">
        <v>-1</v>
      </c>
    </row>
    <row r="1436" spans="1:9" hidden="1" x14ac:dyDescent="0.25">
      <c r="A1436" t="s">
        <v>44</v>
      </c>
      <c r="B1436" t="s">
        <v>6</v>
      </c>
      <c r="D1436" t="s">
        <v>6</v>
      </c>
      <c r="F1436">
        <v>2036</v>
      </c>
      <c r="G1436">
        <v>10827.56631</v>
      </c>
      <c r="H1436">
        <v>1.4999999999999999E-4</v>
      </c>
      <c r="I1436">
        <v>-1</v>
      </c>
    </row>
    <row r="1437" spans="1:9" hidden="1" x14ac:dyDescent="0.25">
      <c r="A1437" t="s">
        <v>44</v>
      </c>
      <c r="B1437" t="s">
        <v>6</v>
      </c>
      <c r="D1437" t="s">
        <v>6</v>
      </c>
      <c r="F1437">
        <v>2037</v>
      </c>
      <c r="G1437">
        <v>10827.56631</v>
      </c>
      <c r="H1437">
        <v>1.4999999999999999E-4</v>
      </c>
      <c r="I1437">
        <v>-1</v>
      </c>
    </row>
    <row r="1438" spans="1:9" hidden="1" x14ac:dyDescent="0.25">
      <c r="A1438" t="s">
        <v>44</v>
      </c>
      <c r="B1438" t="s">
        <v>6</v>
      </c>
      <c r="D1438" t="s">
        <v>6</v>
      </c>
      <c r="F1438">
        <v>2038</v>
      </c>
      <c r="G1438">
        <v>10827.56631</v>
      </c>
      <c r="H1438">
        <v>1.4999999999999999E-4</v>
      </c>
      <c r="I1438">
        <v>-1</v>
      </c>
    </row>
    <row r="1439" spans="1:9" hidden="1" x14ac:dyDescent="0.25">
      <c r="A1439" t="s">
        <v>44</v>
      </c>
      <c r="B1439" t="s">
        <v>6</v>
      </c>
      <c r="D1439" t="s">
        <v>6</v>
      </c>
      <c r="F1439">
        <v>2039</v>
      </c>
      <c r="G1439">
        <v>10827.56631</v>
      </c>
      <c r="H1439">
        <v>1.4999999999999999E-4</v>
      </c>
      <c r="I1439">
        <v>-1</v>
      </c>
    </row>
    <row r="1440" spans="1:9" hidden="1" x14ac:dyDescent="0.25">
      <c r="A1440" t="s">
        <v>44</v>
      </c>
      <c r="B1440" t="s">
        <v>6</v>
      </c>
      <c r="D1440" t="s">
        <v>6</v>
      </c>
      <c r="F1440">
        <v>2040</v>
      </c>
      <c r="G1440">
        <v>10827.56631</v>
      </c>
      <c r="H1440">
        <v>1.4999999999999999E-4</v>
      </c>
      <c r="I1440">
        <v>-1</v>
      </c>
    </row>
    <row r="1441" spans="1:9" hidden="1" x14ac:dyDescent="0.25">
      <c r="A1441" t="s">
        <v>44</v>
      </c>
      <c r="B1441" t="s">
        <v>6</v>
      </c>
      <c r="D1441" t="s">
        <v>6</v>
      </c>
      <c r="F1441">
        <v>2041</v>
      </c>
      <c r="G1441">
        <v>10827.56631</v>
      </c>
      <c r="H1441">
        <v>1.4999999999999999E-4</v>
      </c>
      <c r="I1441">
        <v>-1</v>
      </c>
    </row>
    <row r="1442" spans="1:9" hidden="1" x14ac:dyDescent="0.25">
      <c r="A1442" t="s">
        <v>45</v>
      </c>
      <c r="B1442" t="s">
        <v>6</v>
      </c>
      <c r="D1442" t="s">
        <v>6</v>
      </c>
      <c r="F1442">
        <v>2024</v>
      </c>
      <c r="G1442">
        <v>3547.2804080000001</v>
      </c>
      <c r="H1442">
        <v>0.03</v>
      </c>
      <c r="I1442">
        <v>-1</v>
      </c>
    </row>
    <row r="1443" spans="1:9" hidden="1" x14ac:dyDescent="0.25">
      <c r="A1443" t="s">
        <v>45</v>
      </c>
      <c r="B1443" t="s">
        <v>6</v>
      </c>
      <c r="D1443" t="s">
        <v>6</v>
      </c>
      <c r="F1443">
        <v>2025</v>
      </c>
      <c r="G1443">
        <v>3547.2804080000001</v>
      </c>
      <c r="H1443">
        <v>0.03</v>
      </c>
      <c r="I1443">
        <v>-1</v>
      </c>
    </row>
    <row r="1444" spans="1:9" hidden="1" x14ac:dyDescent="0.25">
      <c r="A1444" t="s">
        <v>45</v>
      </c>
      <c r="B1444" t="s">
        <v>6</v>
      </c>
      <c r="D1444" t="s">
        <v>6</v>
      </c>
      <c r="F1444">
        <v>2026</v>
      </c>
      <c r="G1444">
        <v>3547.2804080000001</v>
      </c>
      <c r="H1444">
        <v>0.03</v>
      </c>
      <c r="I1444">
        <v>-1</v>
      </c>
    </row>
    <row r="1445" spans="1:9" hidden="1" x14ac:dyDescent="0.25">
      <c r="A1445" t="s">
        <v>45</v>
      </c>
      <c r="B1445" t="s">
        <v>6</v>
      </c>
      <c r="D1445" t="s">
        <v>6</v>
      </c>
      <c r="F1445">
        <v>2027</v>
      </c>
      <c r="G1445">
        <v>3547.2804080000001</v>
      </c>
      <c r="H1445">
        <v>0.03</v>
      </c>
      <c r="I1445">
        <v>-1</v>
      </c>
    </row>
    <row r="1446" spans="1:9" hidden="1" x14ac:dyDescent="0.25">
      <c r="A1446" t="s">
        <v>45</v>
      </c>
      <c r="B1446" t="s">
        <v>6</v>
      </c>
      <c r="D1446" t="s">
        <v>6</v>
      </c>
      <c r="F1446">
        <v>2028</v>
      </c>
      <c r="G1446">
        <v>3547.2804080000001</v>
      </c>
      <c r="H1446">
        <v>0.03</v>
      </c>
      <c r="I1446">
        <v>-1</v>
      </c>
    </row>
    <row r="1447" spans="1:9" hidden="1" x14ac:dyDescent="0.25">
      <c r="A1447" t="s">
        <v>45</v>
      </c>
      <c r="B1447" t="s">
        <v>6</v>
      </c>
      <c r="D1447" t="s">
        <v>6</v>
      </c>
      <c r="F1447">
        <v>2029</v>
      </c>
      <c r="G1447">
        <v>3547.2804080000001</v>
      </c>
      <c r="H1447">
        <v>0.03</v>
      </c>
      <c r="I1447">
        <v>-1</v>
      </c>
    </row>
    <row r="1448" spans="1:9" hidden="1" x14ac:dyDescent="0.25">
      <c r="A1448" t="s">
        <v>45</v>
      </c>
      <c r="B1448" t="s">
        <v>6</v>
      </c>
      <c r="D1448" t="s">
        <v>6</v>
      </c>
      <c r="F1448">
        <v>2030</v>
      </c>
      <c r="G1448">
        <v>3547.2804080000001</v>
      </c>
      <c r="H1448">
        <v>0.03</v>
      </c>
      <c r="I1448">
        <v>-1</v>
      </c>
    </row>
    <row r="1449" spans="1:9" hidden="1" x14ac:dyDescent="0.25">
      <c r="A1449" t="s">
        <v>45</v>
      </c>
      <c r="B1449" t="s">
        <v>6</v>
      </c>
      <c r="D1449" t="s">
        <v>6</v>
      </c>
      <c r="F1449">
        <v>2031</v>
      </c>
      <c r="G1449">
        <v>3547.2804080000001</v>
      </c>
      <c r="H1449">
        <v>0.03</v>
      </c>
      <c r="I1449">
        <v>-1</v>
      </c>
    </row>
    <row r="1450" spans="1:9" hidden="1" x14ac:dyDescent="0.25">
      <c r="A1450" t="s">
        <v>45</v>
      </c>
      <c r="B1450" t="s">
        <v>6</v>
      </c>
      <c r="D1450" t="s">
        <v>6</v>
      </c>
      <c r="F1450">
        <v>2032</v>
      </c>
      <c r="G1450">
        <v>3547.2804080000001</v>
      </c>
      <c r="H1450">
        <v>0.03</v>
      </c>
      <c r="I1450">
        <v>-1</v>
      </c>
    </row>
    <row r="1451" spans="1:9" hidden="1" x14ac:dyDescent="0.25">
      <c r="A1451" t="s">
        <v>45</v>
      </c>
      <c r="B1451" t="s">
        <v>6</v>
      </c>
      <c r="D1451" t="s">
        <v>6</v>
      </c>
      <c r="F1451">
        <v>2033</v>
      </c>
      <c r="G1451">
        <v>3547.2804080000001</v>
      </c>
      <c r="H1451">
        <v>0.03</v>
      </c>
      <c r="I1451">
        <v>-1</v>
      </c>
    </row>
    <row r="1452" spans="1:9" hidden="1" x14ac:dyDescent="0.25">
      <c r="A1452" t="s">
        <v>45</v>
      </c>
      <c r="B1452" t="s">
        <v>6</v>
      </c>
      <c r="D1452" t="s">
        <v>6</v>
      </c>
      <c r="F1452">
        <v>2034</v>
      </c>
      <c r="G1452">
        <v>3547.2804080000001</v>
      </c>
      <c r="H1452">
        <v>0.03</v>
      </c>
      <c r="I1452">
        <v>-1</v>
      </c>
    </row>
    <row r="1453" spans="1:9" hidden="1" x14ac:dyDescent="0.25">
      <c r="A1453" t="s">
        <v>45</v>
      </c>
      <c r="B1453" t="s">
        <v>6</v>
      </c>
      <c r="D1453" t="s">
        <v>6</v>
      </c>
      <c r="F1453">
        <v>2035</v>
      </c>
      <c r="G1453">
        <v>3547.2804080000001</v>
      </c>
      <c r="H1453">
        <v>0.03</v>
      </c>
      <c r="I1453">
        <v>-1</v>
      </c>
    </row>
    <row r="1454" spans="1:9" hidden="1" x14ac:dyDescent="0.25">
      <c r="A1454" t="s">
        <v>45</v>
      </c>
      <c r="B1454" t="s">
        <v>6</v>
      </c>
      <c r="D1454" t="s">
        <v>6</v>
      </c>
      <c r="F1454">
        <v>2036</v>
      </c>
      <c r="G1454">
        <v>3547.2804080000001</v>
      </c>
      <c r="H1454">
        <v>0.03</v>
      </c>
      <c r="I1454">
        <v>-1</v>
      </c>
    </row>
    <row r="1455" spans="1:9" hidden="1" x14ac:dyDescent="0.25">
      <c r="A1455" t="s">
        <v>45</v>
      </c>
      <c r="B1455" t="s">
        <v>6</v>
      </c>
      <c r="D1455" t="s">
        <v>6</v>
      </c>
      <c r="F1455">
        <v>2037</v>
      </c>
      <c r="G1455">
        <v>3547.2804080000001</v>
      </c>
      <c r="H1455">
        <v>0.03</v>
      </c>
      <c r="I1455">
        <v>-1</v>
      </c>
    </row>
    <row r="1456" spans="1:9" hidden="1" x14ac:dyDescent="0.25">
      <c r="A1456" t="s">
        <v>45</v>
      </c>
      <c r="B1456" t="s">
        <v>6</v>
      </c>
      <c r="D1456" t="s">
        <v>6</v>
      </c>
      <c r="F1456">
        <v>2038</v>
      </c>
      <c r="G1456">
        <v>3547.2804080000001</v>
      </c>
      <c r="H1456">
        <v>0.03</v>
      </c>
      <c r="I1456">
        <v>-1</v>
      </c>
    </row>
    <row r="1457" spans="1:9" hidden="1" x14ac:dyDescent="0.25">
      <c r="A1457" t="s">
        <v>45</v>
      </c>
      <c r="B1457" t="s">
        <v>6</v>
      </c>
      <c r="D1457" t="s">
        <v>6</v>
      </c>
      <c r="F1457">
        <v>2039</v>
      </c>
      <c r="G1457">
        <v>3547.2804080000001</v>
      </c>
      <c r="H1457">
        <v>0.03</v>
      </c>
      <c r="I1457">
        <v>-1</v>
      </c>
    </row>
    <row r="1458" spans="1:9" hidden="1" x14ac:dyDescent="0.25">
      <c r="A1458" t="s">
        <v>45</v>
      </c>
      <c r="B1458" t="s">
        <v>6</v>
      </c>
      <c r="D1458" t="s">
        <v>6</v>
      </c>
      <c r="F1458">
        <v>2040</v>
      </c>
      <c r="G1458">
        <v>3547.2804080000001</v>
      </c>
      <c r="H1458">
        <v>0.03</v>
      </c>
      <c r="I1458">
        <v>-1</v>
      </c>
    </row>
    <row r="1459" spans="1:9" hidden="1" x14ac:dyDescent="0.25">
      <c r="A1459" t="s">
        <v>45</v>
      </c>
      <c r="B1459" t="s">
        <v>6</v>
      </c>
      <c r="D1459" t="s">
        <v>6</v>
      </c>
      <c r="F1459">
        <v>2041</v>
      </c>
      <c r="G1459">
        <v>3547.2804080000001</v>
      </c>
      <c r="H1459">
        <v>0.03</v>
      </c>
      <c r="I1459">
        <v>-1</v>
      </c>
    </row>
    <row r="1460" spans="1:9" hidden="1" x14ac:dyDescent="0.25">
      <c r="A1460" t="s">
        <v>46</v>
      </c>
      <c r="B1460" t="s">
        <v>6</v>
      </c>
      <c r="D1460" t="s">
        <v>6</v>
      </c>
      <c r="F1460">
        <v>2024</v>
      </c>
      <c r="G1460">
        <v>1331.2569599999999</v>
      </c>
      <c r="H1460">
        <v>1.4999999999999999E-4</v>
      </c>
      <c r="I1460">
        <v>-1</v>
      </c>
    </row>
    <row r="1461" spans="1:9" hidden="1" x14ac:dyDescent="0.25">
      <c r="A1461" t="s">
        <v>46</v>
      </c>
      <c r="B1461" t="s">
        <v>6</v>
      </c>
      <c r="D1461" t="s">
        <v>6</v>
      </c>
      <c r="F1461">
        <v>2025</v>
      </c>
      <c r="G1461">
        <v>1331.2569599999999</v>
      </c>
      <c r="H1461">
        <v>1.4999999999999999E-4</v>
      </c>
      <c r="I1461">
        <v>-1</v>
      </c>
    </row>
    <row r="1462" spans="1:9" hidden="1" x14ac:dyDescent="0.25">
      <c r="A1462" t="s">
        <v>46</v>
      </c>
      <c r="B1462" t="s">
        <v>6</v>
      </c>
      <c r="D1462" t="s">
        <v>6</v>
      </c>
      <c r="F1462">
        <v>2026</v>
      </c>
      <c r="G1462">
        <v>1331.2569599999999</v>
      </c>
      <c r="H1462">
        <v>1.4999999999999999E-4</v>
      </c>
      <c r="I1462">
        <v>-1</v>
      </c>
    </row>
    <row r="1463" spans="1:9" hidden="1" x14ac:dyDescent="0.25">
      <c r="A1463" t="s">
        <v>46</v>
      </c>
      <c r="B1463" t="s">
        <v>6</v>
      </c>
      <c r="D1463" t="s">
        <v>6</v>
      </c>
      <c r="F1463">
        <v>2027</v>
      </c>
      <c r="G1463">
        <v>1331.2569599999999</v>
      </c>
      <c r="H1463">
        <v>1.4999999999999999E-4</v>
      </c>
      <c r="I1463">
        <v>-1</v>
      </c>
    </row>
    <row r="1464" spans="1:9" hidden="1" x14ac:dyDescent="0.25">
      <c r="A1464" t="s">
        <v>46</v>
      </c>
      <c r="B1464" t="s">
        <v>6</v>
      </c>
      <c r="D1464" t="s">
        <v>6</v>
      </c>
      <c r="F1464">
        <v>2028</v>
      </c>
      <c r="G1464">
        <v>1331.2569599999999</v>
      </c>
      <c r="H1464">
        <v>1.4999999999999999E-4</v>
      </c>
      <c r="I1464">
        <v>-1</v>
      </c>
    </row>
    <row r="1465" spans="1:9" hidden="1" x14ac:dyDescent="0.25">
      <c r="A1465" t="s">
        <v>46</v>
      </c>
      <c r="B1465" t="s">
        <v>6</v>
      </c>
      <c r="D1465" t="s">
        <v>6</v>
      </c>
      <c r="F1465">
        <v>2029</v>
      </c>
      <c r="G1465">
        <v>1331.2569599999999</v>
      </c>
      <c r="H1465">
        <v>1.4999999999999999E-4</v>
      </c>
      <c r="I1465">
        <v>-1</v>
      </c>
    </row>
    <row r="1466" spans="1:9" hidden="1" x14ac:dyDescent="0.25">
      <c r="A1466" t="s">
        <v>46</v>
      </c>
      <c r="B1466" t="s">
        <v>6</v>
      </c>
      <c r="D1466" t="s">
        <v>6</v>
      </c>
      <c r="F1466">
        <v>2030</v>
      </c>
      <c r="G1466">
        <v>1331.2569599999999</v>
      </c>
      <c r="H1466">
        <v>1.4999999999999999E-4</v>
      </c>
      <c r="I1466">
        <v>-1</v>
      </c>
    </row>
    <row r="1467" spans="1:9" hidden="1" x14ac:dyDescent="0.25">
      <c r="A1467" t="s">
        <v>46</v>
      </c>
      <c r="B1467" t="s">
        <v>6</v>
      </c>
      <c r="D1467" t="s">
        <v>6</v>
      </c>
      <c r="F1467">
        <v>2031</v>
      </c>
      <c r="G1467">
        <v>1331.2569599999999</v>
      </c>
      <c r="H1467">
        <v>1.4999999999999999E-4</v>
      </c>
      <c r="I1467">
        <v>-1</v>
      </c>
    </row>
    <row r="1468" spans="1:9" hidden="1" x14ac:dyDescent="0.25">
      <c r="A1468" t="s">
        <v>46</v>
      </c>
      <c r="B1468" t="s">
        <v>6</v>
      </c>
      <c r="D1468" t="s">
        <v>6</v>
      </c>
      <c r="F1468">
        <v>2032</v>
      </c>
      <c r="G1468">
        <v>1331.2569599999999</v>
      </c>
      <c r="H1468">
        <v>1.4999999999999999E-4</v>
      </c>
      <c r="I1468">
        <v>-1</v>
      </c>
    </row>
    <row r="1469" spans="1:9" hidden="1" x14ac:dyDescent="0.25">
      <c r="A1469" t="s">
        <v>46</v>
      </c>
      <c r="B1469" t="s">
        <v>6</v>
      </c>
      <c r="D1469" t="s">
        <v>6</v>
      </c>
      <c r="F1469">
        <v>2033</v>
      </c>
      <c r="G1469">
        <v>1331.2569599999999</v>
      </c>
      <c r="H1469">
        <v>1.4999999999999999E-4</v>
      </c>
      <c r="I1469">
        <v>-1</v>
      </c>
    </row>
    <row r="1470" spans="1:9" hidden="1" x14ac:dyDescent="0.25">
      <c r="A1470" t="s">
        <v>46</v>
      </c>
      <c r="B1470" t="s">
        <v>6</v>
      </c>
      <c r="D1470" t="s">
        <v>6</v>
      </c>
      <c r="F1470">
        <v>2034</v>
      </c>
      <c r="G1470">
        <v>1331.2569599999999</v>
      </c>
      <c r="H1470">
        <v>1.4999999999999999E-4</v>
      </c>
      <c r="I1470">
        <v>-1</v>
      </c>
    </row>
    <row r="1471" spans="1:9" hidden="1" x14ac:dyDescent="0.25">
      <c r="A1471" t="s">
        <v>46</v>
      </c>
      <c r="B1471" t="s">
        <v>6</v>
      </c>
      <c r="D1471" t="s">
        <v>6</v>
      </c>
      <c r="F1471">
        <v>2035</v>
      </c>
      <c r="G1471">
        <v>1331.2569599999999</v>
      </c>
      <c r="H1471">
        <v>1.4999999999999999E-4</v>
      </c>
      <c r="I1471">
        <v>-1</v>
      </c>
    </row>
    <row r="1472" spans="1:9" hidden="1" x14ac:dyDescent="0.25">
      <c r="A1472" t="s">
        <v>46</v>
      </c>
      <c r="B1472" t="s">
        <v>6</v>
      </c>
      <c r="D1472" t="s">
        <v>6</v>
      </c>
      <c r="F1472">
        <v>2036</v>
      </c>
      <c r="G1472">
        <v>1331.2569599999999</v>
      </c>
      <c r="H1472">
        <v>1.4999999999999999E-4</v>
      </c>
      <c r="I1472">
        <v>-1</v>
      </c>
    </row>
    <row r="1473" spans="1:9" hidden="1" x14ac:dyDescent="0.25">
      <c r="A1473" t="s">
        <v>46</v>
      </c>
      <c r="B1473" t="s">
        <v>6</v>
      </c>
      <c r="D1473" t="s">
        <v>6</v>
      </c>
      <c r="F1473">
        <v>2037</v>
      </c>
      <c r="G1473">
        <v>1331.2569599999999</v>
      </c>
      <c r="H1473">
        <v>1.4999999999999999E-4</v>
      </c>
      <c r="I1473">
        <v>-1</v>
      </c>
    </row>
    <row r="1474" spans="1:9" hidden="1" x14ac:dyDescent="0.25">
      <c r="A1474" t="s">
        <v>46</v>
      </c>
      <c r="B1474" t="s">
        <v>6</v>
      </c>
      <c r="D1474" t="s">
        <v>6</v>
      </c>
      <c r="F1474">
        <v>2038</v>
      </c>
      <c r="G1474">
        <v>1331.2569599999999</v>
      </c>
      <c r="H1474">
        <v>1.4999999999999999E-4</v>
      </c>
      <c r="I1474">
        <v>-1</v>
      </c>
    </row>
    <row r="1475" spans="1:9" hidden="1" x14ac:dyDescent="0.25">
      <c r="A1475" t="s">
        <v>46</v>
      </c>
      <c r="B1475" t="s">
        <v>6</v>
      </c>
      <c r="D1475" t="s">
        <v>6</v>
      </c>
      <c r="F1475">
        <v>2039</v>
      </c>
      <c r="G1475">
        <v>1331.2569599999999</v>
      </c>
      <c r="H1475">
        <v>1.4999999999999999E-4</v>
      </c>
      <c r="I1475">
        <v>-1</v>
      </c>
    </row>
    <row r="1476" spans="1:9" hidden="1" x14ac:dyDescent="0.25">
      <c r="A1476" t="s">
        <v>46</v>
      </c>
      <c r="B1476" t="s">
        <v>6</v>
      </c>
      <c r="D1476" t="s">
        <v>6</v>
      </c>
      <c r="F1476">
        <v>2040</v>
      </c>
      <c r="G1476">
        <v>1331.2569599999999</v>
      </c>
      <c r="H1476">
        <v>1.4999999999999999E-4</v>
      </c>
      <c r="I1476">
        <v>-1</v>
      </c>
    </row>
    <row r="1477" spans="1:9" hidden="1" x14ac:dyDescent="0.25">
      <c r="A1477" t="s">
        <v>46</v>
      </c>
      <c r="B1477" t="s">
        <v>6</v>
      </c>
      <c r="D1477" t="s">
        <v>6</v>
      </c>
      <c r="F1477">
        <v>2041</v>
      </c>
      <c r="G1477">
        <v>1331.2569599999999</v>
      </c>
      <c r="H1477">
        <v>1.4999999999999999E-4</v>
      </c>
      <c r="I1477">
        <v>-1</v>
      </c>
    </row>
    <row r="1478" spans="1:9" hidden="1" x14ac:dyDescent="0.25">
      <c r="A1478" t="s">
        <v>47</v>
      </c>
      <c r="B1478" t="s">
        <v>6</v>
      </c>
      <c r="D1478" t="s">
        <v>6</v>
      </c>
      <c r="F1478">
        <v>2024</v>
      </c>
      <c r="G1478">
        <v>1891.8</v>
      </c>
      <c r="H1478">
        <v>8.0000000000000002E-3</v>
      </c>
      <c r="I1478">
        <v>-1</v>
      </c>
    </row>
    <row r="1479" spans="1:9" hidden="1" x14ac:dyDescent="0.25">
      <c r="A1479" t="s">
        <v>47</v>
      </c>
      <c r="B1479" t="s">
        <v>6</v>
      </c>
      <c r="D1479" t="s">
        <v>6</v>
      </c>
      <c r="F1479">
        <v>2025</v>
      </c>
      <c r="G1479">
        <v>1891.8</v>
      </c>
      <c r="H1479">
        <v>8.0000000000000002E-3</v>
      </c>
      <c r="I1479">
        <v>-1</v>
      </c>
    </row>
    <row r="1480" spans="1:9" hidden="1" x14ac:dyDescent="0.25">
      <c r="A1480" t="s">
        <v>47</v>
      </c>
      <c r="B1480" t="s">
        <v>6</v>
      </c>
      <c r="D1480" t="s">
        <v>6</v>
      </c>
      <c r="F1480">
        <v>2026</v>
      </c>
      <c r="G1480">
        <v>1891.8</v>
      </c>
      <c r="H1480">
        <v>8.0000000000000002E-3</v>
      </c>
      <c r="I1480">
        <v>-1</v>
      </c>
    </row>
    <row r="1481" spans="1:9" hidden="1" x14ac:dyDescent="0.25">
      <c r="A1481" t="s">
        <v>47</v>
      </c>
      <c r="B1481" t="s">
        <v>6</v>
      </c>
      <c r="D1481" t="s">
        <v>6</v>
      </c>
      <c r="F1481">
        <v>2027</v>
      </c>
      <c r="G1481">
        <v>1891.8</v>
      </c>
      <c r="H1481">
        <v>8.0000000000000002E-3</v>
      </c>
      <c r="I1481">
        <v>-1</v>
      </c>
    </row>
    <row r="1482" spans="1:9" hidden="1" x14ac:dyDescent="0.25">
      <c r="A1482" t="s">
        <v>47</v>
      </c>
      <c r="B1482" t="s">
        <v>6</v>
      </c>
      <c r="D1482" t="s">
        <v>6</v>
      </c>
      <c r="F1482">
        <v>2028</v>
      </c>
      <c r="G1482">
        <v>1891.8</v>
      </c>
      <c r="H1482">
        <v>8.0000000000000002E-3</v>
      </c>
      <c r="I1482">
        <v>-1</v>
      </c>
    </row>
    <row r="1483" spans="1:9" hidden="1" x14ac:dyDescent="0.25">
      <c r="A1483" t="s">
        <v>47</v>
      </c>
      <c r="B1483" t="s">
        <v>6</v>
      </c>
      <c r="D1483" t="s">
        <v>6</v>
      </c>
      <c r="F1483">
        <v>2029</v>
      </c>
      <c r="G1483">
        <v>1891.8</v>
      </c>
      <c r="H1483">
        <v>8.0000000000000002E-3</v>
      </c>
      <c r="I1483">
        <v>-1</v>
      </c>
    </row>
    <row r="1484" spans="1:9" hidden="1" x14ac:dyDescent="0.25">
      <c r="A1484" t="s">
        <v>47</v>
      </c>
      <c r="B1484" t="s">
        <v>6</v>
      </c>
      <c r="D1484" t="s">
        <v>6</v>
      </c>
      <c r="F1484">
        <v>2030</v>
      </c>
      <c r="G1484">
        <v>1891.8</v>
      </c>
      <c r="H1484">
        <v>8.0000000000000002E-3</v>
      </c>
      <c r="I1484">
        <v>-1</v>
      </c>
    </row>
    <row r="1485" spans="1:9" hidden="1" x14ac:dyDescent="0.25">
      <c r="A1485" t="s">
        <v>47</v>
      </c>
      <c r="B1485" t="s">
        <v>6</v>
      </c>
      <c r="D1485" t="s">
        <v>6</v>
      </c>
      <c r="F1485">
        <v>2031</v>
      </c>
      <c r="G1485">
        <v>1891.8</v>
      </c>
      <c r="H1485">
        <v>8.0000000000000002E-3</v>
      </c>
      <c r="I1485">
        <v>-1</v>
      </c>
    </row>
    <row r="1486" spans="1:9" hidden="1" x14ac:dyDescent="0.25">
      <c r="A1486" t="s">
        <v>47</v>
      </c>
      <c r="B1486" t="s">
        <v>6</v>
      </c>
      <c r="D1486" t="s">
        <v>6</v>
      </c>
      <c r="F1486">
        <v>2032</v>
      </c>
      <c r="G1486">
        <v>1891.8</v>
      </c>
      <c r="H1486">
        <v>8.0000000000000002E-3</v>
      </c>
      <c r="I1486">
        <v>-1</v>
      </c>
    </row>
    <row r="1487" spans="1:9" hidden="1" x14ac:dyDescent="0.25">
      <c r="A1487" t="s">
        <v>47</v>
      </c>
      <c r="B1487" t="s">
        <v>6</v>
      </c>
      <c r="D1487" t="s">
        <v>6</v>
      </c>
      <c r="F1487">
        <v>2033</v>
      </c>
      <c r="G1487">
        <v>1891.8</v>
      </c>
      <c r="H1487">
        <v>8.0000000000000002E-3</v>
      </c>
      <c r="I1487">
        <v>-1</v>
      </c>
    </row>
    <row r="1488" spans="1:9" hidden="1" x14ac:dyDescent="0.25">
      <c r="A1488" t="s">
        <v>47</v>
      </c>
      <c r="B1488" t="s">
        <v>6</v>
      </c>
      <c r="D1488" t="s">
        <v>6</v>
      </c>
      <c r="F1488">
        <v>2034</v>
      </c>
      <c r="G1488">
        <v>1891.8</v>
      </c>
      <c r="H1488">
        <v>8.0000000000000002E-3</v>
      </c>
      <c r="I1488">
        <v>-1</v>
      </c>
    </row>
    <row r="1489" spans="1:9" hidden="1" x14ac:dyDescent="0.25">
      <c r="A1489" t="s">
        <v>47</v>
      </c>
      <c r="B1489" t="s">
        <v>6</v>
      </c>
      <c r="D1489" t="s">
        <v>6</v>
      </c>
      <c r="F1489">
        <v>2035</v>
      </c>
      <c r="G1489">
        <v>1891.8</v>
      </c>
      <c r="H1489">
        <v>8.0000000000000002E-3</v>
      </c>
      <c r="I1489">
        <v>-1</v>
      </c>
    </row>
    <row r="1490" spans="1:9" hidden="1" x14ac:dyDescent="0.25">
      <c r="A1490" t="s">
        <v>47</v>
      </c>
      <c r="B1490" t="s">
        <v>6</v>
      </c>
      <c r="D1490" t="s">
        <v>6</v>
      </c>
      <c r="F1490">
        <v>2036</v>
      </c>
      <c r="G1490">
        <v>1891.8</v>
      </c>
      <c r="H1490">
        <v>8.0000000000000002E-3</v>
      </c>
      <c r="I1490">
        <v>-1</v>
      </c>
    </row>
    <row r="1491" spans="1:9" hidden="1" x14ac:dyDescent="0.25">
      <c r="A1491" t="s">
        <v>47</v>
      </c>
      <c r="B1491" t="s">
        <v>6</v>
      </c>
      <c r="D1491" t="s">
        <v>6</v>
      </c>
      <c r="F1491">
        <v>2037</v>
      </c>
      <c r="G1491">
        <v>1891.8</v>
      </c>
      <c r="H1491">
        <v>8.0000000000000002E-3</v>
      </c>
      <c r="I1491">
        <v>-1</v>
      </c>
    </row>
    <row r="1492" spans="1:9" hidden="1" x14ac:dyDescent="0.25">
      <c r="A1492" t="s">
        <v>47</v>
      </c>
      <c r="B1492" t="s">
        <v>6</v>
      </c>
      <c r="D1492" t="s">
        <v>6</v>
      </c>
      <c r="F1492">
        <v>2038</v>
      </c>
      <c r="G1492">
        <v>1891.8</v>
      </c>
      <c r="H1492">
        <v>8.0000000000000002E-3</v>
      </c>
      <c r="I1492">
        <v>-1</v>
      </c>
    </row>
    <row r="1493" spans="1:9" hidden="1" x14ac:dyDescent="0.25">
      <c r="A1493" t="s">
        <v>47</v>
      </c>
      <c r="B1493" t="s">
        <v>6</v>
      </c>
      <c r="D1493" t="s">
        <v>6</v>
      </c>
      <c r="F1493">
        <v>2039</v>
      </c>
      <c r="G1493">
        <v>1891.8</v>
      </c>
      <c r="H1493">
        <v>8.0000000000000002E-3</v>
      </c>
      <c r="I1493">
        <v>-1</v>
      </c>
    </row>
    <row r="1494" spans="1:9" hidden="1" x14ac:dyDescent="0.25">
      <c r="A1494" t="s">
        <v>47</v>
      </c>
      <c r="B1494" t="s">
        <v>6</v>
      </c>
      <c r="D1494" t="s">
        <v>6</v>
      </c>
      <c r="F1494">
        <v>2040</v>
      </c>
      <c r="G1494">
        <v>1891.8</v>
      </c>
      <c r="H1494">
        <v>8.0000000000000002E-3</v>
      </c>
      <c r="I1494">
        <v>-1</v>
      </c>
    </row>
    <row r="1495" spans="1:9" hidden="1" x14ac:dyDescent="0.25">
      <c r="A1495" t="s">
        <v>47</v>
      </c>
      <c r="B1495" t="s">
        <v>6</v>
      </c>
      <c r="D1495" t="s">
        <v>6</v>
      </c>
      <c r="F1495">
        <v>2041</v>
      </c>
      <c r="G1495">
        <v>1891.8</v>
      </c>
      <c r="H1495">
        <v>8.0000000000000002E-3</v>
      </c>
      <c r="I1495">
        <v>-1</v>
      </c>
    </row>
    <row r="1496" spans="1:9" hidden="1" x14ac:dyDescent="0.25">
      <c r="A1496" t="s">
        <v>57</v>
      </c>
      <c r="B1496" t="s">
        <v>6</v>
      </c>
      <c r="D1496" t="s">
        <v>6</v>
      </c>
      <c r="F1496">
        <v>2024</v>
      </c>
      <c r="G1496">
        <v>0</v>
      </c>
      <c r="H1496">
        <v>0</v>
      </c>
      <c r="I1496">
        <v>-1</v>
      </c>
    </row>
    <row r="1497" spans="1:9" hidden="1" x14ac:dyDescent="0.25">
      <c r="A1497" t="s">
        <v>57</v>
      </c>
      <c r="B1497" t="s">
        <v>6</v>
      </c>
      <c r="D1497" t="s">
        <v>6</v>
      </c>
      <c r="F1497">
        <v>2025</v>
      </c>
      <c r="G1497">
        <v>0</v>
      </c>
      <c r="H1497">
        <v>0</v>
      </c>
      <c r="I1497">
        <v>-1</v>
      </c>
    </row>
    <row r="1498" spans="1:9" hidden="1" x14ac:dyDescent="0.25">
      <c r="A1498" t="s">
        <v>57</v>
      </c>
      <c r="B1498" t="s">
        <v>6</v>
      </c>
      <c r="D1498" t="s">
        <v>6</v>
      </c>
      <c r="F1498">
        <v>2026</v>
      </c>
      <c r="G1498">
        <v>0</v>
      </c>
      <c r="H1498">
        <v>0</v>
      </c>
      <c r="I1498">
        <v>-1</v>
      </c>
    </row>
    <row r="1499" spans="1:9" hidden="1" x14ac:dyDescent="0.25">
      <c r="A1499" t="s">
        <v>57</v>
      </c>
      <c r="B1499" t="s">
        <v>6</v>
      </c>
      <c r="D1499" t="s">
        <v>6</v>
      </c>
      <c r="F1499">
        <v>2027</v>
      </c>
      <c r="G1499">
        <v>0</v>
      </c>
      <c r="H1499">
        <v>0</v>
      </c>
      <c r="I1499">
        <v>-1</v>
      </c>
    </row>
    <row r="1500" spans="1:9" hidden="1" x14ac:dyDescent="0.25">
      <c r="A1500" t="s">
        <v>57</v>
      </c>
      <c r="B1500" t="s">
        <v>6</v>
      </c>
      <c r="D1500" t="s">
        <v>6</v>
      </c>
      <c r="F1500">
        <v>2028</v>
      </c>
      <c r="G1500">
        <v>0</v>
      </c>
      <c r="H1500">
        <v>0</v>
      </c>
      <c r="I1500">
        <v>-1</v>
      </c>
    </row>
    <row r="1501" spans="1:9" hidden="1" x14ac:dyDescent="0.25">
      <c r="A1501" t="s">
        <v>57</v>
      </c>
      <c r="B1501" t="s">
        <v>6</v>
      </c>
      <c r="D1501" t="s">
        <v>6</v>
      </c>
      <c r="F1501">
        <v>2029</v>
      </c>
      <c r="G1501">
        <v>0</v>
      </c>
      <c r="H1501">
        <v>0</v>
      </c>
      <c r="I1501">
        <v>-1</v>
      </c>
    </row>
    <row r="1502" spans="1:9" hidden="1" x14ac:dyDescent="0.25">
      <c r="A1502" t="s">
        <v>57</v>
      </c>
      <c r="B1502" t="s">
        <v>6</v>
      </c>
      <c r="D1502" t="s">
        <v>6</v>
      </c>
      <c r="F1502">
        <v>2030</v>
      </c>
      <c r="G1502">
        <v>0</v>
      </c>
      <c r="H1502">
        <v>0</v>
      </c>
      <c r="I1502">
        <v>-1</v>
      </c>
    </row>
    <row r="1503" spans="1:9" hidden="1" x14ac:dyDescent="0.25">
      <c r="A1503" t="s">
        <v>57</v>
      </c>
      <c r="B1503" t="s">
        <v>6</v>
      </c>
      <c r="D1503" t="s">
        <v>6</v>
      </c>
      <c r="F1503">
        <v>2031</v>
      </c>
      <c r="G1503">
        <v>0</v>
      </c>
      <c r="H1503">
        <v>0</v>
      </c>
      <c r="I1503">
        <v>-1</v>
      </c>
    </row>
    <row r="1504" spans="1:9" hidden="1" x14ac:dyDescent="0.25">
      <c r="A1504" t="s">
        <v>57</v>
      </c>
      <c r="B1504" t="s">
        <v>6</v>
      </c>
      <c r="D1504" t="s">
        <v>6</v>
      </c>
      <c r="F1504">
        <v>2032</v>
      </c>
      <c r="G1504">
        <v>0</v>
      </c>
      <c r="H1504">
        <v>0</v>
      </c>
      <c r="I1504">
        <v>-1</v>
      </c>
    </row>
    <row r="1505" spans="1:9" hidden="1" x14ac:dyDescent="0.25">
      <c r="A1505" t="s">
        <v>57</v>
      </c>
      <c r="B1505" t="s">
        <v>6</v>
      </c>
      <c r="D1505" t="s">
        <v>6</v>
      </c>
      <c r="F1505">
        <v>2033</v>
      </c>
      <c r="G1505">
        <v>0</v>
      </c>
      <c r="H1505">
        <v>0</v>
      </c>
      <c r="I1505">
        <v>-1</v>
      </c>
    </row>
    <row r="1506" spans="1:9" hidden="1" x14ac:dyDescent="0.25">
      <c r="A1506" t="s">
        <v>57</v>
      </c>
      <c r="B1506" t="s">
        <v>6</v>
      </c>
      <c r="D1506" t="s">
        <v>6</v>
      </c>
      <c r="F1506">
        <v>2034</v>
      </c>
      <c r="G1506">
        <v>0</v>
      </c>
      <c r="H1506">
        <v>0</v>
      </c>
      <c r="I1506">
        <v>-1</v>
      </c>
    </row>
    <row r="1507" spans="1:9" hidden="1" x14ac:dyDescent="0.25">
      <c r="A1507" t="s">
        <v>57</v>
      </c>
      <c r="B1507" t="s">
        <v>6</v>
      </c>
      <c r="D1507" t="s">
        <v>6</v>
      </c>
      <c r="F1507">
        <v>2035</v>
      </c>
      <c r="G1507">
        <v>0</v>
      </c>
      <c r="H1507">
        <v>0</v>
      </c>
      <c r="I1507">
        <v>-1</v>
      </c>
    </row>
    <row r="1508" spans="1:9" hidden="1" x14ac:dyDescent="0.25">
      <c r="A1508" t="s">
        <v>57</v>
      </c>
      <c r="B1508" t="s">
        <v>6</v>
      </c>
      <c r="D1508" t="s">
        <v>6</v>
      </c>
      <c r="F1508">
        <v>2036</v>
      </c>
      <c r="G1508">
        <v>0</v>
      </c>
      <c r="H1508">
        <v>0</v>
      </c>
      <c r="I1508">
        <v>-1</v>
      </c>
    </row>
    <row r="1509" spans="1:9" hidden="1" x14ac:dyDescent="0.25">
      <c r="A1509" t="s">
        <v>57</v>
      </c>
      <c r="B1509" t="s">
        <v>6</v>
      </c>
      <c r="D1509" t="s">
        <v>6</v>
      </c>
      <c r="F1509">
        <v>2037</v>
      </c>
      <c r="G1509">
        <v>0</v>
      </c>
      <c r="H1509">
        <v>0</v>
      </c>
      <c r="I1509">
        <v>-1</v>
      </c>
    </row>
    <row r="1510" spans="1:9" hidden="1" x14ac:dyDescent="0.25">
      <c r="A1510" t="s">
        <v>57</v>
      </c>
      <c r="B1510" t="s">
        <v>6</v>
      </c>
      <c r="D1510" t="s">
        <v>6</v>
      </c>
      <c r="F1510">
        <v>2038</v>
      </c>
      <c r="G1510">
        <v>0</v>
      </c>
      <c r="H1510">
        <v>0</v>
      </c>
      <c r="I1510">
        <v>-1</v>
      </c>
    </row>
    <row r="1511" spans="1:9" hidden="1" x14ac:dyDescent="0.25">
      <c r="A1511" t="s">
        <v>57</v>
      </c>
      <c r="B1511" t="s">
        <v>6</v>
      </c>
      <c r="D1511" t="s">
        <v>6</v>
      </c>
      <c r="F1511">
        <v>2039</v>
      </c>
      <c r="G1511">
        <v>0</v>
      </c>
      <c r="H1511">
        <v>0</v>
      </c>
      <c r="I1511">
        <v>-1</v>
      </c>
    </row>
    <row r="1512" spans="1:9" hidden="1" x14ac:dyDescent="0.25">
      <c r="A1512" t="s">
        <v>57</v>
      </c>
      <c r="B1512" t="s">
        <v>6</v>
      </c>
      <c r="D1512" t="s">
        <v>6</v>
      </c>
      <c r="F1512">
        <v>2040</v>
      </c>
      <c r="G1512">
        <v>0</v>
      </c>
      <c r="H1512">
        <v>0</v>
      </c>
      <c r="I1512">
        <v>-1</v>
      </c>
    </row>
    <row r="1513" spans="1:9" hidden="1" x14ac:dyDescent="0.25">
      <c r="A1513" t="s">
        <v>57</v>
      </c>
      <c r="B1513" t="s">
        <v>6</v>
      </c>
      <c r="D1513" t="s">
        <v>6</v>
      </c>
      <c r="F1513">
        <v>2041</v>
      </c>
      <c r="G1513">
        <v>0</v>
      </c>
      <c r="H1513">
        <v>0</v>
      </c>
      <c r="I1513">
        <v>-1</v>
      </c>
    </row>
    <row r="1514" spans="1:9" hidden="1" x14ac:dyDescent="0.25">
      <c r="A1514" t="s">
        <v>59</v>
      </c>
      <c r="B1514" t="s">
        <v>6</v>
      </c>
      <c r="D1514" t="s">
        <v>6</v>
      </c>
      <c r="F1514">
        <v>2024</v>
      </c>
      <c r="G1514">
        <v>0</v>
      </c>
      <c r="H1514">
        <v>0</v>
      </c>
      <c r="I1514">
        <v>-1</v>
      </c>
    </row>
    <row r="1515" spans="1:9" hidden="1" x14ac:dyDescent="0.25">
      <c r="A1515" t="s">
        <v>59</v>
      </c>
      <c r="B1515" t="s">
        <v>6</v>
      </c>
      <c r="D1515" t="s">
        <v>6</v>
      </c>
      <c r="F1515">
        <v>2025</v>
      </c>
      <c r="G1515">
        <v>0</v>
      </c>
      <c r="H1515">
        <v>0</v>
      </c>
      <c r="I1515">
        <v>-1</v>
      </c>
    </row>
    <row r="1516" spans="1:9" hidden="1" x14ac:dyDescent="0.25">
      <c r="A1516" t="s">
        <v>59</v>
      </c>
      <c r="B1516" t="s">
        <v>6</v>
      </c>
      <c r="D1516" t="s">
        <v>6</v>
      </c>
      <c r="F1516">
        <v>2026</v>
      </c>
      <c r="G1516">
        <v>0</v>
      </c>
      <c r="H1516">
        <v>0</v>
      </c>
      <c r="I1516">
        <v>-1</v>
      </c>
    </row>
    <row r="1517" spans="1:9" hidden="1" x14ac:dyDescent="0.25">
      <c r="A1517" t="s">
        <v>59</v>
      </c>
      <c r="B1517" t="s">
        <v>6</v>
      </c>
      <c r="D1517" t="s">
        <v>6</v>
      </c>
      <c r="F1517">
        <v>2027</v>
      </c>
      <c r="G1517">
        <v>0</v>
      </c>
      <c r="H1517">
        <v>0</v>
      </c>
      <c r="I1517">
        <v>-1</v>
      </c>
    </row>
    <row r="1518" spans="1:9" hidden="1" x14ac:dyDescent="0.25">
      <c r="A1518" t="s">
        <v>59</v>
      </c>
      <c r="B1518" t="s">
        <v>6</v>
      </c>
      <c r="D1518" t="s">
        <v>6</v>
      </c>
      <c r="F1518">
        <v>2028</v>
      </c>
      <c r="G1518">
        <v>0</v>
      </c>
      <c r="H1518">
        <v>0</v>
      </c>
      <c r="I1518">
        <v>-1</v>
      </c>
    </row>
    <row r="1519" spans="1:9" hidden="1" x14ac:dyDescent="0.25">
      <c r="A1519" t="s">
        <v>59</v>
      </c>
      <c r="B1519" t="s">
        <v>6</v>
      </c>
      <c r="D1519" t="s">
        <v>6</v>
      </c>
      <c r="F1519">
        <v>2029</v>
      </c>
      <c r="G1519">
        <v>0</v>
      </c>
      <c r="H1519">
        <v>0</v>
      </c>
      <c r="I1519">
        <v>-1</v>
      </c>
    </row>
    <row r="1520" spans="1:9" hidden="1" x14ac:dyDescent="0.25">
      <c r="A1520" t="s">
        <v>59</v>
      </c>
      <c r="B1520" t="s">
        <v>6</v>
      </c>
      <c r="D1520" t="s">
        <v>6</v>
      </c>
      <c r="F1520">
        <v>2030</v>
      </c>
      <c r="G1520">
        <v>0</v>
      </c>
      <c r="H1520">
        <v>0</v>
      </c>
      <c r="I1520">
        <v>-1</v>
      </c>
    </row>
    <row r="1521" spans="1:9" hidden="1" x14ac:dyDescent="0.25">
      <c r="A1521" t="s">
        <v>59</v>
      </c>
      <c r="B1521" t="s">
        <v>6</v>
      </c>
      <c r="D1521" t="s">
        <v>6</v>
      </c>
      <c r="F1521">
        <v>2031</v>
      </c>
      <c r="G1521">
        <v>0</v>
      </c>
      <c r="H1521">
        <v>0</v>
      </c>
      <c r="I1521">
        <v>-1</v>
      </c>
    </row>
    <row r="1522" spans="1:9" hidden="1" x14ac:dyDescent="0.25">
      <c r="A1522" t="s">
        <v>59</v>
      </c>
      <c r="B1522" t="s">
        <v>6</v>
      </c>
      <c r="D1522" t="s">
        <v>6</v>
      </c>
      <c r="F1522">
        <v>2032</v>
      </c>
      <c r="G1522">
        <v>0</v>
      </c>
      <c r="H1522">
        <v>0</v>
      </c>
      <c r="I1522">
        <v>-1</v>
      </c>
    </row>
    <row r="1523" spans="1:9" hidden="1" x14ac:dyDescent="0.25">
      <c r="A1523" t="s">
        <v>59</v>
      </c>
      <c r="B1523" t="s">
        <v>6</v>
      </c>
      <c r="D1523" t="s">
        <v>6</v>
      </c>
      <c r="F1523">
        <v>2033</v>
      </c>
      <c r="G1523">
        <v>0</v>
      </c>
      <c r="H1523">
        <v>0</v>
      </c>
      <c r="I1523">
        <v>-1</v>
      </c>
    </row>
    <row r="1524" spans="1:9" hidden="1" x14ac:dyDescent="0.25">
      <c r="A1524" t="s">
        <v>59</v>
      </c>
      <c r="B1524" t="s">
        <v>6</v>
      </c>
      <c r="D1524" t="s">
        <v>6</v>
      </c>
      <c r="F1524">
        <v>2034</v>
      </c>
      <c r="G1524">
        <v>0</v>
      </c>
      <c r="H1524">
        <v>0</v>
      </c>
      <c r="I1524">
        <v>-1</v>
      </c>
    </row>
    <row r="1525" spans="1:9" hidden="1" x14ac:dyDescent="0.25">
      <c r="A1525" t="s">
        <v>59</v>
      </c>
      <c r="B1525" t="s">
        <v>6</v>
      </c>
      <c r="D1525" t="s">
        <v>6</v>
      </c>
      <c r="F1525">
        <v>2035</v>
      </c>
      <c r="G1525">
        <v>0</v>
      </c>
      <c r="H1525">
        <v>0</v>
      </c>
      <c r="I1525">
        <v>-1</v>
      </c>
    </row>
    <row r="1526" spans="1:9" hidden="1" x14ac:dyDescent="0.25">
      <c r="A1526" t="s">
        <v>59</v>
      </c>
      <c r="B1526" t="s">
        <v>6</v>
      </c>
      <c r="D1526" t="s">
        <v>6</v>
      </c>
      <c r="F1526">
        <v>2036</v>
      </c>
      <c r="G1526">
        <v>0</v>
      </c>
      <c r="H1526">
        <v>0</v>
      </c>
      <c r="I1526">
        <v>-1</v>
      </c>
    </row>
    <row r="1527" spans="1:9" hidden="1" x14ac:dyDescent="0.25">
      <c r="A1527" t="s">
        <v>59</v>
      </c>
      <c r="B1527" t="s">
        <v>6</v>
      </c>
      <c r="D1527" t="s">
        <v>6</v>
      </c>
      <c r="F1527">
        <v>2037</v>
      </c>
      <c r="G1527">
        <v>0</v>
      </c>
      <c r="H1527">
        <v>0</v>
      </c>
      <c r="I1527">
        <v>-1</v>
      </c>
    </row>
    <row r="1528" spans="1:9" hidden="1" x14ac:dyDescent="0.25">
      <c r="A1528" t="s">
        <v>59</v>
      </c>
      <c r="B1528" t="s">
        <v>6</v>
      </c>
      <c r="D1528" t="s">
        <v>6</v>
      </c>
      <c r="F1528">
        <v>2038</v>
      </c>
      <c r="G1528">
        <v>0</v>
      </c>
      <c r="H1528">
        <v>0</v>
      </c>
      <c r="I1528">
        <v>-1</v>
      </c>
    </row>
    <row r="1529" spans="1:9" hidden="1" x14ac:dyDescent="0.25">
      <c r="A1529" t="s">
        <v>59</v>
      </c>
      <c r="B1529" t="s">
        <v>6</v>
      </c>
      <c r="D1529" t="s">
        <v>6</v>
      </c>
      <c r="F1529">
        <v>2039</v>
      </c>
      <c r="G1529">
        <v>0</v>
      </c>
      <c r="H1529">
        <v>0</v>
      </c>
      <c r="I1529">
        <v>-1</v>
      </c>
    </row>
    <row r="1530" spans="1:9" hidden="1" x14ac:dyDescent="0.25">
      <c r="A1530" t="s">
        <v>59</v>
      </c>
      <c r="B1530" t="s">
        <v>6</v>
      </c>
      <c r="D1530" t="s">
        <v>6</v>
      </c>
      <c r="F1530">
        <v>2040</v>
      </c>
      <c r="G1530">
        <v>0</v>
      </c>
      <c r="H1530">
        <v>0</v>
      </c>
      <c r="I1530">
        <v>-1</v>
      </c>
    </row>
    <row r="1531" spans="1:9" hidden="1" x14ac:dyDescent="0.25">
      <c r="A1531" t="s">
        <v>59</v>
      </c>
      <c r="B1531" t="s">
        <v>6</v>
      </c>
      <c r="D1531" t="s">
        <v>6</v>
      </c>
      <c r="F1531">
        <v>2041</v>
      </c>
      <c r="G1531">
        <v>0</v>
      </c>
      <c r="H1531">
        <v>0</v>
      </c>
      <c r="I1531">
        <v>-1</v>
      </c>
    </row>
    <row r="1532" spans="1:9" hidden="1" x14ac:dyDescent="0.25">
      <c r="A1532" t="s">
        <v>38</v>
      </c>
      <c r="B1532" t="s">
        <v>6</v>
      </c>
      <c r="D1532" t="s">
        <v>6</v>
      </c>
      <c r="F1532">
        <v>2024</v>
      </c>
      <c r="G1532">
        <v>0</v>
      </c>
      <c r="H1532">
        <v>0</v>
      </c>
      <c r="I1532">
        <v>-1</v>
      </c>
    </row>
    <row r="1533" spans="1:9" hidden="1" x14ac:dyDescent="0.25">
      <c r="A1533" t="s">
        <v>38</v>
      </c>
      <c r="B1533" t="s">
        <v>6</v>
      </c>
      <c r="D1533" t="s">
        <v>6</v>
      </c>
      <c r="F1533">
        <v>2025</v>
      </c>
      <c r="G1533">
        <v>0</v>
      </c>
      <c r="H1533">
        <v>0</v>
      </c>
      <c r="I1533">
        <v>-1</v>
      </c>
    </row>
    <row r="1534" spans="1:9" hidden="1" x14ac:dyDescent="0.25">
      <c r="A1534" t="s">
        <v>38</v>
      </c>
      <c r="B1534" t="s">
        <v>6</v>
      </c>
      <c r="D1534" t="s">
        <v>6</v>
      </c>
      <c r="F1534">
        <v>2026</v>
      </c>
      <c r="G1534">
        <v>0</v>
      </c>
      <c r="H1534">
        <v>0</v>
      </c>
      <c r="I1534">
        <v>-1</v>
      </c>
    </row>
    <row r="1535" spans="1:9" hidden="1" x14ac:dyDescent="0.25">
      <c r="A1535" t="s">
        <v>38</v>
      </c>
      <c r="B1535" t="s">
        <v>6</v>
      </c>
      <c r="D1535" t="s">
        <v>6</v>
      </c>
      <c r="F1535">
        <v>2027</v>
      </c>
      <c r="G1535">
        <v>0</v>
      </c>
      <c r="H1535">
        <v>0</v>
      </c>
      <c r="I1535">
        <v>-1</v>
      </c>
    </row>
    <row r="1536" spans="1:9" hidden="1" x14ac:dyDescent="0.25">
      <c r="A1536" t="s">
        <v>38</v>
      </c>
      <c r="B1536" t="s">
        <v>6</v>
      </c>
      <c r="D1536" t="s">
        <v>6</v>
      </c>
      <c r="F1536">
        <v>2028</v>
      </c>
      <c r="G1536">
        <v>0</v>
      </c>
      <c r="H1536">
        <v>0</v>
      </c>
      <c r="I1536">
        <v>-1</v>
      </c>
    </row>
    <row r="1537" spans="1:9" hidden="1" x14ac:dyDescent="0.25">
      <c r="A1537" t="s">
        <v>38</v>
      </c>
      <c r="B1537" t="s">
        <v>6</v>
      </c>
      <c r="D1537" t="s">
        <v>6</v>
      </c>
      <c r="F1537">
        <v>2029</v>
      </c>
      <c r="G1537">
        <v>0</v>
      </c>
      <c r="H1537">
        <v>0</v>
      </c>
      <c r="I1537">
        <v>-1</v>
      </c>
    </row>
    <row r="1538" spans="1:9" hidden="1" x14ac:dyDescent="0.25">
      <c r="A1538" t="s">
        <v>38</v>
      </c>
      <c r="B1538" t="s">
        <v>6</v>
      </c>
      <c r="D1538" t="s">
        <v>6</v>
      </c>
      <c r="F1538">
        <v>2030</v>
      </c>
      <c r="G1538">
        <v>0</v>
      </c>
      <c r="H1538">
        <v>0</v>
      </c>
      <c r="I1538">
        <v>-1</v>
      </c>
    </row>
    <row r="1539" spans="1:9" hidden="1" x14ac:dyDescent="0.25">
      <c r="A1539" t="s">
        <v>38</v>
      </c>
      <c r="B1539" t="s">
        <v>6</v>
      </c>
      <c r="D1539" t="s">
        <v>6</v>
      </c>
      <c r="F1539">
        <v>2031</v>
      </c>
      <c r="G1539">
        <v>0</v>
      </c>
      <c r="H1539">
        <v>0</v>
      </c>
      <c r="I1539">
        <v>-1</v>
      </c>
    </row>
    <row r="1540" spans="1:9" hidden="1" x14ac:dyDescent="0.25">
      <c r="A1540" t="s">
        <v>38</v>
      </c>
      <c r="B1540" t="s">
        <v>6</v>
      </c>
      <c r="D1540" t="s">
        <v>6</v>
      </c>
      <c r="F1540">
        <v>2032</v>
      </c>
      <c r="G1540">
        <v>0</v>
      </c>
      <c r="H1540">
        <v>0</v>
      </c>
      <c r="I1540">
        <v>-1</v>
      </c>
    </row>
    <row r="1541" spans="1:9" hidden="1" x14ac:dyDescent="0.25">
      <c r="A1541" t="s">
        <v>38</v>
      </c>
      <c r="B1541" t="s">
        <v>6</v>
      </c>
      <c r="D1541" t="s">
        <v>6</v>
      </c>
      <c r="F1541">
        <v>2033</v>
      </c>
      <c r="G1541">
        <v>0</v>
      </c>
      <c r="H1541">
        <v>0</v>
      </c>
      <c r="I1541">
        <v>-1</v>
      </c>
    </row>
    <row r="1542" spans="1:9" hidden="1" x14ac:dyDescent="0.25">
      <c r="A1542" t="s">
        <v>38</v>
      </c>
      <c r="B1542" t="s">
        <v>6</v>
      </c>
      <c r="D1542" t="s">
        <v>6</v>
      </c>
      <c r="F1542">
        <v>2034</v>
      </c>
      <c r="G1542">
        <v>0</v>
      </c>
      <c r="H1542">
        <v>0</v>
      </c>
      <c r="I1542">
        <v>-1</v>
      </c>
    </row>
    <row r="1543" spans="1:9" hidden="1" x14ac:dyDescent="0.25">
      <c r="A1543" t="s">
        <v>38</v>
      </c>
      <c r="B1543" t="s">
        <v>6</v>
      </c>
      <c r="D1543" t="s">
        <v>6</v>
      </c>
      <c r="F1543">
        <v>2035</v>
      </c>
      <c r="G1543">
        <v>0</v>
      </c>
      <c r="H1543">
        <v>0</v>
      </c>
      <c r="I1543">
        <v>-1</v>
      </c>
    </row>
    <row r="1544" spans="1:9" hidden="1" x14ac:dyDescent="0.25">
      <c r="A1544" t="s">
        <v>38</v>
      </c>
      <c r="B1544" t="s">
        <v>6</v>
      </c>
      <c r="D1544" t="s">
        <v>6</v>
      </c>
      <c r="F1544">
        <v>2036</v>
      </c>
      <c r="G1544">
        <v>0</v>
      </c>
      <c r="H1544">
        <v>0</v>
      </c>
      <c r="I1544">
        <v>-1</v>
      </c>
    </row>
    <row r="1545" spans="1:9" hidden="1" x14ac:dyDescent="0.25">
      <c r="A1545" t="s">
        <v>38</v>
      </c>
      <c r="B1545" t="s">
        <v>6</v>
      </c>
      <c r="D1545" t="s">
        <v>6</v>
      </c>
      <c r="F1545">
        <v>2037</v>
      </c>
      <c r="G1545">
        <v>0</v>
      </c>
      <c r="H1545">
        <v>0</v>
      </c>
      <c r="I1545">
        <v>-1</v>
      </c>
    </row>
    <row r="1546" spans="1:9" hidden="1" x14ac:dyDescent="0.25">
      <c r="A1546" t="s">
        <v>38</v>
      </c>
      <c r="B1546" t="s">
        <v>6</v>
      </c>
      <c r="D1546" t="s">
        <v>6</v>
      </c>
      <c r="F1546">
        <v>2038</v>
      </c>
      <c r="G1546">
        <v>0</v>
      </c>
      <c r="H1546">
        <v>0</v>
      </c>
      <c r="I1546">
        <v>-1</v>
      </c>
    </row>
    <row r="1547" spans="1:9" hidden="1" x14ac:dyDescent="0.25">
      <c r="A1547" t="s">
        <v>38</v>
      </c>
      <c r="B1547" t="s">
        <v>6</v>
      </c>
      <c r="D1547" t="s">
        <v>6</v>
      </c>
      <c r="F1547">
        <v>2039</v>
      </c>
      <c r="G1547">
        <v>0</v>
      </c>
      <c r="H1547">
        <v>0</v>
      </c>
      <c r="I1547">
        <v>-1</v>
      </c>
    </row>
    <row r="1548" spans="1:9" hidden="1" x14ac:dyDescent="0.25">
      <c r="A1548" t="s">
        <v>38</v>
      </c>
      <c r="B1548" t="s">
        <v>6</v>
      </c>
      <c r="D1548" t="s">
        <v>6</v>
      </c>
      <c r="F1548">
        <v>2040</v>
      </c>
      <c r="G1548">
        <v>0</v>
      </c>
      <c r="H1548">
        <v>0</v>
      </c>
      <c r="I1548">
        <v>-1</v>
      </c>
    </row>
    <row r="1549" spans="1:9" hidden="1" x14ac:dyDescent="0.25">
      <c r="A1549" t="s">
        <v>38</v>
      </c>
      <c r="B1549" t="s">
        <v>6</v>
      </c>
      <c r="D1549" t="s">
        <v>6</v>
      </c>
      <c r="F1549">
        <v>2041</v>
      </c>
      <c r="G1549">
        <v>0</v>
      </c>
      <c r="H1549">
        <v>0</v>
      </c>
      <c r="I1549">
        <v>-1</v>
      </c>
    </row>
    <row r="1550" spans="1:9" hidden="1" x14ac:dyDescent="0.25">
      <c r="A1550" t="s">
        <v>371</v>
      </c>
      <c r="B1550" t="s">
        <v>6</v>
      </c>
      <c r="C1550" t="s">
        <v>10</v>
      </c>
      <c r="D1550" t="s">
        <v>6</v>
      </c>
      <c r="E1550" t="s">
        <v>10</v>
      </c>
      <c r="F1550">
        <v>2024</v>
      </c>
      <c r="G1550">
        <v>4013.7569199999998</v>
      </c>
      <c r="H1550">
        <v>0.01</v>
      </c>
      <c r="I1550">
        <v>-1</v>
      </c>
    </row>
    <row r="1551" spans="1:9" hidden="1" x14ac:dyDescent="0.25">
      <c r="A1551" t="s">
        <v>371</v>
      </c>
      <c r="B1551" t="s">
        <v>6</v>
      </c>
      <c r="C1551" t="s">
        <v>10</v>
      </c>
      <c r="D1551" t="s">
        <v>6</v>
      </c>
      <c r="E1551" t="s">
        <v>10</v>
      </c>
      <c r="F1551">
        <v>2025</v>
      </c>
      <c r="G1551">
        <v>4013.7569199999998</v>
      </c>
      <c r="H1551">
        <v>0.01</v>
      </c>
      <c r="I1551">
        <v>-1</v>
      </c>
    </row>
    <row r="1552" spans="1:9" hidden="1" x14ac:dyDescent="0.25">
      <c r="A1552" t="s">
        <v>371</v>
      </c>
      <c r="B1552" t="s">
        <v>6</v>
      </c>
      <c r="C1552" t="s">
        <v>10</v>
      </c>
      <c r="D1552" t="s">
        <v>6</v>
      </c>
      <c r="E1552" t="s">
        <v>10</v>
      </c>
      <c r="F1552">
        <v>2026</v>
      </c>
      <c r="G1552">
        <v>4013.7569199999998</v>
      </c>
      <c r="H1552">
        <v>0.01</v>
      </c>
      <c r="I1552">
        <v>-1</v>
      </c>
    </row>
    <row r="1553" spans="1:9" hidden="1" x14ac:dyDescent="0.25">
      <c r="A1553" t="s">
        <v>371</v>
      </c>
      <c r="B1553" t="s">
        <v>6</v>
      </c>
      <c r="C1553" t="s">
        <v>10</v>
      </c>
      <c r="D1553" t="s">
        <v>6</v>
      </c>
      <c r="E1553" t="s">
        <v>10</v>
      </c>
      <c r="F1553">
        <v>2027</v>
      </c>
      <c r="G1553">
        <v>4013.7569199999998</v>
      </c>
      <c r="H1553">
        <v>0.01</v>
      </c>
      <c r="I1553">
        <v>-1</v>
      </c>
    </row>
    <row r="1554" spans="1:9" hidden="1" x14ac:dyDescent="0.25">
      <c r="A1554" t="s">
        <v>371</v>
      </c>
      <c r="B1554" t="s">
        <v>6</v>
      </c>
      <c r="C1554" t="s">
        <v>10</v>
      </c>
      <c r="D1554" t="s">
        <v>6</v>
      </c>
      <c r="E1554" t="s">
        <v>10</v>
      </c>
      <c r="F1554">
        <v>2028</v>
      </c>
      <c r="G1554">
        <v>4013.7569199999998</v>
      </c>
      <c r="H1554">
        <v>0.01</v>
      </c>
      <c r="I1554">
        <v>-1</v>
      </c>
    </row>
    <row r="1555" spans="1:9" hidden="1" x14ac:dyDescent="0.25">
      <c r="A1555" t="s">
        <v>371</v>
      </c>
      <c r="B1555" t="s">
        <v>6</v>
      </c>
      <c r="C1555" t="s">
        <v>10</v>
      </c>
      <c r="D1555" t="s">
        <v>6</v>
      </c>
      <c r="E1555" t="s">
        <v>10</v>
      </c>
      <c r="F1555">
        <v>2029</v>
      </c>
      <c r="G1555">
        <v>4013.7569199999998</v>
      </c>
      <c r="H1555">
        <v>0.01</v>
      </c>
      <c r="I1555">
        <v>-1</v>
      </c>
    </row>
    <row r="1556" spans="1:9" hidden="1" x14ac:dyDescent="0.25">
      <c r="A1556" t="s">
        <v>371</v>
      </c>
      <c r="B1556" t="s">
        <v>6</v>
      </c>
      <c r="C1556" t="s">
        <v>10</v>
      </c>
      <c r="D1556" t="s">
        <v>6</v>
      </c>
      <c r="E1556" t="s">
        <v>10</v>
      </c>
      <c r="F1556">
        <v>2030</v>
      </c>
      <c r="G1556">
        <v>4013.7569199999998</v>
      </c>
      <c r="H1556">
        <v>0.01</v>
      </c>
      <c r="I1556">
        <v>-1</v>
      </c>
    </row>
    <row r="1557" spans="1:9" hidden="1" x14ac:dyDescent="0.25">
      <c r="A1557" t="s">
        <v>371</v>
      </c>
      <c r="B1557" t="s">
        <v>6</v>
      </c>
      <c r="C1557" t="s">
        <v>10</v>
      </c>
      <c r="D1557" t="s">
        <v>6</v>
      </c>
      <c r="E1557" t="s">
        <v>10</v>
      </c>
      <c r="F1557">
        <v>2031</v>
      </c>
      <c r="G1557">
        <v>4013.7569199999998</v>
      </c>
      <c r="H1557">
        <v>0.01</v>
      </c>
      <c r="I1557">
        <v>-1</v>
      </c>
    </row>
    <row r="1558" spans="1:9" hidden="1" x14ac:dyDescent="0.25">
      <c r="A1558" t="s">
        <v>371</v>
      </c>
      <c r="B1558" t="s">
        <v>6</v>
      </c>
      <c r="C1558" t="s">
        <v>10</v>
      </c>
      <c r="D1558" t="s">
        <v>6</v>
      </c>
      <c r="E1558" t="s">
        <v>10</v>
      </c>
      <c r="F1558">
        <v>2032</v>
      </c>
      <c r="G1558">
        <v>4013.7569199999998</v>
      </c>
      <c r="H1558">
        <v>0.01</v>
      </c>
      <c r="I1558">
        <v>-1</v>
      </c>
    </row>
    <row r="1559" spans="1:9" hidden="1" x14ac:dyDescent="0.25">
      <c r="A1559" t="s">
        <v>371</v>
      </c>
      <c r="B1559" t="s">
        <v>6</v>
      </c>
      <c r="C1559" t="s">
        <v>10</v>
      </c>
      <c r="D1559" t="s">
        <v>6</v>
      </c>
      <c r="E1559" t="s">
        <v>10</v>
      </c>
      <c r="F1559">
        <v>2033</v>
      </c>
      <c r="G1559">
        <v>4013.7569199999998</v>
      </c>
      <c r="H1559">
        <v>0.01</v>
      </c>
      <c r="I1559">
        <v>-1</v>
      </c>
    </row>
    <row r="1560" spans="1:9" hidden="1" x14ac:dyDescent="0.25">
      <c r="A1560" t="s">
        <v>371</v>
      </c>
      <c r="B1560" t="s">
        <v>6</v>
      </c>
      <c r="C1560" t="s">
        <v>10</v>
      </c>
      <c r="D1560" t="s">
        <v>6</v>
      </c>
      <c r="E1560" t="s">
        <v>10</v>
      </c>
      <c r="F1560">
        <v>2034</v>
      </c>
      <c r="G1560">
        <v>4013.7569199999998</v>
      </c>
      <c r="H1560">
        <v>0.01</v>
      </c>
      <c r="I1560">
        <v>-1</v>
      </c>
    </row>
    <row r="1561" spans="1:9" hidden="1" x14ac:dyDescent="0.25">
      <c r="A1561" t="s">
        <v>371</v>
      </c>
      <c r="B1561" t="s">
        <v>6</v>
      </c>
      <c r="C1561" t="s">
        <v>10</v>
      </c>
      <c r="D1561" t="s">
        <v>6</v>
      </c>
      <c r="E1561" t="s">
        <v>10</v>
      </c>
      <c r="F1561">
        <v>2035</v>
      </c>
      <c r="G1561">
        <v>4013.7569199999998</v>
      </c>
      <c r="H1561">
        <v>0.01</v>
      </c>
      <c r="I1561">
        <v>-1</v>
      </c>
    </row>
    <row r="1562" spans="1:9" hidden="1" x14ac:dyDescent="0.25">
      <c r="A1562" t="s">
        <v>371</v>
      </c>
      <c r="B1562" t="s">
        <v>6</v>
      </c>
      <c r="C1562" t="s">
        <v>10</v>
      </c>
      <c r="D1562" t="s">
        <v>6</v>
      </c>
      <c r="E1562" t="s">
        <v>10</v>
      </c>
      <c r="F1562">
        <v>2036</v>
      </c>
      <c r="G1562">
        <v>4013.7569199999998</v>
      </c>
      <c r="H1562">
        <v>0.01</v>
      </c>
      <c r="I1562">
        <v>-1</v>
      </c>
    </row>
    <row r="1563" spans="1:9" hidden="1" x14ac:dyDescent="0.25">
      <c r="A1563" t="s">
        <v>371</v>
      </c>
      <c r="B1563" t="s">
        <v>6</v>
      </c>
      <c r="C1563" t="s">
        <v>10</v>
      </c>
      <c r="D1563" t="s">
        <v>6</v>
      </c>
      <c r="E1563" t="s">
        <v>10</v>
      </c>
      <c r="F1563">
        <v>2037</v>
      </c>
      <c r="G1563">
        <v>4013.7569199999998</v>
      </c>
      <c r="H1563">
        <v>0.01</v>
      </c>
      <c r="I1563">
        <v>-1</v>
      </c>
    </row>
    <row r="1564" spans="1:9" hidden="1" x14ac:dyDescent="0.25">
      <c r="A1564" t="s">
        <v>371</v>
      </c>
      <c r="B1564" t="s">
        <v>6</v>
      </c>
      <c r="C1564" t="s">
        <v>10</v>
      </c>
      <c r="D1564" t="s">
        <v>6</v>
      </c>
      <c r="E1564" t="s">
        <v>10</v>
      </c>
      <c r="F1564">
        <v>2038</v>
      </c>
      <c r="G1564">
        <v>4013.7569199999998</v>
      </c>
      <c r="H1564">
        <v>0.01</v>
      </c>
      <c r="I1564">
        <v>-1</v>
      </c>
    </row>
    <row r="1565" spans="1:9" hidden="1" x14ac:dyDescent="0.25">
      <c r="A1565" t="s">
        <v>371</v>
      </c>
      <c r="B1565" t="s">
        <v>6</v>
      </c>
      <c r="C1565" t="s">
        <v>10</v>
      </c>
      <c r="D1565" t="s">
        <v>6</v>
      </c>
      <c r="E1565" t="s">
        <v>10</v>
      </c>
      <c r="F1565">
        <v>2039</v>
      </c>
      <c r="G1565">
        <v>4013.7569199999998</v>
      </c>
      <c r="H1565">
        <v>0.01</v>
      </c>
      <c r="I1565">
        <v>-1</v>
      </c>
    </row>
    <row r="1566" spans="1:9" hidden="1" x14ac:dyDescent="0.25">
      <c r="A1566" t="s">
        <v>371</v>
      </c>
      <c r="B1566" t="s">
        <v>6</v>
      </c>
      <c r="C1566" t="s">
        <v>10</v>
      </c>
      <c r="D1566" t="s">
        <v>6</v>
      </c>
      <c r="E1566" t="s">
        <v>10</v>
      </c>
      <c r="F1566">
        <v>2040</v>
      </c>
      <c r="G1566">
        <v>4013.7569199999998</v>
      </c>
      <c r="H1566">
        <v>0.01</v>
      </c>
      <c r="I1566">
        <v>-1</v>
      </c>
    </row>
    <row r="1567" spans="1:9" hidden="1" x14ac:dyDescent="0.25">
      <c r="A1567" t="s">
        <v>371</v>
      </c>
      <c r="B1567" t="s">
        <v>6</v>
      </c>
      <c r="C1567" t="s">
        <v>10</v>
      </c>
      <c r="D1567" t="s">
        <v>6</v>
      </c>
      <c r="E1567" t="s">
        <v>10</v>
      </c>
      <c r="F1567">
        <v>2041</v>
      </c>
      <c r="G1567">
        <v>4013.7569199999998</v>
      </c>
      <c r="H1567">
        <v>0.01</v>
      </c>
      <c r="I1567">
        <v>-1</v>
      </c>
    </row>
    <row r="1568" spans="1:9" hidden="1" x14ac:dyDescent="0.25">
      <c r="A1568" t="s">
        <v>371</v>
      </c>
      <c r="B1568" t="s">
        <v>6</v>
      </c>
      <c r="C1568" t="s">
        <v>10</v>
      </c>
      <c r="D1568" t="s">
        <v>6</v>
      </c>
      <c r="E1568" t="s">
        <v>11</v>
      </c>
      <c r="F1568">
        <v>2024</v>
      </c>
      <c r="G1568">
        <v>4013.7569199999998</v>
      </c>
      <c r="H1568">
        <v>0.01</v>
      </c>
      <c r="I1568">
        <v>-1</v>
      </c>
    </row>
    <row r="1569" spans="1:9" hidden="1" x14ac:dyDescent="0.25">
      <c r="A1569" t="s">
        <v>371</v>
      </c>
      <c r="B1569" t="s">
        <v>6</v>
      </c>
      <c r="C1569" t="s">
        <v>10</v>
      </c>
      <c r="D1569" t="s">
        <v>6</v>
      </c>
      <c r="E1569" t="s">
        <v>11</v>
      </c>
      <c r="F1569">
        <v>2025</v>
      </c>
      <c r="G1569">
        <v>4013.7569199999998</v>
      </c>
      <c r="H1569">
        <v>0.01</v>
      </c>
      <c r="I1569">
        <v>-1</v>
      </c>
    </row>
    <row r="1570" spans="1:9" hidden="1" x14ac:dyDescent="0.25">
      <c r="A1570" t="s">
        <v>371</v>
      </c>
      <c r="B1570" t="s">
        <v>6</v>
      </c>
      <c r="C1570" t="s">
        <v>10</v>
      </c>
      <c r="D1570" t="s">
        <v>6</v>
      </c>
      <c r="E1570" t="s">
        <v>11</v>
      </c>
      <c r="F1570">
        <v>2026</v>
      </c>
      <c r="G1570">
        <v>4013.7569199999998</v>
      </c>
      <c r="H1570">
        <v>0.01</v>
      </c>
      <c r="I1570">
        <v>-1</v>
      </c>
    </row>
    <row r="1571" spans="1:9" hidden="1" x14ac:dyDescent="0.25">
      <c r="A1571" t="s">
        <v>371</v>
      </c>
      <c r="B1571" t="s">
        <v>6</v>
      </c>
      <c r="C1571" t="s">
        <v>10</v>
      </c>
      <c r="D1571" t="s">
        <v>6</v>
      </c>
      <c r="E1571" t="s">
        <v>11</v>
      </c>
      <c r="F1571">
        <v>2027</v>
      </c>
      <c r="G1571">
        <v>4013.7569199999998</v>
      </c>
      <c r="H1571">
        <v>0.01</v>
      </c>
      <c r="I1571">
        <v>-1</v>
      </c>
    </row>
    <row r="1572" spans="1:9" hidden="1" x14ac:dyDescent="0.25">
      <c r="A1572" t="s">
        <v>371</v>
      </c>
      <c r="B1572" t="s">
        <v>6</v>
      </c>
      <c r="C1572" t="s">
        <v>10</v>
      </c>
      <c r="D1572" t="s">
        <v>6</v>
      </c>
      <c r="E1572" t="s">
        <v>11</v>
      </c>
      <c r="F1572">
        <v>2028</v>
      </c>
      <c r="G1572">
        <v>4013.7569199999998</v>
      </c>
      <c r="H1572">
        <v>0.01</v>
      </c>
      <c r="I1572">
        <v>-1</v>
      </c>
    </row>
    <row r="1573" spans="1:9" hidden="1" x14ac:dyDescent="0.25">
      <c r="A1573" t="s">
        <v>371</v>
      </c>
      <c r="B1573" t="s">
        <v>6</v>
      </c>
      <c r="C1573" t="s">
        <v>10</v>
      </c>
      <c r="D1573" t="s">
        <v>6</v>
      </c>
      <c r="E1573" t="s">
        <v>11</v>
      </c>
      <c r="F1573">
        <v>2029</v>
      </c>
      <c r="G1573">
        <v>4013.7569199999998</v>
      </c>
      <c r="H1573">
        <v>0.01</v>
      </c>
      <c r="I1573">
        <v>-1</v>
      </c>
    </row>
    <row r="1574" spans="1:9" hidden="1" x14ac:dyDescent="0.25">
      <c r="A1574" t="s">
        <v>371</v>
      </c>
      <c r="B1574" t="s">
        <v>6</v>
      </c>
      <c r="C1574" t="s">
        <v>10</v>
      </c>
      <c r="D1574" t="s">
        <v>6</v>
      </c>
      <c r="E1574" t="s">
        <v>11</v>
      </c>
      <c r="F1574">
        <v>2030</v>
      </c>
      <c r="G1574">
        <v>4013.7569199999998</v>
      </c>
      <c r="H1574">
        <v>0.01</v>
      </c>
      <c r="I1574">
        <v>-1</v>
      </c>
    </row>
    <row r="1575" spans="1:9" hidden="1" x14ac:dyDescent="0.25">
      <c r="A1575" t="s">
        <v>371</v>
      </c>
      <c r="B1575" t="s">
        <v>6</v>
      </c>
      <c r="C1575" t="s">
        <v>10</v>
      </c>
      <c r="D1575" t="s">
        <v>6</v>
      </c>
      <c r="E1575" t="s">
        <v>11</v>
      </c>
      <c r="F1575">
        <v>2031</v>
      </c>
      <c r="G1575">
        <v>4013.7569199999998</v>
      </c>
      <c r="H1575">
        <v>0.01</v>
      </c>
      <c r="I1575">
        <v>-1</v>
      </c>
    </row>
    <row r="1576" spans="1:9" hidden="1" x14ac:dyDescent="0.25">
      <c r="A1576" t="s">
        <v>371</v>
      </c>
      <c r="B1576" t="s">
        <v>6</v>
      </c>
      <c r="C1576" t="s">
        <v>10</v>
      </c>
      <c r="D1576" t="s">
        <v>6</v>
      </c>
      <c r="E1576" t="s">
        <v>11</v>
      </c>
      <c r="F1576">
        <v>2032</v>
      </c>
      <c r="G1576">
        <v>4013.7569199999998</v>
      </c>
      <c r="H1576">
        <v>0.01</v>
      </c>
      <c r="I1576">
        <v>-1</v>
      </c>
    </row>
    <row r="1577" spans="1:9" hidden="1" x14ac:dyDescent="0.25">
      <c r="A1577" t="s">
        <v>371</v>
      </c>
      <c r="B1577" t="s">
        <v>6</v>
      </c>
      <c r="C1577" t="s">
        <v>10</v>
      </c>
      <c r="D1577" t="s">
        <v>6</v>
      </c>
      <c r="E1577" t="s">
        <v>11</v>
      </c>
      <c r="F1577">
        <v>2033</v>
      </c>
      <c r="G1577">
        <v>4013.7569199999998</v>
      </c>
      <c r="H1577">
        <v>0.01</v>
      </c>
      <c r="I1577">
        <v>-1</v>
      </c>
    </row>
    <row r="1578" spans="1:9" hidden="1" x14ac:dyDescent="0.25">
      <c r="A1578" t="s">
        <v>371</v>
      </c>
      <c r="B1578" t="s">
        <v>6</v>
      </c>
      <c r="C1578" t="s">
        <v>10</v>
      </c>
      <c r="D1578" t="s">
        <v>6</v>
      </c>
      <c r="E1578" t="s">
        <v>11</v>
      </c>
      <c r="F1578">
        <v>2034</v>
      </c>
      <c r="G1578">
        <v>4013.7569199999998</v>
      </c>
      <c r="H1578">
        <v>0.01</v>
      </c>
      <c r="I1578">
        <v>-1</v>
      </c>
    </row>
    <row r="1579" spans="1:9" hidden="1" x14ac:dyDescent="0.25">
      <c r="A1579" t="s">
        <v>371</v>
      </c>
      <c r="B1579" t="s">
        <v>6</v>
      </c>
      <c r="C1579" t="s">
        <v>10</v>
      </c>
      <c r="D1579" t="s">
        <v>6</v>
      </c>
      <c r="E1579" t="s">
        <v>11</v>
      </c>
      <c r="F1579">
        <v>2035</v>
      </c>
      <c r="G1579">
        <v>4013.7569199999998</v>
      </c>
      <c r="H1579">
        <v>0.01</v>
      </c>
      <c r="I1579">
        <v>-1</v>
      </c>
    </row>
    <row r="1580" spans="1:9" hidden="1" x14ac:dyDescent="0.25">
      <c r="A1580" t="s">
        <v>371</v>
      </c>
      <c r="B1580" t="s">
        <v>6</v>
      </c>
      <c r="C1580" t="s">
        <v>10</v>
      </c>
      <c r="D1580" t="s">
        <v>6</v>
      </c>
      <c r="E1580" t="s">
        <v>11</v>
      </c>
      <c r="F1580">
        <v>2036</v>
      </c>
      <c r="G1580">
        <v>4013.7569199999998</v>
      </c>
      <c r="H1580">
        <v>0.01</v>
      </c>
      <c r="I1580">
        <v>-1</v>
      </c>
    </row>
    <row r="1581" spans="1:9" hidden="1" x14ac:dyDescent="0.25">
      <c r="A1581" t="s">
        <v>371</v>
      </c>
      <c r="B1581" t="s">
        <v>6</v>
      </c>
      <c r="C1581" t="s">
        <v>10</v>
      </c>
      <c r="D1581" t="s">
        <v>6</v>
      </c>
      <c r="E1581" t="s">
        <v>11</v>
      </c>
      <c r="F1581">
        <v>2037</v>
      </c>
      <c r="G1581">
        <v>4013.7569199999998</v>
      </c>
      <c r="H1581">
        <v>0.01</v>
      </c>
      <c r="I1581">
        <v>-1</v>
      </c>
    </row>
    <row r="1582" spans="1:9" hidden="1" x14ac:dyDescent="0.25">
      <c r="A1582" t="s">
        <v>371</v>
      </c>
      <c r="B1582" t="s">
        <v>6</v>
      </c>
      <c r="C1582" t="s">
        <v>10</v>
      </c>
      <c r="D1582" t="s">
        <v>6</v>
      </c>
      <c r="E1582" t="s">
        <v>11</v>
      </c>
      <c r="F1582">
        <v>2038</v>
      </c>
      <c r="G1582">
        <v>4013.7569199999998</v>
      </c>
      <c r="H1582">
        <v>0.01</v>
      </c>
      <c r="I1582">
        <v>-1</v>
      </c>
    </row>
    <row r="1583" spans="1:9" hidden="1" x14ac:dyDescent="0.25">
      <c r="A1583" t="s">
        <v>371</v>
      </c>
      <c r="B1583" t="s">
        <v>6</v>
      </c>
      <c r="C1583" t="s">
        <v>10</v>
      </c>
      <c r="D1583" t="s">
        <v>6</v>
      </c>
      <c r="E1583" t="s">
        <v>11</v>
      </c>
      <c r="F1583">
        <v>2039</v>
      </c>
      <c r="G1583">
        <v>4013.7569199999998</v>
      </c>
      <c r="H1583">
        <v>0.01</v>
      </c>
      <c r="I1583">
        <v>-1</v>
      </c>
    </row>
    <row r="1584" spans="1:9" hidden="1" x14ac:dyDescent="0.25">
      <c r="A1584" t="s">
        <v>371</v>
      </c>
      <c r="B1584" t="s">
        <v>6</v>
      </c>
      <c r="C1584" t="s">
        <v>10</v>
      </c>
      <c r="D1584" t="s">
        <v>6</v>
      </c>
      <c r="E1584" t="s">
        <v>11</v>
      </c>
      <c r="F1584">
        <v>2040</v>
      </c>
      <c r="G1584">
        <v>4013.7569199999998</v>
      </c>
      <c r="H1584">
        <v>0.01</v>
      </c>
      <c r="I1584">
        <v>-1</v>
      </c>
    </row>
    <row r="1585" spans="1:9" hidden="1" x14ac:dyDescent="0.25">
      <c r="A1585" t="s">
        <v>371</v>
      </c>
      <c r="B1585" t="s">
        <v>6</v>
      </c>
      <c r="C1585" t="s">
        <v>10</v>
      </c>
      <c r="D1585" t="s">
        <v>6</v>
      </c>
      <c r="E1585" t="s">
        <v>11</v>
      </c>
      <c r="F1585">
        <v>2041</v>
      </c>
      <c r="G1585">
        <v>4013.7569199999998</v>
      </c>
      <c r="H1585">
        <v>0.01</v>
      </c>
      <c r="I1585">
        <v>-1</v>
      </c>
    </row>
    <row r="1586" spans="1:9" hidden="1" x14ac:dyDescent="0.25">
      <c r="A1586" t="s">
        <v>371</v>
      </c>
      <c r="B1586" t="s">
        <v>6</v>
      </c>
      <c r="C1586" t="s">
        <v>10</v>
      </c>
      <c r="D1586" t="s">
        <v>6</v>
      </c>
      <c r="E1586" t="s">
        <v>9</v>
      </c>
      <c r="F1586">
        <v>2024</v>
      </c>
      <c r="G1586">
        <v>4013.7569199999998</v>
      </c>
      <c r="H1586">
        <v>0.01</v>
      </c>
      <c r="I1586">
        <v>-1</v>
      </c>
    </row>
    <row r="1587" spans="1:9" hidden="1" x14ac:dyDescent="0.25">
      <c r="A1587" t="s">
        <v>371</v>
      </c>
      <c r="B1587" t="s">
        <v>6</v>
      </c>
      <c r="C1587" t="s">
        <v>10</v>
      </c>
      <c r="D1587" t="s">
        <v>6</v>
      </c>
      <c r="E1587" t="s">
        <v>9</v>
      </c>
      <c r="F1587">
        <v>2025</v>
      </c>
      <c r="G1587">
        <v>4013.7569199999998</v>
      </c>
      <c r="H1587">
        <v>0.01</v>
      </c>
      <c r="I1587">
        <v>-1</v>
      </c>
    </row>
    <row r="1588" spans="1:9" hidden="1" x14ac:dyDescent="0.25">
      <c r="A1588" t="s">
        <v>371</v>
      </c>
      <c r="B1588" t="s">
        <v>6</v>
      </c>
      <c r="C1588" t="s">
        <v>10</v>
      </c>
      <c r="D1588" t="s">
        <v>6</v>
      </c>
      <c r="E1588" t="s">
        <v>9</v>
      </c>
      <c r="F1588">
        <v>2026</v>
      </c>
      <c r="G1588">
        <v>4013.7569199999998</v>
      </c>
      <c r="H1588">
        <v>0.01</v>
      </c>
      <c r="I1588">
        <v>-1</v>
      </c>
    </row>
    <row r="1589" spans="1:9" hidden="1" x14ac:dyDescent="0.25">
      <c r="A1589" t="s">
        <v>371</v>
      </c>
      <c r="B1589" t="s">
        <v>6</v>
      </c>
      <c r="C1589" t="s">
        <v>10</v>
      </c>
      <c r="D1589" t="s">
        <v>6</v>
      </c>
      <c r="E1589" t="s">
        <v>9</v>
      </c>
      <c r="F1589">
        <v>2027</v>
      </c>
      <c r="G1589">
        <v>4013.7569199999998</v>
      </c>
      <c r="H1589">
        <v>0.01</v>
      </c>
      <c r="I1589">
        <v>-1</v>
      </c>
    </row>
    <row r="1590" spans="1:9" hidden="1" x14ac:dyDescent="0.25">
      <c r="A1590" t="s">
        <v>371</v>
      </c>
      <c r="B1590" t="s">
        <v>6</v>
      </c>
      <c r="C1590" t="s">
        <v>10</v>
      </c>
      <c r="D1590" t="s">
        <v>6</v>
      </c>
      <c r="E1590" t="s">
        <v>9</v>
      </c>
      <c r="F1590">
        <v>2028</v>
      </c>
      <c r="G1590">
        <v>4013.7569199999998</v>
      </c>
      <c r="H1590">
        <v>0.01</v>
      </c>
      <c r="I1590">
        <v>-1</v>
      </c>
    </row>
    <row r="1591" spans="1:9" hidden="1" x14ac:dyDescent="0.25">
      <c r="A1591" t="s">
        <v>371</v>
      </c>
      <c r="B1591" t="s">
        <v>6</v>
      </c>
      <c r="C1591" t="s">
        <v>10</v>
      </c>
      <c r="D1591" t="s">
        <v>6</v>
      </c>
      <c r="E1591" t="s">
        <v>9</v>
      </c>
      <c r="F1591">
        <v>2029</v>
      </c>
      <c r="G1591">
        <v>4013.7569199999998</v>
      </c>
      <c r="H1591">
        <v>0.01</v>
      </c>
      <c r="I1591">
        <v>-1</v>
      </c>
    </row>
    <row r="1592" spans="1:9" hidden="1" x14ac:dyDescent="0.25">
      <c r="A1592" t="s">
        <v>371</v>
      </c>
      <c r="B1592" t="s">
        <v>6</v>
      </c>
      <c r="C1592" t="s">
        <v>10</v>
      </c>
      <c r="D1592" t="s">
        <v>6</v>
      </c>
      <c r="E1592" t="s">
        <v>9</v>
      </c>
      <c r="F1592">
        <v>2030</v>
      </c>
      <c r="G1592">
        <v>4013.7569199999998</v>
      </c>
      <c r="H1592">
        <v>0.01</v>
      </c>
      <c r="I1592">
        <v>-1</v>
      </c>
    </row>
    <row r="1593" spans="1:9" hidden="1" x14ac:dyDescent="0.25">
      <c r="A1593" t="s">
        <v>371</v>
      </c>
      <c r="B1593" t="s">
        <v>6</v>
      </c>
      <c r="C1593" t="s">
        <v>10</v>
      </c>
      <c r="D1593" t="s">
        <v>6</v>
      </c>
      <c r="E1593" t="s">
        <v>9</v>
      </c>
      <c r="F1593">
        <v>2031</v>
      </c>
      <c r="G1593">
        <v>4013.7569199999998</v>
      </c>
      <c r="H1593">
        <v>0.01</v>
      </c>
      <c r="I1593">
        <v>-1</v>
      </c>
    </row>
    <row r="1594" spans="1:9" hidden="1" x14ac:dyDescent="0.25">
      <c r="A1594" t="s">
        <v>371</v>
      </c>
      <c r="B1594" t="s">
        <v>6</v>
      </c>
      <c r="C1594" t="s">
        <v>10</v>
      </c>
      <c r="D1594" t="s">
        <v>6</v>
      </c>
      <c r="E1594" t="s">
        <v>9</v>
      </c>
      <c r="F1594">
        <v>2032</v>
      </c>
      <c r="G1594">
        <v>4013.7569199999998</v>
      </c>
      <c r="H1594">
        <v>0.01</v>
      </c>
      <c r="I1594">
        <v>-1</v>
      </c>
    </row>
    <row r="1595" spans="1:9" hidden="1" x14ac:dyDescent="0.25">
      <c r="A1595" t="s">
        <v>371</v>
      </c>
      <c r="B1595" t="s">
        <v>6</v>
      </c>
      <c r="C1595" t="s">
        <v>10</v>
      </c>
      <c r="D1595" t="s">
        <v>6</v>
      </c>
      <c r="E1595" t="s">
        <v>9</v>
      </c>
      <c r="F1595">
        <v>2033</v>
      </c>
      <c r="G1595">
        <v>4013.7569199999998</v>
      </c>
      <c r="H1595">
        <v>0.01</v>
      </c>
      <c r="I1595">
        <v>-1</v>
      </c>
    </row>
    <row r="1596" spans="1:9" hidden="1" x14ac:dyDescent="0.25">
      <c r="A1596" t="s">
        <v>371</v>
      </c>
      <c r="B1596" t="s">
        <v>6</v>
      </c>
      <c r="C1596" t="s">
        <v>10</v>
      </c>
      <c r="D1596" t="s">
        <v>6</v>
      </c>
      <c r="E1596" t="s">
        <v>9</v>
      </c>
      <c r="F1596">
        <v>2034</v>
      </c>
      <c r="G1596">
        <v>4013.7569199999998</v>
      </c>
      <c r="H1596">
        <v>0.01</v>
      </c>
      <c r="I1596">
        <v>-1</v>
      </c>
    </row>
    <row r="1597" spans="1:9" hidden="1" x14ac:dyDescent="0.25">
      <c r="A1597" t="s">
        <v>371</v>
      </c>
      <c r="B1597" t="s">
        <v>6</v>
      </c>
      <c r="C1597" t="s">
        <v>10</v>
      </c>
      <c r="D1597" t="s">
        <v>6</v>
      </c>
      <c r="E1597" t="s">
        <v>9</v>
      </c>
      <c r="F1597">
        <v>2035</v>
      </c>
      <c r="G1597">
        <v>4013.7569199999998</v>
      </c>
      <c r="H1597">
        <v>0.01</v>
      </c>
      <c r="I1597">
        <v>-1</v>
      </c>
    </row>
    <row r="1598" spans="1:9" hidden="1" x14ac:dyDescent="0.25">
      <c r="A1598" t="s">
        <v>371</v>
      </c>
      <c r="B1598" t="s">
        <v>6</v>
      </c>
      <c r="C1598" t="s">
        <v>10</v>
      </c>
      <c r="D1598" t="s">
        <v>6</v>
      </c>
      <c r="E1598" t="s">
        <v>9</v>
      </c>
      <c r="F1598">
        <v>2036</v>
      </c>
      <c r="G1598">
        <v>4013.7569199999998</v>
      </c>
      <c r="H1598">
        <v>0.01</v>
      </c>
      <c r="I1598">
        <v>-1</v>
      </c>
    </row>
    <row r="1599" spans="1:9" hidden="1" x14ac:dyDescent="0.25">
      <c r="A1599" t="s">
        <v>371</v>
      </c>
      <c r="B1599" t="s">
        <v>6</v>
      </c>
      <c r="C1599" t="s">
        <v>10</v>
      </c>
      <c r="D1599" t="s">
        <v>6</v>
      </c>
      <c r="E1599" t="s">
        <v>9</v>
      </c>
      <c r="F1599">
        <v>2037</v>
      </c>
      <c r="G1599">
        <v>4013.7569199999998</v>
      </c>
      <c r="H1599">
        <v>0.01</v>
      </c>
      <c r="I1599">
        <v>-1</v>
      </c>
    </row>
    <row r="1600" spans="1:9" hidden="1" x14ac:dyDescent="0.25">
      <c r="A1600" t="s">
        <v>371</v>
      </c>
      <c r="B1600" t="s">
        <v>6</v>
      </c>
      <c r="C1600" t="s">
        <v>10</v>
      </c>
      <c r="D1600" t="s">
        <v>6</v>
      </c>
      <c r="E1600" t="s">
        <v>9</v>
      </c>
      <c r="F1600">
        <v>2038</v>
      </c>
      <c r="G1600">
        <v>4013.7569199999998</v>
      </c>
      <c r="H1600">
        <v>0.01</v>
      </c>
      <c r="I1600">
        <v>-1</v>
      </c>
    </row>
    <row r="1601" spans="1:9" hidden="1" x14ac:dyDescent="0.25">
      <c r="A1601" t="s">
        <v>371</v>
      </c>
      <c r="B1601" t="s">
        <v>6</v>
      </c>
      <c r="C1601" t="s">
        <v>10</v>
      </c>
      <c r="D1601" t="s">
        <v>6</v>
      </c>
      <c r="E1601" t="s">
        <v>9</v>
      </c>
      <c r="F1601">
        <v>2039</v>
      </c>
      <c r="G1601">
        <v>4013.7569199999998</v>
      </c>
      <c r="H1601">
        <v>0.01</v>
      </c>
      <c r="I1601">
        <v>-1</v>
      </c>
    </row>
    <row r="1602" spans="1:9" hidden="1" x14ac:dyDescent="0.25">
      <c r="A1602" t="s">
        <v>371</v>
      </c>
      <c r="B1602" t="s">
        <v>6</v>
      </c>
      <c r="C1602" t="s">
        <v>10</v>
      </c>
      <c r="D1602" t="s">
        <v>6</v>
      </c>
      <c r="E1602" t="s">
        <v>9</v>
      </c>
      <c r="F1602">
        <v>2040</v>
      </c>
      <c r="G1602">
        <v>4013.7569199999998</v>
      </c>
      <c r="H1602">
        <v>0.01</v>
      </c>
      <c r="I1602">
        <v>-1</v>
      </c>
    </row>
    <row r="1603" spans="1:9" hidden="1" x14ac:dyDescent="0.25">
      <c r="A1603" t="s">
        <v>371</v>
      </c>
      <c r="B1603" t="s">
        <v>6</v>
      </c>
      <c r="C1603" t="s">
        <v>10</v>
      </c>
      <c r="D1603" t="s">
        <v>6</v>
      </c>
      <c r="E1603" t="s">
        <v>9</v>
      </c>
      <c r="F1603">
        <v>2041</v>
      </c>
      <c r="G1603">
        <v>4013.7569199999998</v>
      </c>
      <c r="H1603">
        <v>0.01</v>
      </c>
      <c r="I1603">
        <v>-1</v>
      </c>
    </row>
    <row r="1604" spans="1:9" hidden="1" x14ac:dyDescent="0.25">
      <c r="A1604" t="s">
        <v>371</v>
      </c>
      <c r="B1604" t="s">
        <v>6</v>
      </c>
      <c r="C1604" t="s">
        <v>10</v>
      </c>
      <c r="D1604" t="s">
        <v>6</v>
      </c>
      <c r="E1604" t="s">
        <v>8</v>
      </c>
      <c r="F1604">
        <v>2024</v>
      </c>
      <c r="G1604">
        <v>4013.7569199999998</v>
      </c>
      <c r="H1604">
        <v>0.01</v>
      </c>
      <c r="I1604">
        <v>-1</v>
      </c>
    </row>
    <row r="1605" spans="1:9" hidden="1" x14ac:dyDescent="0.25">
      <c r="A1605" t="s">
        <v>371</v>
      </c>
      <c r="B1605" t="s">
        <v>6</v>
      </c>
      <c r="C1605" t="s">
        <v>10</v>
      </c>
      <c r="D1605" t="s">
        <v>6</v>
      </c>
      <c r="E1605" t="s">
        <v>8</v>
      </c>
      <c r="F1605">
        <v>2025</v>
      </c>
      <c r="G1605">
        <v>4013.7569199999998</v>
      </c>
      <c r="H1605">
        <v>0.01</v>
      </c>
      <c r="I1605">
        <v>-1</v>
      </c>
    </row>
    <row r="1606" spans="1:9" hidden="1" x14ac:dyDescent="0.25">
      <c r="A1606" t="s">
        <v>371</v>
      </c>
      <c r="B1606" t="s">
        <v>6</v>
      </c>
      <c r="C1606" t="s">
        <v>10</v>
      </c>
      <c r="D1606" t="s">
        <v>6</v>
      </c>
      <c r="E1606" t="s">
        <v>8</v>
      </c>
      <c r="F1606">
        <v>2026</v>
      </c>
      <c r="G1606">
        <v>4013.7569199999998</v>
      </c>
      <c r="H1606">
        <v>0.01</v>
      </c>
      <c r="I1606">
        <v>-1</v>
      </c>
    </row>
    <row r="1607" spans="1:9" hidden="1" x14ac:dyDescent="0.25">
      <c r="A1607" t="s">
        <v>371</v>
      </c>
      <c r="B1607" t="s">
        <v>6</v>
      </c>
      <c r="C1607" t="s">
        <v>10</v>
      </c>
      <c r="D1607" t="s">
        <v>6</v>
      </c>
      <c r="E1607" t="s">
        <v>8</v>
      </c>
      <c r="F1607">
        <v>2027</v>
      </c>
      <c r="G1607">
        <v>4013.7569199999998</v>
      </c>
      <c r="H1607">
        <v>0.01</v>
      </c>
      <c r="I1607">
        <v>-1</v>
      </c>
    </row>
    <row r="1608" spans="1:9" hidden="1" x14ac:dyDescent="0.25">
      <c r="A1608" t="s">
        <v>371</v>
      </c>
      <c r="B1608" t="s">
        <v>6</v>
      </c>
      <c r="C1608" t="s">
        <v>10</v>
      </c>
      <c r="D1608" t="s">
        <v>6</v>
      </c>
      <c r="E1608" t="s">
        <v>8</v>
      </c>
      <c r="F1608">
        <v>2028</v>
      </c>
      <c r="G1608">
        <v>4013.7569199999998</v>
      </c>
      <c r="H1608">
        <v>0.01</v>
      </c>
      <c r="I1608">
        <v>-1</v>
      </c>
    </row>
    <row r="1609" spans="1:9" hidden="1" x14ac:dyDescent="0.25">
      <c r="A1609" t="s">
        <v>371</v>
      </c>
      <c r="B1609" t="s">
        <v>6</v>
      </c>
      <c r="C1609" t="s">
        <v>10</v>
      </c>
      <c r="D1609" t="s">
        <v>6</v>
      </c>
      <c r="E1609" t="s">
        <v>8</v>
      </c>
      <c r="F1609">
        <v>2029</v>
      </c>
      <c r="G1609">
        <v>4013.7569199999998</v>
      </c>
      <c r="H1609">
        <v>0.01</v>
      </c>
      <c r="I1609">
        <v>-1</v>
      </c>
    </row>
    <row r="1610" spans="1:9" hidden="1" x14ac:dyDescent="0.25">
      <c r="A1610" t="s">
        <v>371</v>
      </c>
      <c r="B1610" t="s">
        <v>6</v>
      </c>
      <c r="C1610" t="s">
        <v>10</v>
      </c>
      <c r="D1610" t="s">
        <v>6</v>
      </c>
      <c r="E1610" t="s">
        <v>8</v>
      </c>
      <c r="F1610">
        <v>2030</v>
      </c>
      <c r="G1610">
        <v>4013.7569199999998</v>
      </c>
      <c r="H1610">
        <v>0.01</v>
      </c>
      <c r="I1610">
        <v>-1</v>
      </c>
    </row>
    <row r="1611" spans="1:9" hidden="1" x14ac:dyDescent="0.25">
      <c r="A1611" t="s">
        <v>371</v>
      </c>
      <c r="B1611" t="s">
        <v>6</v>
      </c>
      <c r="C1611" t="s">
        <v>10</v>
      </c>
      <c r="D1611" t="s">
        <v>6</v>
      </c>
      <c r="E1611" t="s">
        <v>8</v>
      </c>
      <c r="F1611">
        <v>2031</v>
      </c>
      <c r="G1611">
        <v>4013.7569199999998</v>
      </c>
      <c r="H1611">
        <v>0.01</v>
      </c>
      <c r="I1611">
        <v>-1</v>
      </c>
    </row>
    <row r="1612" spans="1:9" hidden="1" x14ac:dyDescent="0.25">
      <c r="A1612" t="s">
        <v>371</v>
      </c>
      <c r="B1612" t="s">
        <v>6</v>
      </c>
      <c r="C1612" t="s">
        <v>10</v>
      </c>
      <c r="D1612" t="s">
        <v>6</v>
      </c>
      <c r="E1612" t="s">
        <v>8</v>
      </c>
      <c r="F1612">
        <v>2032</v>
      </c>
      <c r="G1612">
        <v>4013.7569199999998</v>
      </c>
      <c r="H1612">
        <v>0.01</v>
      </c>
      <c r="I1612">
        <v>-1</v>
      </c>
    </row>
    <row r="1613" spans="1:9" hidden="1" x14ac:dyDescent="0.25">
      <c r="A1613" t="s">
        <v>371</v>
      </c>
      <c r="B1613" t="s">
        <v>6</v>
      </c>
      <c r="C1613" t="s">
        <v>10</v>
      </c>
      <c r="D1613" t="s">
        <v>6</v>
      </c>
      <c r="E1613" t="s">
        <v>8</v>
      </c>
      <c r="F1613">
        <v>2033</v>
      </c>
      <c r="G1613">
        <v>4013.7569199999998</v>
      </c>
      <c r="H1613">
        <v>0.01</v>
      </c>
      <c r="I1613">
        <v>-1</v>
      </c>
    </row>
    <row r="1614" spans="1:9" hidden="1" x14ac:dyDescent="0.25">
      <c r="A1614" t="s">
        <v>371</v>
      </c>
      <c r="B1614" t="s">
        <v>6</v>
      </c>
      <c r="C1614" t="s">
        <v>10</v>
      </c>
      <c r="D1614" t="s">
        <v>6</v>
      </c>
      <c r="E1614" t="s">
        <v>8</v>
      </c>
      <c r="F1614">
        <v>2034</v>
      </c>
      <c r="G1614">
        <v>4013.7569199999998</v>
      </c>
      <c r="H1614">
        <v>0.01</v>
      </c>
      <c r="I1614">
        <v>-1</v>
      </c>
    </row>
    <row r="1615" spans="1:9" hidden="1" x14ac:dyDescent="0.25">
      <c r="A1615" t="s">
        <v>371</v>
      </c>
      <c r="B1615" t="s">
        <v>6</v>
      </c>
      <c r="C1615" t="s">
        <v>10</v>
      </c>
      <c r="D1615" t="s">
        <v>6</v>
      </c>
      <c r="E1615" t="s">
        <v>8</v>
      </c>
      <c r="F1615">
        <v>2035</v>
      </c>
      <c r="G1615">
        <v>4013.7569199999998</v>
      </c>
      <c r="H1615">
        <v>0.01</v>
      </c>
      <c r="I1615">
        <v>-1</v>
      </c>
    </row>
    <row r="1616" spans="1:9" hidden="1" x14ac:dyDescent="0.25">
      <c r="A1616" t="s">
        <v>371</v>
      </c>
      <c r="B1616" t="s">
        <v>6</v>
      </c>
      <c r="C1616" t="s">
        <v>10</v>
      </c>
      <c r="D1616" t="s">
        <v>6</v>
      </c>
      <c r="E1616" t="s">
        <v>8</v>
      </c>
      <c r="F1616">
        <v>2036</v>
      </c>
      <c r="G1616">
        <v>4013.7569199999998</v>
      </c>
      <c r="H1616">
        <v>0.01</v>
      </c>
      <c r="I1616">
        <v>-1</v>
      </c>
    </row>
    <row r="1617" spans="1:9" hidden="1" x14ac:dyDescent="0.25">
      <c r="A1617" t="s">
        <v>371</v>
      </c>
      <c r="B1617" t="s">
        <v>6</v>
      </c>
      <c r="C1617" t="s">
        <v>10</v>
      </c>
      <c r="D1617" t="s">
        <v>6</v>
      </c>
      <c r="E1617" t="s">
        <v>8</v>
      </c>
      <c r="F1617">
        <v>2037</v>
      </c>
      <c r="G1617">
        <v>4013.7569199999998</v>
      </c>
      <c r="H1617">
        <v>0.01</v>
      </c>
      <c r="I1617">
        <v>-1</v>
      </c>
    </row>
    <row r="1618" spans="1:9" hidden="1" x14ac:dyDescent="0.25">
      <c r="A1618" t="s">
        <v>371</v>
      </c>
      <c r="B1618" t="s">
        <v>6</v>
      </c>
      <c r="C1618" t="s">
        <v>10</v>
      </c>
      <c r="D1618" t="s">
        <v>6</v>
      </c>
      <c r="E1618" t="s">
        <v>8</v>
      </c>
      <c r="F1618">
        <v>2038</v>
      </c>
      <c r="G1618">
        <v>4013.7569199999998</v>
      </c>
      <c r="H1618">
        <v>0.01</v>
      </c>
      <c r="I1618">
        <v>-1</v>
      </c>
    </row>
    <row r="1619" spans="1:9" hidden="1" x14ac:dyDescent="0.25">
      <c r="A1619" t="s">
        <v>371</v>
      </c>
      <c r="B1619" t="s">
        <v>6</v>
      </c>
      <c r="C1619" t="s">
        <v>10</v>
      </c>
      <c r="D1619" t="s">
        <v>6</v>
      </c>
      <c r="E1619" t="s">
        <v>8</v>
      </c>
      <c r="F1619">
        <v>2039</v>
      </c>
      <c r="G1619">
        <v>4013.7569199999998</v>
      </c>
      <c r="H1619">
        <v>0.01</v>
      </c>
      <c r="I1619">
        <v>-1</v>
      </c>
    </row>
    <row r="1620" spans="1:9" hidden="1" x14ac:dyDescent="0.25">
      <c r="A1620" t="s">
        <v>371</v>
      </c>
      <c r="B1620" t="s">
        <v>6</v>
      </c>
      <c r="C1620" t="s">
        <v>10</v>
      </c>
      <c r="D1620" t="s">
        <v>6</v>
      </c>
      <c r="E1620" t="s">
        <v>8</v>
      </c>
      <c r="F1620">
        <v>2040</v>
      </c>
      <c r="G1620">
        <v>4013.7569199999998</v>
      </c>
      <c r="H1620">
        <v>0.01</v>
      </c>
      <c r="I1620">
        <v>-1</v>
      </c>
    </row>
    <row r="1621" spans="1:9" hidden="1" x14ac:dyDescent="0.25">
      <c r="A1621" t="s">
        <v>371</v>
      </c>
      <c r="B1621" t="s">
        <v>6</v>
      </c>
      <c r="C1621" t="s">
        <v>10</v>
      </c>
      <c r="D1621" t="s">
        <v>6</v>
      </c>
      <c r="E1621" t="s">
        <v>8</v>
      </c>
      <c r="F1621">
        <v>2041</v>
      </c>
      <c r="G1621">
        <v>4013.7569199999998</v>
      </c>
      <c r="H1621">
        <v>0.01</v>
      </c>
      <c r="I1621">
        <v>-1</v>
      </c>
    </row>
    <row r="1622" spans="1:9" hidden="1" x14ac:dyDescent="0.25">
      <c r="A1622" t="s">
        <v>371</v>
      </c>
      <c r="B1622" t="s">
        <v>6</v>
      </c>
      <c r="C1622" t="s">
        <v>10</v>
      </c>
      <c r="D1622" t="s">
        <v>6</v>
      </c>
      <c r="E1622" t="s">
        <v>12</v>
      </c>
      <c r="F1622">
        <v>2024</v>
      </c>
      <c r="G1622">
        <v>4013.7569199999998</v>
      </c>
      <c r="H1622">
        <v>0.01</v>
      </c>
      <c r="I1622">
        <v>-1</v>
      </c>
    </row>
    <row r="1623" spans="1:9" hidden="1" x14ac:dyDescent="0.25">
      <c r="A1623" t="s">
        <v>371</v>
      </c>
      <c r="B1623" t="s">
        <v>6</v>
      </c>
      <c r="C1623" t="s">
        <v>10</v>
      </c>
      <c r="D1623" t="s">
        <v>6</v>
      </c>
      <c r="E1623" t="s">
        <v>12</v>
      </c>
      <c r="F1623">
        <v>2025</v>
      </c>
      <c r="G1623">
        <v>4013.7569199999998</v>
      </c>
      <c r="H1623">
        <v>0.01</v>
      </c>
      <c r="I1623">
        <v>-1</v>
      </c>
    </row>
    <row r="1624" spans="1:9" hidden="1" x14ac:dyDescent="0.25">
      <c r="A1624" t="s">
        <v>371</v>
      </c>
      <c r="B1624" t="s">
        <v>6</v>
      </c>
      <c r="C1624" t="s">
        <v>10</v>
      </c>
      <c r="D1624" t="s">
        <v>6</v>
      </c>
      <c r="E1624" t="s">
        <v>12</v>
      </c>
      <c r="F1624">
        <v>2026</v>
      </c>
      <c r="G1624">
        <v>4013.7569199999998</v>
      </c>
      <c r="H1624">
        <v>0.01</v>
      </c>
      <c r="I1624">
        <v>-1</v>
      </c>
    </row>
    <row r="1625" spans="1:9" hidden="1" x14ac:dyDescent="0.25">
      <c r="A1625" t="s">
        <v>371</v>
      </c>
      <c r="B1625" t="s">
        <v>6</v>
      </c>
      <c r="C1625" t="s">
        <v>10</v>
      </c>
      <c r="D1625" t="s">
        <v>6</v>
      </c>
      <c r="E1625" t="s">
        <v>12</v>
      </c>
      <c r="F1625">
        <v>2027</v>
      </c>
      <c r="G1625">
        <v>4013.7569199999998</v>
      </c>
      <c r="H1625">
        <v>0.01</v>
      </c>
      <c r="I1625">
        <v>-1</v>
      </c>
    </row>
    <row r="1626" spans="1:9" hidden="1" x14ac:dyDescent="0.25">
      <c r="A1626" t="s">
        <v>371</v>
      </c>
      <c r="B1626" t="s">
        <v>6</v>
      </c>
      <c r="C1626" t="s">
        <v>10</v>
      </c>
      <c r="D1626" t="s">
        <v>6</v>
      </c>
      <c r="E1626" t="s">
        <v>12</v>
      </c>
      <c r="F1626">
        <v>2028</v>
      </c>
      <c r="G1626">
        <v>4013.7569199999998</v>
      </c>
      <c r="H1626">
        <v>0.01</v>
      </c>
      <c r="I1626">
        <v>-1</v>
      </c>
    </row>
    <row r="1627" spans="1:9" hidden="1" x14ac:dyDescent="0.25">
      <c r="A1627" t="s">
        <v>371</v>
      </c>
      <c r="B1627" t="s">
        <v>6</v>
      </c>
      <c r="C1627" t="s">
        <v>10</v>
      </c>
      <c r="D1627" t="s">
        <v>6</v>
      </c>
      <c r="E1627" t="s">
        <v>12</v>
      </c>
      <c r="F1627">
        <v>2029</v>
      </c>
      <c r="G1627">
        <v>4013.7569199999998</v>
      </c>
      <c r="H1627">
        <v>0.01</v>
      </c>
      <c r="I1627">
        <v>-1</v>
      </c>
    </row>
    <row r="1628" spans="1:9" hidden="1" x14ac:dyDescent="0.25">
      <c r="A1628" t="s">
        <v>371</v>
      </c>
      <c r="B1628" t="s">
        <v>6</v>
      </c>
      <c r="C1628" t="s">
        <v>10</v>
      </c>
      <c r="D1628" t="s">
        <v>6</v>
      </c>
      <c r="E1628" t="s">
        <v>12</v>
      </c>
      <c r="F1628">
        <v>2030</v>
      </c>
      <c r="G1628">
        <v>4013.7569199999998</v>
      </c>
      <c r="H1628">
        <v>0.01</v>
      </c>
      <c r="I1628">
        <v>-1</v>
      </c>
    </row>
    <row r="1629" spans="1:9" hidden="1" x14ac:dyDescent="0.25">
      <c r="A1629" t="s">
        <v>371</v>
      </c>
      <c r="B1629" t="s">
        <v>6</v>
      </c>
      <c r="C1629" t="s">
        <v>10</v>
      </c>
      <c r="D1629" t="s">
        <v>6</v>
      </c>
      <c r="E1629" t="s">
        <v>12</v>
      </c>
      <c r="F1629">
        <v>2031</v>
      </c>
      <c r="G1629">
        <v>4013.7569199999998</v>
      </c>
      <c r="H1629">
        <v>0.01</v>
      </c>
      <c r="I1629">
        <v>-1</v>
      </c>
    </row>
    <row r="1630" spans="1:9" hidden="1" x14ac:dyDescent="0.25">
      <c r="A1630" t="s">
        <v>371</v>
      </c>
      <c r="B1630" t="s">
        <v>6</v>
      </c>
      <c r="C1630" t="s">
        <v>10</v>
      </c>
      <c r="D1630" t="s">
        <v>6</v>
      </c>
      <c r="E1630" t="s">
        <v>12</v>
      </c>
      <c r="F1630">
        <v>2032</v>
      </c>
      <c r="G1630">
        <v>4013.7569199999998</v>
      </c>
      <c r="H1630">
        <v>0.01</v>
      </c>
      <c r="I1630">
        <v>-1</v>
      </c>
    </row>
    <row r="1631" spans="1:9" hidden="1" x14ac:dyDescent="0.25">
      <c r="A1631" t="s">
        <v>371</v>
      </c>
      <c r="B1631" t="s">
        <v>6</v>
      </c>
      <c r="C1631" t="s">
        <v>10</v>
      </c>
      <c r="D1631" t="s">
        <v>6</v>
      </c>
      <c r="E1631" t="s">
        <v>12</v>
      </c>
      <c r="F1631">
        <v>2033</v>
      </c>
      <c r="G1631">
        <v>4013.7569199999998</v>
      </c>
      <c r="H1631">
        <v>0.01</v>
      </c>
      <c r="I1631">
        <v>-1</v>
      </c>
    </row>
    <row r="1632" spans="1:9" hidden="1" x14ac:dyDescent="0.25">
      <c r="A1632" t="s">
        <v>371</v>
      </c>
      <c r="B1632" t="s">
        <v>6</v>
      </c>
      <c r="C1632" t="s">
        <v>10</v>
      </c>
      <c r="D1632" t="s">
        <v>6</v>
      </c>
      <c r="E1632" t="s">
        <v>12</v>
      </c>
      <c r="F1632">
        <v>2034</v>
      </c>
      <c r="G1632">
        <v>4013.7569199999998</v>
      </c>
      <c r="H1632">
        <v>0.01</v>
      </c>
      <c r="I1632">
        <v>-1</v>
      </c>
    </row>
    <row r="1633" spans="1:9" hidden="1" x14ac:dyDescent="0.25">
      <c r="A1633" t="s">
        <v>371</v>
      </c>
      <c r="B1633" t="s">
        <v>6</v>
      </c>
      <c r="C1633" t="s">
        <v>10</v>
      </c>
      <c r="D1633" t="s">
        <v>6</v>
      </c>
      <c r="E1633" t="s">
        <v>12</v>
      </c>
      <c r="F1633">
        <v>2035</v>
      </c>
      <c r="G1633">
        <v>4013.7569199999998</v>
      </c>
      <c r="H1633">
        <v>0.01</v>
      </c>
      <c r="I1633">
        <v>-1</v>
      </c>
    </row>
    <row r="1634" spans="1:9" hidden="1" x14ac:dyDescent="0.25">
      <c r="A1634" t="s">
        <v>371</v>
      </c>
      <c r="B1634" t="s">
        <v>6</v>
      </c>
      <c r="C1634" t="s">
        <v>10</v>
      </c>
      <c r="D1634" t="s">
        <v>6</v>
      </c>
      <c r="E1634" t="s">
        <v>12</v>
      </c>
      <c r="F1634">
        <v>2036</v>
      </c>
      <c r="G1634">
        <v>4013.7569199999998</v>
      </c>
      <c r="H1634">
        <v>0.01</v>
      </c>
      <c r="I1634">
        <v>-1</v>
      </c>
    </row>
    <row r="1635" spans="1:9" hidden="1" x14ac:dyDescent="0.25">
      <c r="A1635" t="s">
        <v>371</v>
      </c>
      <c r="B1635" t="s">
        <v>6</v>
      </c>
      <c r="C1635" t="s">
        <v>10</v>
      </c>
      <c r="D1635" t="s">
        <v>6</v>
      </c>
      <c r="E1635" t="s">
        <v>12</v>
      </c>
      <c r="F1635">
        <v>2037</v>
      </c>
      <c r="G1635">
        <v>4013.7569199999998</v>
      </c>
      <c r="H1635">
        <v>0.01</v>
      </c>
      <c r="I1635">
        <v>-1</v>
      </c>
    </row>
    <row r="1636" spans="1:9" hidden="1" x14ac:dyDescent="0.25">
      <c r="A1636" t="s">
        <v>371</v>
      </c>
      <c r="B1636" t="s">
        <v>6</v>
      </c>
      <c r="C1636" t="s">
        <v>10</v>
      </c>
      <c r="D1636" t="s">
        <v>6</v>
      </c>
      <c r="E1636" t="s">
        <v>12</v>
      </c>
      <c r="F1636">
        <v>2038</v>
      </c>
      <c r="G1636">
        <v>4013.7569199999998</v>
      </c>
      <c r="H1636">
        <v>0.01</v>
      </c>
      <c r="I1636">
        <v>-1</v>
      </c>
    </row>
    <row r="1637" spans="1:9" hidden="1" x14ac:dyDescent="0.25">
      <c r="A1637" t="s">
        <v>371</v>
      </c>
      <c r="B1637" t="s">
        <v>6</v>
      </c>
      <c r="C1637" t="s">
        <v>10</v>
      </c>
      <c r="D1637" t="s">
        <v>6</v>
      </c>
      <c r="E1637" t="s">
        <v>12</v>
      </c>
      <c r="F1637">
        <v>2039</v>
      </c>
      <c r="G1637">
        <v>4013.7569199999998</v>
      </c>
      <c r="H1637">
        <v>0.01</v>
      </c>
      <c r="I1637">
        <v>-1</v>
      </c>
    </row>
    <row r="1638" spans="1:9" hidden="1" x14ac:dyDescent="0.25">
      <c r="A1638" t="s">
        <v>371</v>
      </c>
      <c r="B1638" t="s">
        <v>6</v>
      </c>
      <c r="C1638" t="s">
        <v>10</v>
      </c>
      <c r="D1638" t="s">
        <v>6</v>
      </c>
      <c r="E1638" t="s">
        <v>12</v>
      </c>
      <c r="F1638">
        <v>2040</v>
      </c>
      <c r="G1638">
        <v>4013.7569199999998</v>
      </c>
      <c r="H1638">
        <v>0.01</v>
      </c>
      <c r="I1638">
        <v>-1</v>
      </c>
    </row>
    <row r="1639" spans="1:9" hidden="1" x14ac:dyDescent="0.25">
      <c r="A1639" t="s">
        <v>371</v>
      </c>
      <c r="B1639" t="s">
        <v>6</v>
      </c>
      <c r="C1639" t="s">
        <v>10</v>
      </c>
      <c r="D1639" t="s">
        <v>6</v>
      </c>
      <c r="E1639" t="s">
        <v>12</v>
      </c>
      <c r="F1639">
        <v>2041</v>
      </c>
      <c r="G1639">
        <v>4013.7569199999998</v>
      </c>
      <c r="H1639">
        <v>0.01</v>
      </c>
      <c r="I1639">
        <v>-1</v>
      </c>
    </row>
    <row r="1640" spans="1:9" hidden="1" x14ac:dyDescent="0.25">
      <c r="A1640" t="s">
        <v>371</v>
      </c>
      <c r="B1640" t="s">
        <v>6</v>
      </c>
      <c r="C1640" t="s">
        <v>11</v>
      </c>
      <c r="D1640" t="s">
        <v>6</v>
      </c>
      <c r="E1640" t="s">
        <v>10</v>
      </c>
      <c r="F1640">
        <v>2024</v>
      </c>
      <c r="G1640">
        <v>4013.7569199999998</v>
      </c>
      <c r="H1640">
        <v>0.01</v>
      </c>
      <c r="I1640">
        <v>-1</v>
      </c>
    </row>
    <row r="1641" spans="1:9" hidden="1" x14ac:dyDescent="0.25">
      <c r="A1641" t="s">
        <v>371</v>
      </c>
      <c r="B1641" t="s">
        <v>6</v>
      </c>
      <c r="C1641" t="s">
        <v>11</v>
      </c>
      <c r="D1641" t="s">
        <v>6</v>
      </c>
      <c r="E1641" t="s">
        <v>10</v>
      </c>
      <c r="F1641">
        <v>2025</v>
      </c>
      <c r="G1641">
        <v>4013.7569199999998</v>
      </c>
      <c r="H1641">
        <v>0.01</v>
      </c>
      <c r="I1641">
        <v>-1</v>
      </c>
    </row>
    <row r="1642" spans="1:9" hidden="1" x14ac:dyDescent="0.25">
      <c r="A1642" t="s">
        <v>371</v>
      </c>
      <c r="B1642" t="s">
        <v>6</v>
      </c>
      <c r="C1642" t="s">
        <v>11</v>
      </c>
      <c r="D1642" t="s">
        <v>6</v>
      </c>
      <c r="E1642" t="s">
        <v>10</v>
      </c>
      <c r="F1642">
        <v>2026</v>
      </c>
      <c r="G1642">
        <v>4013.7569199999998</v>
      </c>
      <c r="H1642">
        <v>0.01</v>
      </c>
      <c r="I1642">
        <v>-1</v>
      </c>
    </row>
    <row r="1643" spans="1:9" hidden="1" x14ac:dyDescent="0.25">
      <c r="A1643" t="s">
        <v>371</v>
      </c>
      <c r="B1643" t="s">
        <v>6</v>
      </c>
      <c r="C1643" t="s">
        <v>11</v>
      </c>
      <c r="D1643" t="s">
        <v>6</v>
      </c>
      <c r="E1643" t="s">
        <v>10</v>
      </c>
      <c r="F1643">
        <v>2027</v>
      </c>
      <c r="G1643">
        <v>4013.7569199999998</v>
      </c>
      <c r="H1643">
        <v>0.01</v>
      </c>
      <c r="I1643">
        <v>-1</v>
      </c>
    </row>
    <row r="1644" spans="1:9" hidden="1" x14ac:dyDescent="0.25">
      <c r="A1644" t="s">
        <v>371</v>
      </c>
      <c r="B1644" t="s">
        <v>6</v>
      </c>
      <c r="C1644" t="s">
        <v>11</v>
      </c>
      <c r="D1644" t="s">
        <v>6</v>
      </c>
      <c r="E1644" t="s">
        <v>10</v>
      </c>
      <c r="F1644">
        <v>2028</v>
      </c>
      <c r="G1644">
        <v>4013.7569199999998</v>
      </c>
      <c r="H1644">
        <v>0.01</v>
      </c>
      <c r="I1644">
        <v>-1</v>
      </c>
    </row>
    <row r="1645" spans="1:9" hidden="1" x14ac:dyDescent="0.25">
      <c r="A1645" t="s">
        <v>371</v>
      </c>
      <c r="B1645" t="s">
        <v>6</v>
      </c>
      <c r="C1645" t="s">
        <v>11</v>
      </c>
      <c r="D1645" t="s">
        <v>6</v>
      </c>
      <c r="E1645" t="s">
        <v>10</v>
      </c>
      <c r="F1645">
        <v>2029</v>
      </c>
      <c r="G1645">
        <v>4013.7569199999998</v>
      </c>
      <c r="H1645">
        <v>0.01</v>
      </c>
      <c r="I1645">
        <v>-1</v>
      </c>
    </row>
    <row r="1646" spans="1:9" hidden="1" x14ac:dyDescent="0.25">
      <c r="A1646" t="s">
        <v>371</v>
      </c>
      <c r="B1646" t="s">
        <v>6</v>
      </c>
      <c r="C1646" t="s">
        <v>11</v>
      </c>
      <c r="D1646" t="s">
        <v>6</v>
      </c>
      <c r="E1646" t="s">
        <v>10</v>
      </c>
      <c r="F1646">
        <v>2030</v>
      </c>
      <c r="G1646">
        <v>4013.7569199999998</v>
      </c>
      <c r="H1646">
        <v>0.01</v>
      </c>
      <c r="I1646">
        <v>-1</v>
      </c>
    </row>
    <row r="1647" spans="1:9" hidden="1" x14ac:dyDescent="0.25">
      <c r="A1647" t="s">
        <v>371</v>
      </c>
      <c r="B1647" t="s">
        <v>6</v>
      </c>
      <c r="C1647" t="s">
        <v>11</v>
      </c>
      <c r="D1647" t="s">
        <v>6</v>
      </c>
      <c r="E1647" t="s">
        <v>10</v>
      </c>
      <c r="F1647">
        <v>2031</v>
      </c>
      <c r="G1647">
        <v>4013.7569199999998</v>
      </c>
      <c r="H1647">
        <v>0.01</v>
      </c>
      <c r="I1647">
        <v>-1</v>
      </c>
    </row>
    <row r="1648" spans="1:9" hidden="1" x14ac:dyDescent="0.25">
      <c r="A1648" t="s">
        <v>371</v>
      </c>
      <c r="B1648" t="s">
        <v>6</v>
      </c>
      <c r="C1648" t="s">
        <v>11</v>
      </c>
      <c r="D1648" t="s">
        <v>6</v>
      </c>
      <c r="E1648" t="s">
        <v>10</v>
      </c>
      <c r="F1648">
        <v>2032</v>
      </c>
      <c r="G1648">
        <v>4013.7569199999998</v>
      </c>
      <c r="H1648">
        <v>0.01</v>
      </c>
      <c r="I1648">
        <v>-1</v>
      </c>
    </row>
    <row r="1649" spans="1:9" hidden="1" x14ac:dyDescent="0.25">
      <c r="A1649" t="s">
        <v>371</v>
      </c>
      <c r="B1649" t="s">
        <v>6</v>
      </c>
      <c r="C1649" t="s">
        <v>11</v>
      </c>
      <c r="D1649" t="s">
        <v>6</v>
      </c>
      <c r="E1649" t="s">
        <v>10</v>
      </c>
      <c r="F1649">
        <v>2033</v>
      </c>
      <c r="G1649">
        <v>4013.7569199999998</v>
      </c>
      <c r="H1649">
        <v>0.01</v>
      </c>
      <c r="I1649">
        <v>-1</v>
      </c>
    </row>
    <row r="1650" spans="1:9" hidden="1" x14ac:dyDescent="0.25">
      <c r="A1650" t="s">
        <v>371</v>
      </c>
      <c r="B1650" t="s">
        <v>6</v>
      </c>
      <c r="C1650" t="s">
        <v>11</v>
      </c>
      <c r="D1650" t="s">
        <v>6</v>
      </c>
      <c r="E1650" t="s">
        <v>10</v>
      </c>
      <c r="F1650">
        <v>2034</v>
      </c>
      <c r="G1650">
        <v>4013.7569199999998</v>
      </c>
      <c r="H1650">
        <v>0.01</v>
      </c>
      <c r="I1650">
        <v>-1</v>
      </c>
    </row>
    <row r="1651" spans="1:9" hidden="1" x14ac:dyDescent="0.25">
      <c r="A1651" t="s">
        <v>371</v>
      </c>
      <c r="B1651" t="s">
        <v>6</v>
      </c>
      <c r="C1651" t="s">
        <v>11</v>
      </c>
      <c r="D1651" t="s">
        <v>6</v>
      </c>
      <c r="E1651" t="s">
        <v>10</v>
      </c>
      <c r="F1651">
        <v>2035</v>
      </c>
      <c r="G1651">
        <v>4013.7569199999998</v>
      </c>
      <c r="H1651">
        <v>0.01</v>
      </c>
      <c r="I1651">
        <v>-1</v>
      </c>
    </row>
    <row r="1652" spans="1:9" hidden="1" x14ac:dyDescent="0.25">
      <c r="A1652" t="s">
        <v>371</v>
      </c>
      <c r="B1652" t="s">
        <v>6</v>
      </c>
      <c r="C1652" t="s">
        <v>11</v>
      </c>
      <c r="D1652" t="s">
        <v>6</v>
      </c>
      <c r="E1652" t="s">
        <v>10</v>
      </c>
      <c r="F1652">
        <v>2036</v>
      </c>
      <c r="G1652">
        <v>4013.7569199999998</v>
      </c>
      <c r="H1652">
        <v>0.01</v>
      </c>
      <c r="I1652">
        <v>-1</v>
      </c>
    </row>
    <row r="1653" spans="1:9" hidden="1" x14ac:dyDescent="0.25">
      <c r="A1653" t="s">
        <v>371</v>
      </c>
      <c r="B1653" t="s">
        <v>6</v>
      </c>
      <c r="C1653" t="s">
        <v>11</v>
      </c>
      <c r="D1653" t="s">
        <v>6</v>
      </c>
      <c r="E1653" t="s">
        <v>10</v>
      </c>
      <c r="F1653">
        <v>2037</v>
      </c>
      <c r="G1653">
        <v>4013.7569199999998</v>
      </c>
      <c r="H1653">
        <v>0.01</v>
      </c>
      <c r="I1653">
        <v>-1</v>
      </c>
    </row>
    <row r="1654" spans="1:9" hidden="1" x14ac:dyDescent="0.25">
      <c r="A1654" t="s">
        <v>371</v>
      </c>
      <c r="B1654" t="s">
        <v>6</v>
      </c>
      <c r="C1654" t="s">
        <v>11</v>
      </c>
      <c r="D1654" t="s">
        <v>6</v>
      </c>
      <c r="E1654" t="s">
        <v>10</v>
      </c>
      <c r="F1654">
        <v>2038</v>
      </c>
      <c r="G1654">
        <v>4013.7569199999998</v>
      </c>
      <c r="H1654">
        <v>0.01</v>
      </c>
      <c r="I1654">
        <v>-1</v>
      </c>
    </row>
    <row r="1655" spans="1:9" hidden="1" x14ac:dyDescent="0.25">
      <c r="A1655" t="s">
        <v>371</v>
      </c>
      <c r="B1655" t="s">
        <v>6</v>
      </c>
      <c r="C1655" t="s">
        <v>11</v>
      </c>
      <c r="D1655" t="s">
        <v>6</v>
      </c>
      <c r="E1655" t="s">
        <v>10</v>
      </c>
      <c r="F1655">
        <v>2039</v>
      </c>
      <c r="G1655">
        <v>4013.7569199999998</v>
      </c>
      <c r="H1655">
        <v>0.01</v>
      </c>
      <c r="I1655">
        <v>-1</v>
      </c>
    </row>
    <row r="1656" spans="1:9" hidden="1" x14ac:dyDescent="0.25">
      <c r="A1656" t="s">
        <v>371</v>
      </c>
      <c r="B1656" t="s">
        <v>6</v>
      </c>
      <c r="C1656" t="s">
        <v>11</v>
      </c>
      <c r="D1656" t="s">
        <v>6</v>
      </c>
      <c r="E1656" t="s">
        <v>10</v>
      </c>
      <c r="F1656">
        <v>2040</v>
      </c>
      <c r="G1656">
        <v>4013.7569199999998</v>
      </c>
      <c r="H1656">
        <v>0.01</v>
      </c>
      <c r="I1656">
        <v>-1</v>
      </c>
    </row>
    <row r="1657" spans="1:9" hidden="1" x14ac:dyDescent="0.25">
      <c r="A1657" t="s">
        <v>371</v>
      </c>
      <c r="B1657" t="s">
        <v>6</v>
      </c>
      <c r="C1657" t="s">
        <v>11</v>
      </c>
      <c r="D1657" t="s">
        <v>6</v>
      </c>
      <c r="E1657" t="s">
        <v>10</v>
      </c>
      <c r="F1657">
        <v>2041</v>
      </c>
      <c r="G1657">
        <v>4013.7569199999998</v>
      </c>
      <c r="H1657">
        <v>0.01</v>
      </c>
      <c r="I1657">
        <v>-1</v>
      </c>
    </row>
    <row r="1658" spans="1:9" hidden="1" x14ac:dyDescent="0.25">
      <c r="A1658" t="s">
        <v>371</v>
      </c>
      <c r="B1658" t="s">
        <v>6</v>
      </c>
      <c r="C1658" t="s">
        <v>11</v>
      </c>
      <c r="D1658" t="s">
        <v>6</v>
      </c>
      <c r="E1658" t="s">
        <v>11</v>
      </c>
      <c r="F1658">
        <v>2024</v>
      </c>
      <c r="G1658">
        <v>4013.7569199999998</v>
      </c>
      <c r="H1658">
        <v>0.01</v>
      </c>
      <c r="I1658">
        <v>-1</v>
      </c>
    </row>
    <row r="1659" spans="1:9" hidden="1" x14ac:dyDescent="0.25">
      <c r="A1659" t="s">
        <v>371</v>
      </c>
      <c r="B1659" t="s">
        <v>6</v>
      </c>
      <c r="C1659" t="s">
        <v>11</v>
      </c>
      <c r="D1659" t="s">
        <v>6</v>
      </c>
      <c r="E1659" t="s">
        <v>11</v>
      </c>
      <c r="F1659">
        <v>2025</v>
      </c>
      <c r="G1659">
        <v>4013.7569199999998</v>
      </c>
      <c r="H1659">
        <v>0.01</v>
      </c>
      <c r="I1659">
        <v>-1</v>
      </c>
    </row>
    <row r="1660" spans="1:9" hidden="1" x14ac:dyDescent="0.25">
      <c r="A1660" t="s">
        <v>371</v>
      </c>
      <c r="B1660" t="s">
        <v>6</v>
      </c>
      <c r="C1660" t="s">
        <v>11</v>
      </c>
      <c r="D1660" t="s">
        <v>6</v>
      </c>
      <c r="E1660" t="s">
        <v>11</v>
      </c>
      <c r="F1660">
        <v>2026</v>
      </c>
      <c r="G1660">
        <v>4013.7569199999998</v>
      </c>
      <c r="H1660">
        <v>0.01</v>
      </c>
      <c r="I1660">
        <v>-1</v>
      </c>
    </row>
    <row r="1661" spans="1:9" hidden="1" x14ac:dyDescent="0.25">
      <c r="A1661" t="s">
        <v>371</v>
      </c>
      <c r="B1661" t="s">
        <v>6</v>
      </c>
      <c r="C1661" t="s">
        <v>11</v>
      </c>
      <c r="D1661" t="s">
        <v>6</v>
      </c>
      <c r="E1661" t="s">
        <v>11</v>
      </c>
      <c r="F1661">
        <v>2027</v>
      </c>
      <c r="G1661">
        <v>4013.7569199999998</v>
      </c>
      <c r="H1661">
        <v>0.01</v>
      </c>
      <c r="I1661">
        <v>-1</v>
      </c>
    </row>
    <row r="1662" spans="1:9" hidden="1" x14ac:dyDescent="0.25">
      <c r="A1662" t="s">
        <v>371</v>
      </c>
      <c r="B1662" t="s">
        <v>6</v>
      </c>
      <c r="C1662" t="s">
        <v>11</v>
      </c>
      <c r="D1662" t="s">
        <v>6</v>
      </c>
      <c r="E1662" t="s">
        <v>11</v>
      </c>
      <c r="F1662">
        <v>2028</v>
      </c>
      <c r="G1662">
        <v>4013.7569199999998</v>
      </c>
      <c r="H1662">
        <v>0.01</v>
      </c>
      <c r="I1662">
        <v>-1</v>
      </c>
    </row>
    <row r="1663" spans="1:9" hidden="1" x14ac:dyDescent="0.25">
      <c r="A1663" t="s">
        <v>371</v>
      </c>
      <c r="B1663" t="s">
        <v>6</v>
      </c>
      <c r="C1663" t="s">
        <v>11</v>
      </c>
      <c r="D1663" t="s">
        <v>6</v>
      </c>
      <c r="E1663" t="s">
        <v>11</v>
      </c>
      <c r="F1663">
        <v>2029</v>
      </c>
      <c r="G1663">
        <v>4013.7569199999998</v>
      </c>
      <c r="H1663">
        <v>0.01</v>
      </c>
      <c r="I1663">
        <v>-1</v>
      </c>
    </row>
    <row r="1664" spans="1:9" hidden="1" x14ac:dyDescent="0.25">
      <c r="A1664" t="s">
        <v>371</v>
      </c>
      <c r="B1664" t="s">
        <v>6</v>
      </c>
      <c r="C1664" t="s">
        <v>11</v>
      </c>
      <c r="D1664" t="s">
        <v>6</v>
      </c>
      <c r="E1664" t="s">
        <v>11</v>
      </c>
      <c r="F1664">
        <v>2030</v>
      </c>
      <c r="G1664">
        <v>4013.7569199999998</v>
      </c>
      <c r="H1664">
        <v>0.01</v>
      </c>
      <c r="I1664">
        <v>-1</v>
      </c>
    </row>
    <row r="1665" spans="1:9" hidden="1" x14ac:dyDescent="0.25">
      <c r="A1665" t="s">
        <v>371</v>
      </c>
      <c r="B1665" t="s">
        <v>6</v>
      </c>
      <c r="C1665" t="s">
        <v>11</v>
      </c>
      <c r="D1665" t="s">
        <v>6</v>
      </c>
      <c r="E1665" t="s">
        <v>11</v>
      </c>
      <c r="F1665">
        <v>2031</v>
      </c>
      <c r="G1665">
        <v>4013.7569199999998</v>
      </c>
      <c r="H1665">
        <v>0.01</v>
      </c>
      <c r="I1665">
        <v>-1</v>
      </c>
    </row>
    <row r="1666" spans="1:9" hidden="1" x14ac:dyDescent="0.25">
      <c r="A1666" t="s">
        <v>371</v>
      </c>
      <c r="B1666" t="s">
        <v>6</v>
      </c>
      <c r="C1666" t="s">
        <v>11</v>
      </c>
      <c r="D1666" t="s">
        <v>6</v>
      </c>
      <c r="E1666" t="s">
        <v>11</v>
      </c>
      <c r="F1666">
        <v>2032</v>
      </c>
      <c r="G1666">
        <v>4013.7569199999998</v>
      </c>
      <c r="H1666">
        <v>0.01</v>
      </c>
      <c r="I1666">
        <v>-1</v>
      </c>
    </row>
    <row r="1667" spans="1:9" hidden="1" x14ac:dyDescent="0.25">
      <c r="A1667" t="s">
        <v>371</v>
      </c>
      <c r="B1667" t="s">
        <v>6</v>
      </c>
      <c r="C1667" t="s">
        <v>11</v>
      </c>
      <c r="D1667" t="s">
        <v>6</v>
      </c>
      <c r="E1667" t="s">
        <v>11</v>
      </c>
      <c r="F1667">
        <v>2033</v>
      </c>
      <c r="G1667">
        <v>4013.7569199999998</v>
      </c>
      <c r="H1667">
        <v>0.01</v>
      </c>
      <c r="I1667">
        <v>-1</v>
      </c>
    </row>
    <row r="1668" spans="1:9" hidden="1" x14ac:dyDescent="0.25">
      <c r="A1668" t="s">
        <v>371</v>
      </c>
      <c r="B1668" t="s">
        <v>6</v>
      </c>
      <c r="C1668" t="s">
        <v>11</v>
      </c>
      <c r="D1668" t="s">
        <v>6</v>
      </c>
      <c r="E1668" t="s">
        <v>11</v>
      </c>
      <c r="F1668">
        <v>2034</v>
      </c>
      <c r="G1668">
        <v>4013.7569199999998</v>
      </c>
      <c r="H1668">
        <v>0.01</v>
      </c>
      <c r="I1668">
        <v>-1</v>
      </c>
    </row>
    <row r="1669" spans="1:9" hidden="1" x14ac:dyDescent="0.25">
      <c r="A1669" t="s">
        <v>371</v>
      </c>
      <c r="B1669" t="s">
        <v>6</v>
      </c>
      <c r="C1669" t="s">
        <v>11</v>
      </c>
      <c r="D1669" t="s">
        <v>6</v>
      </c>
      <c r="E1669" t="s">
        <v>11</v>
      </c>
      <c r="F1669">
        <v>2035</v>
      </c>
      <c r="G1669">
        <v>4013.7569199999998</v>
      </c>
      <c r="H1669">
        <v>0.01</v>
      </c>
      <c r="I1669">
        <v>-1</v>
      </c>
    </row>
    <row r="1670" spans="1:9" hidden="1" x14ac:dyDescent="0.25">
      <c r="A1670" t="s">
        <v>371</v>
      </c>
      <c r="B1670" t="s">
        <v>6</v>
      </c>
      <c r="C1670" t="s">
        <v>11</v>
      </c>
      <c r="D1670" t="s">
        <v>6</v>
      </c>
      <c r="E1670" t="s">
        <v>11</v>
      </c>
      <c r="F1670">
        <v>2036</v>
      </c>
      <c r="G1670">
        <v>4013.7569199999998</v>
      </c>
      <c r="H1670">
        <v>0.01</v>
      </c>
      <c r="I1670">
        <v>-1</v>
      </c>
    </row>
    <row r="1671" spans="1:9" hidden="1" x14ac:dyDescent="0.25">
      <c r="A1671" t="s">
        <v>371</v>
      </c>
      <c r="B1671" t="s">
        <v>6</v>
      </c>
      <c r="C1671" t="s">
        <v>11</v>
      </c>
      <c r="D1671" t="s">
        <v>6</v>
      </c>
      <c r="E1671" t="s">
        <v>11</v>
      </c>
      <c r="F1671">
        <v>2037</v>
      </c>
      <c r="G1671">
        <v>4013.7569199999998</v>
      </c>
      <c r="H1671">
        <v>0.01</v>
      </c>
      <c r="I1671">
        <v>-1</v>
      </c>
    </row>
    <row r="1672" spans="1:9" hidden="1" x14ac:dyDescent="0.25">
      <c r="A1672" t="s">
        <v>371</v>
      </c>
      <c r="B1672" t="s">
        <v>6</v>
      </c>
      <c r="C1672" t="s">
        <v>11</v>
      </c>
      <c r="D1672" t="s">
        <v>6</v>
      </c>
      <c r="E1672" t="s">
        <v>11</v>
      </c>
      <c r="F1672">
        <v>2038</v>
      </c>
      <c r="G1672">
        <v>4013.7569199999998</v>
      </c>
      <c r="H1672">
        <v>0.01</v>
      </c>
      <c r="I1672">
        <v>-1</v>
      </c>
    </row>
    <row r="1673" spans="1:9" hidden="1" x14ac:dyDescent="0.25">
      <c r="A1673" t="s">
        <v>371</v>
      </c>
      <c r="B1673" t="s">
        <v>6</v>
      </c>
      <c r="C1673" t="s">
        <v>11</v>
      </c>
      <c r="D1673" t="s">
        <v>6</v>
      </c>
      <c r="E1673" t="s">
        <v>11</v>
      </c>
      <c r="F1673">
        <v>2039</v>
      </c>
      <c r="G1673">
        <v>4013.7569199999998</v>
      </c>
      <c r="H1673">
        <v>0.01</v>
      </c>
      <c r="I1673">
        <v>-1</v>
      </c>
    </row>
    <row r="1674" spans="1:9" hidden="1" x14ac:dyDescent="0.25">
      <c r="A1674" t="s">
        <v>371</v>
      </c>
      <c r="B1674" t="s">
        <v>6</v>
      </c>
      <c r="C1674" t="s">
        <v>11</v>
      </c>
      <c r="D1674" t="s">
        <v>6</v>
      </c>
      <c r="E1674" t="s">
        <v>11</v>
      </c>
      <c r="F1674">
        <v>2040</v>
      </c>
      <c r="G1674">
        <v>4013.7569199999998</v>
      </c>
      <c r="H1674">
        <v>0.01</v>
      </c>
      <c r="I1674">
        <v>-1</v>
      </c>
    </row>
    <row r="1675" spans="1:9" hidden="1" x14ac:dyDescent="0.25">
      <c r="A1675" t="s">
        <v>371</v>
      </c>
      <c r="B1675" t="s">
        <v>6</v>
      </c>
      <c r="C1675" t="s">
        <v>11</v>
      </c>
      <c r="D1675" t="s">
        <v>6</v>
      </c>
      <c r="E1675" t="s">
        <v>11</v>
      </c>
      <c r="F1675">
        <v>2041</v>
      </c>
      <c r="G1675">
        <v>4013.7569199999998</v>
      </c>
      <c r="H1675">
        <v>0.01</v>
      </c>
      <c r="I1675">
        <v>-1</v>
      </c>
    </row>
    <row r="1676" spans="1:9" hidden="1" x14ac:dyDescent="0.25">
      <c r="A1676" t="s">
        <v>371</v>
      </c>
      <c r="B1676" t="s">
        <v>6</v>
      </c>
      <c r="C1676" t="s">
        <v>11</v>
      </c>
      <c r="D1676" t="s">
        <v>6</v>
      </c>
      <c r="E1676" t="s">
        <v>9</v>
      </c>
      <c r="F1676">
        <v>2024</v>
      </c>
      <c r="G1676">
        <v>4013.7569199999998</v>
      </c>
      <c r="H1676">
        <v>0.01</v>
      </c>
      <c r="I1676">
        <v>-1</v>
      </c>
    </row>
    <row r="1677" spans="1:9" hidden="1" x14ac:dyDescent="0.25">
      <c r="A1677" t="s">
        <v>371</v>
      </c>
      <c r="B1677" t="s">
        <v>6</v>
      </c>
      <c r="C1677" t="s">
        <v>11</v>
      </c>
      <c r="D1677" t="s">
        <v>6</v>
      </c>
      <c r="E1677" t="s">
        <v>9</v>
      </c>
      <c r="F1677">
        <v>2025</v>
      </c>
      <c r="G1677">
        <v>4013.7569199999998</v>
      </c>
      <c r="H1677">
        <v>0.01</v>
      </c>
      <c r="I1677">
        <v>-1</v>
      </c>
    </row>
    <row r="1678" spans="1:9" hidden="1" x14ac:dyDescent="0.25">
      <c r="A1678" t="s">
        <v>371</v>
      </c>
      <c r="B1678" t="s">
        <v>6</v>
      </c>
      <c r="C1678" t="s">
        <v>11</v>
      </c>
      <c r="D1678" t="s">
        <v>6</v>
      </c>
      <c r="E1678" t="s">
        <v>9</v>
      </c>
      <c r="F1678">
        <v>2026</v>
      </c>
      <c r="G1678">
        <v>4013.7569199999998</v>
      </c>
      <c r="H1678">
        <v>0.01</v>
      </c>
      <c r="I1678">
        <v>-1</v>
      </c>
    </row>
    <row r="1679" spans="1:9" hidden="1" x14ac:dyDescent="0.25">
      <c r="A1679" t="s">
        <v>371</v>
      </c>
      <c r="B1679" t="s">
        <v>6</v>
      </c>
      <c r="C1679" t="s">
        <v>11</v>
      </c>
      <c r="D1679" t="s">
        <v>6</v>
      </c>
      <c r="E1679" t="s">
        <v>9</v>
      </c>
      <c r="F1679">
        <v>2027</v>
      </c>
      <c r="G1679">
        <v>4013.7569199999998</v>
      </c>
      <c r="H1679">
        <v>0.01</v>
      </c>
      <c r="I1679">
        <v>-1</v>
      </c>
    </row>
    <row r="1680" spans="1:9" hidden="1" x14ac:dyDescent="0.25">
      <c r="A1680" t="s">
        <v>371</v>
      </c>
      <c r="B1680" t="s">
        <v>6</v>
      </c>
      <c r="C1680" t="s">
        <v>11</v>
      </c>
      <c r="D1680" t="s">
        <v>6</v>
      </c>
      <c r="E1680" t="s">
        <v>9</v>
      </c>
      <c r="F1680">
        <v>2028</v>
      </c>
      <c r="G1680">
        <v>4013.7569199999998</v>
      </c>
      <c r="H1680">
        <v>0.01</v>
      </c>
      <c r="I1680">
        <v>-1</v>
      </c>
    </row>
    <row r="1681" spans="1:9" hidden="1" x14ac:dyDescent="0.25">
      <c r="A1681" t="s">
        <v>371</v>
      </c>
      <c r="B1681" t="s">
        <v>6</v>
      </c>
      <c r="C1681" t="s">
        <v>11</v>
      </c>
      <c r="D1681" t="s">
        <v>6</v>
      </c>
      <c r="E1681" t="s">
        <v>9</v>
      </c>
      <c r="F1681">
        <v>2029</v>
      </c>
      <c r="G1681">
        <v>4013.7569199999998</v>
      </c>
      <c r="H1681">
        <v>0.01</v>
      </c>
      <c r="I1681">
        <v>-1</v>
      </c>
    </row>
    <row r="1682" spans="1:9" hidden="1" x14ac:dyDescent="0.25">
      <c r="A1682" t="s">
        <v>371</v>
      </c>
      <c r="B1682" t="s">
        <v>6</v>
      </c>
      <c r="C1682" t="s">
        <v>11</v>
      </c>
      <c r="D1682" t="s">
        <v>6</v>
      </c>
      <c r="E1682" t="s">
        <v>9</v>
      </c>
      <c r="F1682">
        <v>2030</v>
      </c>
      <c r="G1682">
        <v>4013.7569199999998</v>
      </c>
      <c r="H1682">
        <v>0.01</v>
      </c>
      <c r="I1682">
        <v>-1</v>
      </c>
    </row>
    <row r="1683" spans="1:9" hidden="1" x14ac:dyDescent="0.25">
      <c r="A1683" t="s">
        <v>371</v>
      </c>
      <c r="B1683" t="s">
        <v>6</v>
      </c>
      <c r="C1683" t="s">
        <v>11</v>
      </c>
      <c r="D1683" t="s">
        <v>6</v>
      </c>
      <c r="E1683" t="s">
        <v>9</v>
      </c>
      <c r="F1683">
        <v>2031</v>
      </c>
      <c r="G1683">
        <v>4013.7569199999998</v>
      </c>
      <c r="H1683">
        <v>0.01</v>
      </c>
      <c r="I1683">
        <v>-1</v>
      </c>
    </row>
    <row r="1684" spans="1:9" hidden="1" x14ac:dyDescent="0.25">
      <c r="A1684" t="s">
        <v>371</v>
      </c>
      <c r="B1684" t="s">
        <v>6</v>
      </c>
      <c r="C1684" t="s">
        <v>11</v>
      </c>
      <c r="D1684" t="s">
        <v>6</v>
      </c>
      <c r="E1684" t="s">
        <v>9</v>
      </c>
      <c r="F1684">
        <v>2032</v>
      </c>
      <c r="G1684">
        <v>4013.7569199999998</v>
      </c>
      <c r="H1684">
        <v>0.01</v>
      </c>
      <c r="I1684">
        <v>-1</v>
      </c>
    </row>
    <row r="1685" spans="1:9" hidden="1" x14ac:dyDescent="0.25">
      <c r="A1685" t="s">
        <v>371</v>
      </c>
      <c r="B1685" t="s">
        <v>6</v>
      </c>
      <c r="C1685" t="s">
        <v>11</v>
      </c>
      <c r="D1685" t="s">
        <v>6</v>
      </c>
      <c r="E1685" t="s">
        <v>9</v>
      </c>
      <c r="F1685">
        <v>2033</v>
      </c>
      <c r="G1685">
        <v>4013.7569199999998</v>
      </c>
      <c r="H1685">
        <v>0.01</v>
      </c>
      <c r="I1685">
        <v>-1</v>
      </c>
    </row>
    <row r="1686" spans="1:9" hidden="1" x14ac:dyDescent="0.25">
      <c r="A1686" t="s">
        <v>371</v>
      </c>
      <c r="B1686" t="s">
        <v>6</v>
      </c>
      <c r="C1686" t="s">
        <v>11</v>
      </c>
      <c r="D1686" t="s">
        <v>6</v>
      </c>
      <c r="E1686" t="s">
        <v>9</v>
      </c>
      <c r="F1686">
        <v>2034</v>
      </c>
      <c r="G1686">
        <v>4013.7569199999998</v>
      </c>
      <c r="H1686">
        <v>0.01</v>
      </c>
      <c r="I1686">
        <v>-1</v>
      </c>
    </row>
    <row r="1687" spans="1:9" hidden="1" x14ac:dyDescent="0.25">
      <c r="A1687" t="s">
        <v>371</v>
      </c>
      <c r="B1687" t="s">
        <v>6</v>
      </c>
      <c r="C1687" t="s">
        <v>11</v>
      </c>
      <c r="D1687" t="s">
        <v>6</v>
      </c>
      <c r="E1687" t="s">
        <v>9</v>
      </c>
      <c r="F1687">
        <v>2035</v>
      </c>
      <c r="G1687">
        <v>4013.7569199999998</v>
      </c>
      <c r="H1687">
        <v>0.01</v>
      </c>
      <c r="I1687">
        <v>-1</v>
      </c>
    </row>
    <row r="1688" spans="1:9" hidden="1" x14ac:dyDescent="0.25">
      <c r="A1688" t="s">
        <v>371</v>
      </c>
      <c r="B1688" t="s">
        <v>6</v>
      </c>
      <c r="C1688" t="s">
        <v>11</v>
      </c>
      <c r="D1688" t="s">
        <v>6</v>
      </c>
      <c r="E1688" t="s">
        <v>9</v>
      </c>
      <c r="F1688">
        <v>2036</v>
      </c>
      <c r="G1688">
        <v>4013.7569199999998</v>
      </c>
      <c r="H1688">
        <v>0.01</v>
      </c>
      <c r="I1688">
        <v>-1</v>
      </c>
    </row>
    <row r="1689" spans="1:9" hidden="1" x14ac:dyDescent="0.25">
      <c r="A1689" t="s">
        <v>371</v>
      </c>
      <c r="B1689" t="s">
        <v>6</v>
      </c>
      <c r="C1689" t="s">
        <v>11</v>
      </c>
      <c r="D1689" t="s">
        <v>6</v>
      </c>
      <c r="E1689" t="s">
        <v>9</v>
      </c>
      <c r="F1689">
        <v>2037</v>
      </c>
      <c r="G1689">
        <v>4013.7569199999998</v>
      </c>
      <c r="H1689">
        <v>0.01</v>
      </c>
      <c r="I1689">
        <v>-1</v>
      </c>
    </row>
    <row r="1690" spans="1:9" hidden="1" x14ac:dyDescent="0.25">
      <c r="A1690" t="s">
        <v>371</v>
      </c>
      <c r="B1690" t="s">
        <v>6</v>
      </c>
      <c r="C1690" t="s">
        <v>11</v>
      </c>
      <c r="D1690" t="s">
        <v>6</v>
      </c>
      <c r="E1690" t="s">
        <v>9</v>
      </c>
      <c r="F1690">
        <v>2038</v>
      </c>
      <c r="G1690">
        <v>4013.7569199999998</v>
      </c>
      <c r="H1690">
        <v>0.01</v>
      </c>
      <c r="I1690">
        <v>-1</v>
      </c>
    </row>
    <row r="1691" spans="1:9" hidden="1" x14ac:dyDescent="0.25">
      <c r="A1691" t="s">
        <v>371</v>
      </c>
      <c r="B1691" t="s">
        <v>6</v>
      </c>
      <c r="C1691" t="s">
        <v>11</v>
      </c>
      <c r="D1691" t="s">
        <v>6</v>
      </c>
      <c r="E1691" t="s">
        <v>9</v>
      </c>
      <c r="F1691">
        <v>2039</v>
      </c>
      <c r="G1691">
        <v>4013.7569199999998</v>
      </c>
      <c r="H1691">
        <v>0.01</v>
      </c>
      <c r="I1691">
        <v>-1</v>
      </c>
    </row>
    <row r="1692" spans="1:9" hidden="1" x14ac:dyDescent="0.25">
      <c r="A1692" t="s">
        <v>371</v>
      </c>
      <c r="B1692" t="s">
        <v>6</v>
      </c>
      <c r="C1692" t="s">
        <v>11</v>
      </c>
      <c r="D1692" t="s">
        <v>6</v>
      </c>
      <c r="E1692" t="s">
        <v>9</v>
      </c>
      <c r="F1692">
        <v>2040</v>
      </c>
      <c r="G1692">
        <v>4013.7569199999998</v>
      </c>
      <c r="H1692">
        <v>0.01</v>
      </c>
      <c r="I1692">
        <v>-1</v>
      </c>
    </row>
    <row r="1693" spans="1:9" hidden="1" x14ac:dyDescent="0.25">
      <c r="A1693" t="s">
        <v>371</v>
      </c>
      <c r="B1693" t="s">
        <v>6</v>
      </c>
      <c r="C1693" t="s">
        <v>11</v>
      </c>
      <c r="D1693" t="s">
        <v>6</v>
      </c>
      <c r="E1693" t="s">
        <v>9</v>
      </c>
      <c r="F1693">
        <v>2041</v>
      </c>
      <c r="G1693">
        <v>4013.7569199999998</v>
      </c>
      <c r="H1693">
        <v>0.01</v>
      </c>
      <c r="I1693">
        <v>-1</v>
      </c>
    </row>
    <row r="1694" spans="1:9" hidden="1" x14ac:dyDescent="0.25">
      <c r="A1694" t="s">
        <v>371</v>
      </c>
      <c r="B1694" t="s">
        <v>6</v>
      </c>
      <c r="C1694" t="s">
        <v>11</v>
      </c>
      <c r="D1694" t="s">
        <v>6</v>
      </c>
      <c r="E1694" t="s">
        <v>8</v>
      </c>
      <c r="F1694">
        <v>2024</v>
      </c>
      <c r="G1694">
        <v>4013.7569199999998</v>
      </c>
      <c r="H1694">
        <v>0.01</v>
      </c>
      <c r="I1694">
        <v>-1</v>
      </c>
    </row>
    <row r="1695" spans="1:9" hidden="1" x14ac:dyDescent="0.25">
      <c r="A1695" t="s">
        <v>371</v>
      </c>
      <c r="B1695" t="s">
        <v>6</v>
      </c>
      <c r="C1695" t="s">
        <v>11</v>
      </c>
      <c r="D1695" t="s">
        <v>6</v>
      </c>
      <c r="E1695" t="s">
        <v>8</v>
      </c>
      <c r="F1695">
        <v>2025</v>
      </c>
      <c r="G1695">
        <v>4013.7569199999998</v>
      </c>
      <c r="H1695">
        <v>0.01</v>
      </c>
      <c r="I1695">
        <v>-1</v>
      </c>
    </row>
    <row r="1696" spans="1:9" hidden="1" x14ac:dyDescent="0.25">
      <c r="A1696" t="s">
        <v>371</v>
      </c>
      <c r="B1696" t="s">
        <v>6</v>
      </c>
      <c r="C1696" t="s">
        <v>11</v>
      </c>
      <c r="D1696" t="s">
        <v>6</v>
      </c>
      <c r="E1696" t="s">
        <v>8</v>
      </c>
      <c r="F1696">
        <v>2026</v>
      </c>
      <c r="G1696">
        <v>4013.7569199999998</v>
      </c>
      <c r="H1696">
        <v>0.01</v>
      </c>
      <c r="I1696">
        <v>-1</v>
      </c>
    </row>
    <row r="1697" spans="1:9" hidden="1" x14ac:dyDescent="0.25">
      <c r="A1697" t="s">
        <v>371</v>
      </c>
      <c r="B1697" t="s">
        <v>6</v>
      </c>
      <c r="C1697" t="s">
        <v>11</v>
      </c>
      <c r="D1697" t="s">
        <v>6</v>
      </c>
      <c r="E1697" t="s">
        <v>8</v>
      </c>
      <c r="F1697">
        <v>2027</v>
      </c>
      <c r="G1697">
        <v>4013.7569199999998</v>
      </c>
      <c r="H1697">
        <v>0.01</v>
      </c>
      <c r="I1697">
        <v>-1</v>
      </c>
    </row>
    <row r="1698" spans="1:9" hidden="1" x14ac:dyDescent="0.25">
      <c r="A1698" t="s">
        <v>371</v>
      </c>
      <c r="B1698" t="s">
        <v>6</v>
      </c>
      <c r="C1698" t="s">
        <v>11</v>
      </c>
      <c r="D1698" t="s">
        <v>6</v>
      </c>
      <c r="E1698" t="s">
        <v>8</v>
      </c>
      <c r="F1698">
        <v>2028</v>
      </c>
      <c r="G1698">
        <v>4013.7569199999998</v>
      </c>
      <c r="H1698">
        <v>0.01</v>
      </c>
      <c r="I1698">
        <v>-1</v>
      </c>
    </row>
    <row r="1699" spans="1:9" hidden="1" x14ac:dyDescent="0.25">
      <c r="A1699" t="s">
        <v>371</v>
      </c>
      <c r="B1699" t="s">
        <v>6</v>
      </c>
      <c r="C1699" t="s">
        <v>11</v>
      </c>
      <c r="D1699" t="s">
        <v>6</v>
      </c>
      <c r="E1699" t="s">
        <v>8</v>
      </c>
      <c r="F1699">
        <v>2029</v>
      </c>
      <c r="G1699">
        <v>4013.7569199999998</v>
      </c>
      <c r="H1699">
        <v>0.01</v>
      </c>
      <c r="I1699">
        <v>-1</v>
      </c>
    </row>
    <row r="1700" spans="1:9" hidden="1" x14ac:dyDescent="0.25">
      <c r="A1700" t="s">
        <v>371</v>
      </c>
      <c r="B1700" t="s">
        <v>6</v>
      </c>
      <c r="C1700" t="s">
        <v>11</v>
      </c>
      <c r="D1700" t="s">
        <v>6</v>
      </c>
      <c r="E1700" t="s">
        <v>8</v>
      </c>
      <c r="F1700">
        <v>2030</v>
      </c>
      <c r="G1700">
        <v>4013.7569199999998</v>
      </c>
      <c r="H1700">
        <v>0.01</v>
      </c>
      <c r="I1700">
        <v>-1</v>
      </c>
    </row>
    <row r="1701" spans="1:9" hidden="1" x14ac:dyDescent="0.25">
      <c r="A1701" t="s">
        <v>371</v>
      </c>
      <c r="B1701" t="s">
        <v>6</v>
      </c>
      <c r="C1701" t="s">
        <v>11</v>
      </c>
      <c r="D1701" t="s">
        <v>6</v>
      </c>
      <c r="E1701" t="s">
        <v>8</v>
      </c>
      <c r="F1701">
        <v>2031</v>
      </c>
      <c r="G1701">
        <v>4013.7569199999998</v>
      </c>
      <c r="H1701">
        <v>0.01</v>
      </c>
      <c r="I1701">
        <v>-1</v>
      </c>
    </row>
    <row r="1702" spans="1:9" hidden="1" x14ac:dyDescent="0.25">
      <c r="A1702" t="s">
        <v>371</v>
      </c>
      <c r="B1702" t="s">
        <v>6</v>
      </c>
      <c r="C1702" t="s">
        <v>11</v>
      </c>
      <c r="D1702" t="s">
        <v>6</v>
      </c>
      <c r="E1702" t="s">
        <v>8</v>
      </c>
      <c r="F1702">
        <v>2032</v>
      </c>
      <c r="G1702">
        <v>4013.7569199999998</v>
      </c>
      <c r="H1702">
        <v>0.01</v>
      </c>
      <c r="I1702">
        <v>-1</v>
      </c>
    </row>
    <row r="1703" spans="1:9" hidden="1" x14ac:dyDescent="0.25">
      <c r="A1703" t="s">
        <v>371</v>
      </c>
      <c r="B1703" t="s">
        <v>6</v>
      </c>
      <c r="C1703" t="s">
        <v>11</v>
      </c>
      <c r="D1703" t="s">
        <v>6</v>
      </c>
      <c r="E1703" t="s">
        <v>8</v>
      </c>
      <c r="F1703">
        <v>2033</v>
      </c>
      <c r="G1703">
        <v>4013.7569199999998</v>
      </c>
      <c r="H1703">
        <v>0.01</v>
      </c>
      <c r="I1703">
        <v>-1</v>
      </c>
    </row>
    <row r="1704" spans="1:9" hidden="1" x14ac:dyDescent="0.25">
      <c r="A1704" t="s">
        <v>371</v>
      </c>
      <c r="B1704" t="s">
        <v>6</v>
      </c>
      <c r="C1704" t="s">
        <v>11</v>
      </c>
      <c r="D1704" t="s">
        <v>6</v>
      </c>
      <c r="E1704" t="s">
        <v>8</v>
      </c>
      <c r="F1704">
        <v>2034</v>
      </c>
      <c r="G1704">
        <v>4013.7569199999998</v>
      </c>
      <c r="H1704">
        <v>0.01</v>
      </c>
      <c r="I1704">
        <v>-1</v>
      </c>
    </row>
    <row r="1705" spans="1:9" hidden="1" x14ac:dyDescent="0.25">
      <c r="A1705" t="s">
        <v>371</v>
      </c>
      <c r="B1705" t="s">
        <v>6</v>
      </c>
      <c r="C1705" t="s">
        <v>11</v>
      </c>
      <c r="D1705" t="s">
        <v>6</v>
      </c>
      <c r="E1705" t="s">
        <v>8</v>
      </c>
      <c r="F1705">
        <v>2035</v>
      </c>
      <c r="G1705">
        <v>4013.7569199999998</v>
      </c>
      <c r="H1705">
        <v>0.01</v>
      </c>
      <c r="I1705">
        <v>-1</v>
      </c>
    </row>
    <row r="1706" spans="1:9" hidden="1" x14ac:dyDescent="0.25">
      <c r="A1706" t="s">
        <v>371</v>
      </c>
      <c r="B1706" t="s">
        <v>6</v>
      </c>
      <c r="C1706" t="s">
        <v>11</v>
      </c>
      <c r="D1706" t="s">
        <v>6</v>
      </c>
      <c r="E1706" t="s">
        <v>8</v>
      </c>
      <c r="F1706">
        <v>2036</v>
      </c>
      <c r="G1706">
        <v>4013.7569199999998</v>
      </c>
      <c r="H1706">
        <v>0.01</v>
      </c>
      <c r="I1706">
        <v>-1</v>
      </c>
    </row>
    <row r="1707" spans="1:9" hidden="1" x14ac:dyDescent="0.25">
      <c r="A1707" t="s">
        <v>371</v>
      </c>
      <c r="B1707" t="s">
        <v>6</v>
      </c>
      <c r="C1707" t="s">
        <v>11</v>
      </c>
      <c r="D1707" t="s">
        <v>6</v>
      </c>
      <c r="E1707" t="s">
        <v>8</v>
      </c>
      <c r="F1707">
        <v>2037</v>
      </c>
      <c r="G1707">
        <v>4013.7569199999998</v>
      </c>
      <c r="H1707">
        <v>0.01</v>
      </c>
      <c r="I1707">
        <v>-1</v>
      </c>
    </row>
    <row r="1708" spans="1:9" hidden="1" x14ac:dyDescent="0.25">
      <c r="A1708" t="s">
        <v>371</v>
      </c>
      <c r="B1708" t="s">
        <v>6</v>
      </c>
      <c r="C1708" t="s">
        <v>11</v>
      </c>
      <c r="D1708" t="s">
        <v>6</v>
      </c>
      <c r="E1708" t="s">
        <v>8</v>
      </c>
      <c r="F1708">
        <v>2038</v>
      </c>
      <c r="G1708">
        <v>4013.7569199999998</v>
      </c>
      <c r="H1708">
        <v>0.01</v>
      </c>
      <c r="I1708">
        <v>-1</v>
      </c>
    </row>
    <row r="1709" spans="1:9" hidden="1" x14ac:dyDescent="0.25">
      <c r="A1709" t="s">
        <v>371</v>
      </c>
      <c r="B1709" t="s">
        <v>6</v>
      </c>
      <c r="C1709" t="s">
        <v>11</v>
      </c>
      <c r="D1709" t="s">
        <v>6</v>
      </c>
      <c r="E1709" t="s">
        <v>8</v>
      </c>
      <c r="F1709">
        <v>2039</v>
      </c>
      <c r="G1709">
        <v>4013.7569199999998</v>
      </c>
      <c r="H1709">
        <v>0.01</v>
      </c>
      <c r="I1709">
        <v>-1</v>
      </c>
    </row>
    <row r="1710" spans="1:9" hidden="1" x14ac:dyDescent="0.25">
      <c r="A1710" t="s">
        <v>371</v>
      </c>
      <c r="B1710" t="s">
        <v>6</v>
      </c>
      <c r="C1710" t="s">
        <v>11</v>
      </c>
      <c r="D1710" t="s">
        <v>6</v>
      </c>
      <c r="E1710" t="s">
        <v>8</v>
      </c>
      <c r="F1710">
        <v>2040</v>
      </c>
      <c r="G1710">
        <v>4013.7569199999998</v>
      </c>
      <c r="H1710">
        <v>0.01</v>
      </c>
      <c r="I1710">
        <v>-1</v>
      </c>
    </row>
    <row r="1711" spans="1:9" hidden="1" x14ac:dyDescent="0.25">
      <c r="A1711" t="s">
        <v>371</v>
      </c>
      <c r="B1711" t="s">
        <v>6</v>
      </c>
      <c r="C1711" t="s">
        <v>11</v>
      </c>
      <c r="D1711" t="s">
        <v>6</v>
      </c>
      <c r="E1711" t="s">
        <v>8</v>
      </c>
      <c r="F1711">
        <v>2041</v>
      </c>
      <c r="G1711">
        <v>4013.7569199999998</v>
      </c>
      <c r="H1711">
        <v>0.01</v>
      </c>
      <c r="I1711">
        <v>-1</v>
      </c>
    </row>
    <row r="1712" spans="1:9" hidden="1" x14ac:dyDescent="0.25">
      <c r="A1712" t="s">
        <v>371</v>
      </c>
      <c r="B1712" t="s">
        <v>6</v>
      </c>
      <c r="C1712" t="s">
        <v>11</v>
      </c>
      <c r="D1712" t="s">
        <v>6</v>
      </c>
      <c r="E1712" t="s">
        <v>12</v>
      </c>
      <c r="F1712">
        <v>2024</v>
      </c>
      <c r="G1712">
        <v>4013.7569199999998</v>
      </c>
      <c r="H1712">
        <v>0.01</v>
      </c>
      <c r="I1712">
        <v>-1</v>
      </c>
    </row>
    <row r="1713" spans="1:9" hidden="1" x14ac:dyDescent="0.25">
      <c r="A1713" t="s">
        <v>371</v>
      </c>
      <c r="B1713" t="s">
        <v>6</v>
      </c>
      <c r="C1713" t="s">
        <v>11</v>
      </c>
      <c r="D1713" t="s">
        <v>6</v>
      </c>
      <c r="E1713" t="s">
        <v>12</v>
      </c>
      <c r="F1713">
        <v>2025</v>
      </c>
      <c r="G1713">
        <v>4013.7569199999998</v>
      </c>
      <c r="H1713">
        <v>0.01</v>
      </c>
      <c r="I1713">
        <v>-1</v>
      </c>
    </row>
    <row r="1714" spans="1:9" hidden="1" x14ac:dyDescent="0.25">
      <c r="A1714" t="s">
        <v>371</v>
      </c>
      <c r="B1714" t="s">
        <v>6</v>
      </c>
      <c r="C1714" t="s">
        <v>11</v>
      </c>
      <c r="D1714" t="s">
        <v>6</v>
      </c>
      <c r="E1714" t="s">
        <v>12</v>
      </c>
      <c r="F1714">
        <v>2026</v>
      </c>
      <c r="G1714">
        <v>4013.7569199999998</v>
      </c>
      <c r="H1714">
        <v>0.01</v>
      </c>
      <c r="I1714">
        <v>-1</v>
      </c>
    </row>
    <row r="1715" spans="1:9" hidden="1" x14ac:dyDescent="0.25">
      <c r="A1715" t="s">
        <v>371</v>
      </c>
      <c r="B1715" t="s">
        <v>6</v>
      </c>
      <c r="C1715" t="s">
        <v>11</v>
      </c>
      <c r="D1715" t="s">
        <v>6</v>
      </c>
      <c r="E1715" t="s">
        <v>12</v>
      </c>
      <c r="F1715">
        <v>2027</v>
      </c>
      <c r="G1715">
        <v>4013.7569199999998</v>
      </c>
      <c r="H1715">
        <v>0.01</v>
      </c>
      <c r="I1715">
        <v>-1</v>
      </c>
    </row>
    <row r="1716" spans="1:9" hidden="1" x14ac:dyDescent="0.25">
      <c r="A1716" t="s">
        <v>371</v>
      </c>
      <c r="B1716" t="s">
        <v>6</v>
      </c>
      <c r="C1716" t="s">
        <v>11</v>
      </c>
      <c r="D1716" t="s">
        <v>6</v>
      </c>
      <c r="E1716" t="s">
        <v>12</v>
      </c>
      <c r="F1716">
        <v>2028</v>
      </c>
      <c r="G1716">
        <v>4013.7569199999998</v>
      </c>
      <c r="H1716">
        <v>0.01</v>
      </c>
      <c r="I1716">
        <v>-1</v>
      </c>
    </row>
    <row r="1717" spans="1:9" hidden="1" x14ac:dyDescent="0.25">
      <c r="A1717" t="s">
        <v>371</v>
      </c>
      <c r="B1717" t="s">
        <v>6</v>
      </c>
      <c r="C1717" t="s">
        <v>11</v>
      </c>
      <c r="D1717" t="s">
        <v>6</v>
      </c>
      <c r="E1717" t="s">
        <v>12</v>
      </c>
      <c r="F1717">
        <v>2029</v>
      </c>
      <c r="G1717">
        <v>4013.7569199999998</v>
      </c>
      <c r="H1717">
        <v>0.01</v>
      </c>
      <c r="I1717">
        <v>-1</v>
      </c>
    </row>
    <row r="1718" spans="1:9" hidden="1" x14ac:dyDescent="0.25">
      <c r="A1718" t="s">
        <v>371</v>
      </c>
      <c r="B1718" t="s">
        <v>6</v>
      </c>
      <c r="C1718" t="s">
        <v>11</v>
      </c>
      <c r="D1718" t="s">
        <v>6</v>
      </c>
      <c r="E1718" t="s">
        <v>12</v>
      </c>
      <c r="F1718">
        <v>2030</v>
      </c>
      <c r="G1718">
        <v>4013.7569199999998</v>
      </c>
      <c r="H1718">
        <v>0.01</v>
      </c>
      <c r="I1718">
        <v>-1</v>
      </c>
    </row>
    <row r="1719" spans="1:9" hidden="1" x14ac:dyDescent="0.25">
      <c r="A1719" t="s">
        <v>371</v>
      </c>
      <c r="B1719" t="s">
        <v>6</v>
      </c>
      <c r="C1719" t="s">
        <v>11</v>
      </c>
      <c r="D1719" t="s">
        <v>6</v>
      </c>
      <c r="E1719" t="s">
        <v>12</v>
      </c>
      <c r="F1719">
        <v>2031</v>
      </c>
      <c r="G1719">
        <v>4013.7569199999998</v>
      </c>
      <c r="H1719">
        <v>0.01</v>
      </c>
      <c r="I1719">
        <v>-1</v>
      </c>
    </row>
    <row r="1720" spans="1:9" hidden="1" x14ac:dyDescent="0.25">
      <c r="A1720" t="s">
        <v>371</v>
      </c>
      <c r="B1720" t="s">
        <v>6</v>
      </c>
      <c r="C1720" t="s">
        <v>11</v>
      </c>
      <c r="D1720" t="s">
        <v>6</v>
      </c>
      <c r="E1720" t="s">
        <v>12</v>
      </c>
      <c r="F1720">
        <v>2032</v>
      </c>
      <c r="G1720">
        <v>4013.7569199999998</v>
      </c>
      <c r="H1720">
        <v>0.01</v>
      </c>
      <c r="I1720">
        <v>-1</v>
      </c>
    </row>
    <row r="1721" spans="1:9" hidden="1" x14ac:dyDescent="0.25">
      <c r="A1721" t="s">
        <v>371</v>
      </c>
      <c r="B1721" t="s">
        <v>6</v>
      </c>
      <c r="C1721" t="s">
        <v>11</v>
      </c>
      <c r="D1721" t="s">
        <v>6</v>
      </c>
      <c r="E1721" t="s">
        <v>12</v>
      </c>
      <c r="F1721">
        <v>2033</v>
      </c>
      <c r="G1721">
        <v>4013.7569199999998</v>
      </c>
      <c r="H1721">
        <v>0.01</v>
      </c>
      <c r="I1721">
        <v>-1</v>
      </c>
    </row>
    <row r="1722" spans="1:9" hidden="1" x14ac:dyDescent="0.25">
      <c r="A1722" t="s">
        <v>371</v>
      </c>
      <c r="B1722" t="s">
        <v>6</v>
      </c>
      <c r="C1722" t="s">
        <v>11</v>
      </c>
      <c r="D1722" t="s">
        <v>6</v>
      </c>
      <c r="E1722" t="s">
        <v>12</v>
      </c>
      <c r="F1722">
        <v>2034</v>
      </c>
      <c r="G1722">
        <v>4013.7569199999998</v>
      </c>
      <c r="H1722">
        <v>0.01</v>
      </c>
      <c r="I1722">
        <v>-1</v>
      </c>
    </row>
    <row r="1723" spans="1:9" hidden="1" x14ac:dyDescent="0.25">
      <c r="A1723" t="s">
        <v>371</v>
      </c>
      <c r="B1723" t="s">
        <v>6</v>
      </c>
      <c r="C1723" t="s">
        <v>11</v>
      </c>
      <c r="D1723" t="s">
        <v>6</v>
      </c>
      <c r="E1723" t="s">
        <v>12</v>
      </c>
      <c r="F1723">
        <v>2035</v>
      </c>
      <c r="G1723">
        <v>4013.7569199999998</v>
      </c>
      <c r="H1723">
        <v>0.01</v>
      </c>
      <c r="I1723">
        <v>-1</v>
      </c>
    </row>
    <row r="1724" spans="1:9" hidden="1" x14ac:dyDescent="0.25">
      <c r="A1724" t="s">
        <v>371</v>
      </c>
      <c r="B1724" t="s">
        <v>6</v>
      </c>
      <c r="C1724" t="s">
        <v>11</v>
      </c>
      <c r="D1724" t="s">
        <v>6</v>
      </c>
      <c r="E1724" t="s">
        <v>12</v>
      </c>
      <c r="F1724">
        <v>2036</v>
      </c>
      <c r="G1724">
        <v>4013.7569199999998</v>
      </c>
      <c r="H1724">
        <v>0.01</v>
      </c>
      <c r="I1724">
        <v>-1</v>
      </c>
    </row>
    <row r="1725" spans="1:9" hidden="1" x14ac:dyDescent="0.25">
      <c r="A1725" t="s">
        <v>371</v>
      </c>
      <c r="B1725" t="s">
        <v>6</v>
      </c>
      <c r="C1725" t="s">
        <v>11</v>
      </c>
      <c r="D1725" t="s">
        <v>6</v>
      </c>
      <c r="E1725" t="s">
        <v>12</v>
      </c>
      <c r="F1725">
        <v>2037</v>
      </c>
      <c r="G1725">
        <v>4013.7569199999998</v>
      </c>
      <c r="H1725">
        <v>0.01</v>
      </c>
      <c r="I1725">
        <v>-1</v>
      </c>
    </row>
    <row r="1726" spans="1:9" hidden="1" x14ac:dyDescent="0.25">
      <c r="A1726" t="s">
        <v>371</v>
      </c>
      <c r="B1726" t="s">
        <v>6</v>
      </c>
      <c r="C1726" t="s">
        <v>11</v>
      </c>
      <c r="D1726" t="s">
        <v>6</v>
      </c>
      <c r="E1726" t="s">
        <v>12</v>
      </c>
      <c r="F1726">
        <v>2038</v>
      </c>
      <c r="G1726">
        <v>4013.7569199999998</v>
      </c>
      <c r="H1726">
        <v>0.01</v>
      </c>
      <c r="I1726">
        <v>-1</v>
      </c>
    </row>
    <row r="1727" spans="1:9" hidden="1" x14ac:dyDescent="0.25">
      <c r="A1727" t="s">
        <v>371</v>
      </c>
      <c r="B1727" t="s">
        <v>6</v>
      </c>
      <c r="C1727" t="s">
        <v>11</v>
      </c>
      <c r="D1727" t="s">
        <v>6</v>
      </c>
      <c r="E1727" t="s">
        <v>12</v>
      </c>
      <c r="F1727">
        <v>2039</v>
      </c>
      <c r="G1727">
        <v>4013.7569199999998</v>
      </c>
      <c r="H1727">
        <v>0.01</v>
      </c>
      <c r="I1727">
        <v>-1</v>
      </c>
    </row>
    <row r="1728" spans="1:9" hidden="1" x14ac:dyDescent="0.25">
      <c r="A1728" t="s">
        <v>371</v>
      </c>
      <c r="B1728" t="s">
        <v>6</v>
      </c>
      <c r="C1728" t="s">
        <v>11</v>
      </c>
      <c r="D1728" t="s">
        <v>6</v>
      </c>
      <c r="E1728" t="s">
        <v>12</v>
      </c>
      <c r="F1728">
        <v>2040</v>
      </c>
      <c r="G1728">
        <v>4013.7569199999998</v>
      </c>
      <c r="H1728">
        <v>0.01</v>
      </c>
      <c r="I1728">
        <v>-1</v>
      </c>
    </row>
    <row r="1729" spans="1:9" hidden="1" x14ac:dyDescent="0.25">
      <c r="A1729" t="s">
        <v>371</v>
      </c>
      <c r="B1729" t="s">
        <v>6</v>
      </c>
      <c r="C1729" t="s">
        <v>11</v>
      </c>
      <c r="D1729" t="s">
        <v>6</v>
      </c>
      <c r="E1729" t="s">
        <v>12</v>
      </c>
      <c r="F1729">
        <v>2041</v>
      </c>
      <c r="G1729">
        <v>4013.7569199999998</v>
      </c>
      <c r="H1729">
        <v>0.01</v>
      </c>
      <c r="I1729">
        <v>-1</v>
      </c>
    </row>
    <row r="1730" spans="1:9" hidden="1" x14ac:dyDescent="0.25">
      <c r="A1730" t="s">
        <v>371</v>
      </c>
      <c r="B1730" t="s">
        <v>6</v>
      </c>
      <c r="C1730" t="s">
        <v>9</v>
      </c>
      <c r="D1730" t="s">
        <v>6</v>
      </c>
      <c r="E1730" t="s">
        <v>10</v>
      </c>
      <c r="F1730">
        <v>2024</v>
      </c>
      <c r="G1730">
        <v>4013.7569199999998</v>
      </c>
      <c r="H1730">
        <v>0.01</v>
      </c>
      <c r="I1730">
        <v>-1</v>
      </c>
    </row>
    <row r="1731" spans="1:9" hidden="1" x14ac:dyDescent="0.25">
      <c r="A1731" t="s">
        <v>371</v>
      </c>
      <c r="B1731" t="s">
        <v>6</v>
      </c>
      <c r="C1731" t="s">
        <v>9</v>
      </c>
      <c r="D1731" t="s">
        <v>6</v>
      </c>
      <c r="E1731" t="s">
        <v>10</v>
      </c>
      <c r="F1731">
        <v>2025</v>
      </c>
      <c r="G1731">
        <v>4013.7569199999998</v>
      </c>
      <c r="H1731">
        <v>0.01</v>
      </c>
      <c r="I1731">
        <v>-1</v>
      </c>
    </row>
    <row r="1732" spans="1:9" hidden="1" x14ac:dyDescent="0.25">
      <c r="A1732" t="s">
        <v>371</v>
      </c>
      <c r="B1732" t="s">
        <v>6</v>
      </c>
      <c r="C1732" t="s">
        <v>9</v>
      </c>
      <c r="D1732" t="s">
        <v>6</v>
      </c>
      <c r="E1732" t="s">
        <v>10</v>
      </c>
      <c r="F1732">
        <v>2026</v>
      </c>
      <c r="G1732">
        <v>4013.7569199999998</v>
      </c>
      <c r="H1732">
        <v>0.01</v>
      </c>
      <c r="I1732">
        <v>-1</v>
      </c>
    </row>
    <row r="1733" spans="1:9" hidden="1" x14ac:dyDescent="0.25">
      <c r="A1733" t="s">
        <v>371</v>
      </c>
      <c r="B1733" t="s">
        <v>6</v>
      </c>
      <c r="C1733" t="s">
        <v>9</v>
      </c>
      <c r="D1733" t="s">
        <v>6</v>
      </c>
      <c r="E1733" t="s">
        <v>10</v>
      </c>
      <c r="F1733">
        <v>2027</v>
      </c>
      <c r="G1733">
        <v>4013.7569199999998</v>
      </c>
      <c r="H1733">
        <v>0.01</v>
      </c>
      <c r="I1733">
        <v>-1</v>
      </c>
    </row>
    <row r="1734" spans="1:9" hidden="1" x14ac:dyDescent="0.25">
      <c r="A1734" t="s">
        <v>371</v>
      </c>
      <c r="B1734" t="s">
        <v>6</v>
      </c>
      <c r="C1734" t="s">
        <v>9</v>
      </c>
      <c r="D1734" t="s">
        <v>6</v>
      </c>
      <c r="E1734" t="s">
        <v>10</v>
      </c>
      <c r="F1734">
        <v>2028</v>
      </c>
      <c r="G1734">
        <v>4013.7569199999998</v>
      </c>
      <c r="H1734">
        <v>0.01</v>
      </c>
      <c r="I1734">
        <v>-1</v>
      </c>
    </row>
    <row r="1735" spans="1:9" hidden="1" x14ac:dyDescent="0.25">
      <c r="A1735" t="s">
        <v>371</v>
      </c>
      <c r="B1735" t="s">
        <v>6</v>
      </c>
      <c r="C1735" t="s">
        <v>9</v>
      </c>
      <c r="D1735" t="s">
        <v>6</v>
      </c>
      <c r="E1735" t="s">
        <v>10</v>
      </c>
      <c r="F1735">
        <v>2029</v>
      </c>
      <c r="G1735">
        <v>4013.7569199999998</v>
      </c>
      <c r="H1735">
        <v>0.01</v>
      </c>
      <c r="I1735">
        <v>-1</v>
      </c>
    </row>
    <row r="1736" spans="1:9" hidden="1" x14ac:dyDescent="0.25">
      <c r="A1736" t="s">
        <v>371</v>
      </c>
      <c r="B1736" t="s">
        <v>6</v>
      </c>
      <c r="C1736" t="s">
        <v>9</v>
      </c>
      <c r="D1736" t="s">
        <v>6</v>
      </c>
      <c r="E1736" t="s">
        <v>10</v>
      </c>
      <c r="F1736">
        <v>2030</v>
      </c>
      <c r="G1736">
        <v>4013.7569199999998</v>
      </c>
      <c r="H1736">
        <v>0.01</v>
      </c>
      <c r="I1736">
        <v>-1</v>
      </c>
    </row>
    <row r="1737" spans="1:9" hidden="1" x14ac:dyDescent="0.25">
      <c r="A1737" t="s">
        <v>371</v>
      </c>
      <c r="B1737" t="s">
        <v>6</v>
      </c>
      <c r="C1737" t="s">
        <v>9</v>
      </c>
      <c r="D1737" t="s">
        <v>6</v>
      </c>
      <c r="E1737" t="s">
        <v>10</v>
      </c>
      <c r="F1737">
        <v>2031</v>
      </c>
      <c r="G1737">
        <v>4013.7569199999998</v>
      </c>
      <c r="H1737">
        <v>0.01</v>
      </c>
      <c r="I1737">
        <v>-1</v>
      </c>
    </row>
    <row r="1738" spans="1:9" hidden="1" x14ac:dyDescent="0.25">
      <c r="A1738" t="s">
        <v>371</v>
      </c>
      <c r="B1738" t="s">
        <v>6</v>
      </c>
      <c r="C1738" t="s">
        <v>9</v>
      </c>
      <c r="D1738" t="s">
        <v>6</v>
      </c>
      <c r="E1738" t="s">
        <v>10</v>
      </c>
      <c r="F1738">
        <v>2032</v>
      </c>
      <c r="G1738">
        <v>4013.7569199999998</v>
      </c>
      <c r="H1738">
        <v>0.01</v>
      </c>
      <c r="I1738">
        <v>-1</v>
      </c>
    </row>
    <row r="1739" spans="1:9" hidden="1" x14ac:dyDescent="0.25">
      <c r="A1739" t="s">
        <v>371</v>
      </c>
      <c r="B1739" t="s">
        <v>6</v>
      </c>
      <c r="C1739" t="s">
        <v>9</v>
      </c>
      <c r="D1739" t="s">
        <v>6</v>
      </c>
      <c r="E1739" t="s">
        <v>10</v>
      </c>
      <c r="F1739">
        <v>2033</v>
      </c>
      <c r="G1739">
        <v>4013.7569199999998</v>
      </c>
      <c r="H1739">
        <v>0.01</v>
      </c>
      <c r="I1739">
        <v>-1</v>
      </c>
    </row>
    <row r="1740" spans="1:9" hidden="1" x14ac:dyDescent="0.25">
      <c r="A1740" t="s">
        <v>371</v>
      </c>
      <c r="B1740" t="s">
        <v>6</v>
      </c>
      <c r="C1740" t="s">
        <v>9</v>
      </c>
      <c r="D1740" t="s">
        <v>6</v>
      </c>
      <c r="E1740" t="s">
        <v>10</v>
      </c>
      <c r="F1740">
        <v>2034</v>
      </c>
      <c r="G1740">
        <v>4013.7569199999998</v>
      </c>
      <c r="H1740">
        <v>0.01</v>
      </c>
      <c r="I1740">
        <v>-1</v>
      </c>
    </row>
    <row r="1741" spans="1:9" hidden="1" x14ac:dyDescent="0.25">
      <c r="A1741" t="s">
        <v>371</v>
      </c>
      <c r="B1741" t="s">
        <v>6</v>
      </c>
      <c r="C1741" t="s">
        <v>9</v>
      </c>
      <c r="D1741" t="s">
        <v>6</v>
      </c>
      <c r="E1741" t="s">
        <v>10</v>
      </c>
      <c r="F1741">
        <v>2035</v>
      </c>
      <c r="G1741">
        <v>4013.7569199999998</v>
      </c>
      <c r="H1741">
        <v>0.01</v>
      </c>
      <c r="I1741">
        <v>-1</v>
      </c>
    </row>
    <row r="1742" spans="1:9" hidden="1" x14ac:dyDescent="0.25">
      <c r="A1742" t="s">
        <v>371</v>
      </c>
      <c r="B1742" t="s">
        <v>6</v>
      </c>
      <c r="C1742" t="s">
        <v>9</v>
      </c>
      <c r="D1742" t="s">
        <v>6</v>
      </c>
      <c r="E1742" t="s">
        <v>10</v>
      </c>
      <c r="F1742">
        <v>2036</v>
      </c>
      <c r="G1742">
        <v>4013.7569199999998</v>
      </c>
      <c r="H1742">
        <v>0.01</v>
      </c>
      <c r="I1742">
        <v>-1</v>
      </c>
    </row>
    <row r="1743" spans="1:9" hidden="1" x14ac:dyDescent="0.25">
      <c r="A1743" t="s">
        <v>371</v>
      </c>
      <c r="B1743" t="s">
        <v>6</v>
      </c>
      <c r="C1743" t="s">
        <v>9</v>
      </c>
      <c r="D1743" t="s">
        <v>6</v>
      </c>
      <c r="E1743" t="s">
        <v>10</v>
      </c>
      <c r="F1743">
        <v>2037</v>
      </c>
      <c r="G1743">
        <v>4013.7569199999998</v>
      </c>
      <c r="H1743">
        <v>0.01</v>
      </c>
      <c r="I1743">
        <v>-1</v>
      </c>
    </row>
    <row r="1744" spans="1:9" hidden="1" x14ac:dyDescent="0.25">
      <c r="A1744" t="s">
        <v>371</v>
      </c>
      <c r="B1744" t="s">
        <v>6</v>
      </c>
      <c r="C1744" t="s">
        <v>9</v>
      </c>
      <c r="D1744" t="s">
        <v>6</v>
      </c>
      <c r="E1744" t="s">
        <v>10</v>
      </c>
      <c r="F1744">
        <v>2038</v>
      </c>
      <c r="G1744">
        <v>4013.7569199999998</v>
      </c>
      <c r="H1744">
        <v>0.01</v>
      </c>
      <c r="I1744">
        <v>-1</v>
      </c>
    </row>
    <row r="1745" spans="1:9" hidden="1" x14ac:dyDescent="0.25">
      <c r="A1745" t="s">
        <v>371</v>
      </c>
      <c r="B1745" t="s">
        <v>6</v>
      </c>
      <c r="C1745" t="s">
        <v>9</v>
      </c>
      <c r="D1745" t="s">
        <v>6</v>
      </c>
      <c r="E1745" t="s">
        <v>10</v>
      </c>
      <c r="F1745">
        <v>2039</v>
      </c>
      <c r="G1745">
        <v>4013.7569199999998</v>
      </c>
      <c r="H1745">
        <v>0.01</v>
      </c>
      <c r="I1745">
        <v>-1</v>
      </c>
    </row>
    <row r="1746" spans="1:9" hidden="1" x14ac:dyDescent="0.25">
      <c r="A1746" t="s">
        <v>371</v>
      </c>
      <c r="B1746" t="s">
        <v>6</v>
      </c>
      <c r="C1746" t="s">
        <v>9</v>
      </c>
      <c r="D1746" t="s">
        <v>6</v>
      </c>
      <c r="E1746" t="s">
        <v>10</v>
      </c>
      <c r="F1746">
        <v>2040</v>
      </c>
      <c r="G1746">
        <v>4013.7569199999998</v>
      </c>
      <c r="H1746">
        <v>0.01</v>
      </c>
      <c r="I1746">
        <v>-1</v>
      </c>
    </row>
    <row r="1747" spans="1:9" hidden="1" x14ac:dyDescent="0.25">
      <c r="A1747" t="s">
        <v>371</v>
      </c>
      <c r="B1747" t="s">
        <v>6</v>
      </c>
      <c r="C1747" t="s">
        <v>9</v>
      </c>
      <c r="D1747" t="s">
        <v>6</v>
      </c>
      <c r="E1747" t="s">
        <v>10</v>
      </c>
      <c r="F1747">
        <v>2041</v>
      </c>
      <c r="G1747">
        <v>4013.7569199999998</v>
      </c>
      <c r="H1747">
        <v>0.01</v>
      </c>
      <c r="I1747">
        <v>-1</v>
      </c>
    </row>
    <row r="1748" spans="1:9" hidden="1" x14ac:dyDescent="0.25">
      <c r="A1748" t="s">
        <v>371</v>
      </c>
      <c r="B1748" t="s">
        <v>6</v>
      </c>
      <c r="C1748" t="s">
        <v>9</v>
      </c>
      <c r="D1748" t="s">
        <v>6</v>
      </c>
      <c r="E1748" t="s">
        <v>11</v>
      </c>
      <c r="F1748">
        <v>2024</v>
      </c>
      <c r="G1748">
        <v>4013.7569199999998</v>
      </c>
      <c r="H1748">
        <v>0.01</v>
      </c>
      <c r="I1748">
        <v>-1</v>
      </c>
    </row>
    <row r="1749" spans="1:9" hidden="1" x14ac:dyDescent="0.25">
      <c r="A1749" t="s">
        <v>371</v>
      </c>
      <c r="B1749" t="s">
        <v>6</v>
      </c>
      <c r="C1749" t="s">
        <v>9</v>
      </c>
      <c r="D1749" t="s">
        <v>6</v>
      </c>
      <c r="E1749" t="s">
        <v>11</v>
      </c>
      <c r="F1749">
        <v>2025</v>
      </c>
      <c r="G1749">
        <v>4013.7569199999998</v>
      </c>
      <c r="H1749">
        <v>0.01</v>
      </c>
      <c r="I1749">
        <v>-1</v>
      </c>
    </row>
    <row r="1750" spans="1:9" hidden="1" x14ac:dyDescent="0.25">
      <c r="A1750" t="s">
        <v>371</v>
      </c>
      <c r="B1750" t="s">
        <v>6</v>
      </c>
      <c r="C1750" t="s">
        <v>9</v>
      </c>
      <c r="D1750" t="s">
        <v>6</v>
      </c>
      <c r="E1750" t="s">
        <v>11</v>
      </c>
      <c r="F1750">
        <v>2026</v>
      </c>
      <c r="G1750">
        <v>4013.7569199999998</v>
      </c>
      <c r="H1750">
        <v>0.01</v>
      </c>
      <c r="I1750">
        <v>-1</v>
      </c>
    </row>
    <row r="1751" spans="1:9" hidden="1" x14ac:dyDescent="0.25">
      <c r="A1751" t="s">
        <v>371</v>
      </c>
      <c r="B1751" t="s">
        <v>6</v>
      </c>
      <c r="C1751" t="s">
        <v>9</v>
      </c>
      <c r="D1751" t="s">
        <v>6</v>
      </c>
      <c r="E1751" t="s">
        <v>11</v>
      </c>
      <c r="F1751">
        <v>2027</v>
      </c>
      <c r="G1751">
        <v>4013.7569199999998</v>
      </c>
      <c r="H1751">
        <v>0.01</v>
      </c>
      <c r="I1751">
        <v>-1</v>
      </c>
    </row>
    <row r="1752" spans="1:9" hidden="1" x14ac:dyDescent="0.25">
      <c r="A1752" t="s">
        <v>371</v>
      </c>
      <c r="B1752" t="s">
        <v>6</v>
      </c>
      <c r="C1752" t="s">
        <v>9</v>
      </c>
      <c r="D1752" t="s">
        <v>6</v>
      </c>
      <c r="E1752" t="s">
        <v>11</v>
      </c>
      <c r="F1752">
        <v>2028</v>
      </c>
      <c r="G1752">
        <v>4013.7569199999998</v>
      </c>
      <c r="H1752">
        <v>0.01</v>
      </c>
      <c r="I1752">
        <v>-1</v>
      </c>
    </row>
    <row r="1753" spans="1:9" hidden="1" x14ac:dyDescent="0.25">
      <c r="A1753" t="s">
        <v>371</v>
      </c>
      <c r="B1753" t="s">
        <v>6</v>
      </c>
      <c r="C1753" t="s">
        <v>9</v>
      </c>
      <c r="D1753" t="s">
        <v>6</v>
      </c>
      <c r="E1753" t="s">
        <v>11</v>
      </c>
      <c r="F1753">
        <v>2029</v>
      </c>
      <c r="G1753">
        <v>4013.7569199999998</v>
      </c>
      <c r="H1753">
        <v>0.01</v>
      </c>
      <c r="I1753">
        <v>-1</v>
      </c>
    </row>
    <row r="1754" spans="1:9" hidden="1" x14ac:dyDescent="0.25">
      <c r="A1754" t="s">
        <v>371</v>
      </c>
      <c r="B1754" t="s">
        <v>6</v>
      </c>
      <c r="C1754" t="s">
        <v>9</v>
      </c>
      <c r="D1754" t="s">
        <v>6</v>
      </c>
      <c r="E1754" t="s">
        <v>11</v>
      </c>
      <c r="F1754">
        <v>2030</v>
      </c>
      <c r="G1754">
        <v>4013.7569199999998</v>
      </c>
      <c r="H1754">
        <v>0.01</v>
      </c>
      <c r="I1754">
        <v>-1</v>
      </c>
    </row>
    <row r="1755" spans="1:9" hidden="1" x14ac:dyDescent="0.25">
      <c r="A1755" t="s">
        <v>371</v>
      </c>
      <c r="B1755" t="s">
        <v>6</v>
      </c>
      <c r="C1755" t="s">
        <v>9</v>
      </c>
      <c r="D1755" t="s">
        <v>6</v>
      </c>
      <c r="E1755" t="s">
        <v>11</v>
      </c>
      <c r="F1755">
        <v>2031</v>
      </c>
      <c r="G1755">
        <v>4013.7569199999998</v>
      </c>
      <c r="H1755">
        <v>0.01</v>
      </c>
      <c r="I1755">
        <v>-1</v>
      </c>
    </row>
    <row r="1756" spans="1:9" hidden="1" x14ac:dyDescent="0.25">
      <c r="A1756" t="s">
        <v>371</v>
      </c>
      <c r="B1756" t="s">
        <v>6</v>
      </c>
      <c r="C1756" t="s">
        <v>9</v>
      </c>
      <c r="D1756" t="s">
        <v>6</v>
      </c>
      <c r="E1756" t="s">
        <v>11</v>
      </c>
      <c r="F1756">
        <v>2032</v>
      </c>
      <c r="G1756">
        <v>4013.7569199999998</v>
      </c>
      <c r="H1756">
        <v>0.01</v>
      </c>
      <c r="I1756">
        <v>-1</v>
      </c>
    </row>
    <row r="1757" spans="1:9" hidden="1" x14ac:dyDescent="0.25">
      <c r="A1757" t="s">
        <v>371</v>
      </c>
      <c r="B1757" t="s">
        <v>6</v>
      </c>
      <c r="C1757" t="s">
        <v>9</v>
      </c>
      <c r="D1757" t="s">
        <v>6</v>
      </c>
      <c r="E1757" t="s">
        <v>11</v>
      </c>
      <c r="F1757">
        <v>2033</v>
      </c>
      <c r="G1757">
        <v>4013.7569199999998</v>
      </c>
      <c r="H1757">
        <v>0.01</v>
      </c>
      <c r="I1757">
        <v>-1</v>
      </c>
    </row>
    <row r="1758" spans="1:9" hidden="1" x14ac:dyDescent="0.25">
      <c r="A1758" t="s">
        <v>371</v>
      </c>
      <c r="B1758" t="s">
        <v>6</v>
      </c>
      <c r="C1758" t="s">
        <v>9</v>
      </c>
      <c r="D1758" t="s">
        <v>6</v>
      </c>
      <c r="E1758" t="s">
        <v>11</v>
      </c>
      <c r="F1758">
        <v>2034</v>
      </c>
      <c r="G1758">
        <v>4013.7569199999998</v>
      </c>
      <c r="H1758">
        <v>0.01</v>
      </c>
      <c r="I1758">
        <v>-1</v>
      </c>
    </row>
    <row r="1759" spans="1:9" hidden="1" x14ac:dyDescent="0.25">
      <c r="A1759" t="s">
        <v>371</v>
      </c>
      <c r="B1759" t="s">
        <v>6</v>
      </c>
      <c r="C1759" t="s">
        <v>9</v>
      </c>
      <c r="D1759" t="s">
        <v>6</v>
      </c>
      <c r="E1759" t="s">
        <v>11</v>
      </c>
      <c r="F1759">
        <v>2035</v>
      </c>
      <c r="G1759">
        <v>4013.7569199999998</v>
      </c>
      <c r="H1759">
        <v>0.01</v>
      </c>
      <c r="I1759">
        <v>-1</v>
      </c>
    </row>
    <row r="1760" spans="1:9" hidden="1" x14ac:dyDescent="0.25">
      <c r="A1760" t="s">
        <v>371</v>
      </c>
      <c r="B1760" t="s">
        <v>6</v>
      </c>
      <c r="C1760" t="s">
        <v>9</v>
      </c>
      <c r="D1760" t="s">
        <v>6</v>
      </c>
      <c r="E1760" t="s">
        <v>11</v>
      </c>
      <c r="F1760">
        <v>2036</v>
      </c>
      <c r="G1760">
        <v>4013.7569199999998</v>
      </c>
      <c r="H1760">
        <v>0.01</v>
      </c>
      <c r="I1760">
        <v>-1</v>
      </c>
    </row>
    <row r="1761" spans="1:9" hidden="1" x14ac:dyDescent="0.25">
      <c r="A1761" t="s">
        <v>371</v>
      </c>
      <c r="B1761" t="s">
        <v>6</v>
      </c>
      <c r="C1761" t="s">
        <v>9</v>
      </c>
      <c r="D1761" t="s">
        <v>6</v>
      </c>
      <c r="E1761" t="s">
        <v>11</v>
      </c>
      <c r="F1761">
        <v>2037</v>
      </c>
      <c r="G1761">
        <v>4013.7569199999998</v>
      </c>
      <c r="H1761">
        <v>0.01</v>
      </c>
      <c r="I1761">
        <v>-1</v>
      </c>
    </row>
    <row r="1762" spans="1:9" hidden="1" x14ac:dyDescent="0.25">
      <c r="A1762" t="s">
        <v>371</v>
      </c>
      <c r="B1762" t="s">
        <v>6</v>
      </c>
      <c r="C1762" t="s">
        <v>9</v>
      </c>
      <c r="D1762" t="s">
        <v>6</v>
      </c>
      <c r="E1762" t="s">
        <v>11</v>
      </c>
      <c r="F1762">
        <v>2038</v>
      </c>
      <c r="G1762">
        <v>4013.7569199999998</v>
      </c>
      <c r="H1762">
        <v>0.01</v>
      </c>
      <c r="I1762">
        <v>-1</v>
      </c>
    </row>
    <row r="1763" spans="1:9" hidden="1" x14ac:dyDescent="0.25">
      <c r="A1763" t="s">
        <v>371</v>
      </c>
      <c r="B1763" t="s">
        <v>6</v>
      </c>
      <c r="C1763" t="s">
        <v>9</v>
      </c>
      <c r="D1763" t="s">
        <v>6</v>
      </c>
      <c r="E1763" t="s">
        <v>11</v>
      </c>
      <c r="F1763">
        <v>2039</v>
      </c>
      <c r="G1763">
        <v>4013.7569199999998</v>
      </c>
      <c r="H1763">
        <v>0.01</v>
      </c>
      <c r="I1763">
        <v>-1</v>
      </c>
    </row>
    <row r="1764" spans="1:9" hidden="1" x14ac:dyDescent="0.25">
      <c r="A1764" t="s">
        <v>371</v>
      </c>
      <c r="B1764" t="s">
        <v>6</v>
      </c>
      <c r="C1764" t="s">
        <v>9</v>
      </c>
      <c r="D1764" t="s">
        <v>6</v>
      </c>
      <c r="E1764" t="s">
        <v>11</v>
      </c>
      <c r="F1764">
        <v>2040</v>
      </c>
      <c r="G1764">
        <v>4013.7569199999998</v>
      </c>
      <c r="H1764">
        <v>0.01</v>
      </c>
      <c r="I1764">
        <v>-1</v>
      </c>
    </row>
    <row r="1765" spans="1:9" hidden="1" x14ac:dyDescent="0.25">
      <c r="A1765" t="s">
        <v>371</v>
      </c>
      <c r="B1765" t="s">
        <v>6</v>
      </c>
      <c r="C1765" t="s">
        <v>9</v>
      </c>
      <c r="D1765" t="s">
        <v>6</v>
      </c>
      <c r="E1765" t="s">
        <v>11</v>
      </c>
      <c r="F1765">
        <v>2041</v>
      </c>
      <c r="G1765">
        <v>4013.7569199999998</v>
      </c>
      <c r="H1765">
        <v>0.01</v>
      </c>
      <c r="I1765">
        <v>-1</v>
      </c>
    </row>
    <row r="1766" spans="1:9" hidden="1" x14ac:dyDescent="0.25">
      <c r="A1766" t="s">
        <v>371</v>
      </c>
      <c r="B1766" t="s">
        <v>6</v>
      </c>
      <c r="C1766" t="s">
        <v>9</v>
      </c>
      <c r="D1766" t="s">
        <v>6</v>
      </c>
      <c r="E1766" t="s">
        <v>9</v>
      </c>
      <c r="F1766">
        <v>2024</v>
      </c>
      <c r="G1766">
        <v>4013.7569199999998</v>
      </c>
      <c r="H1766">
        <v>0.01</v>
      </c>
      <c r="I1766">
        <v>-1</v>
      </c>
    </row>
    <row r="1767" spans="1:9" hidden="1" x14ac:dyDescent="0.25">
      <c r="A1767" t="s">
        <v>371</v>
      </c>
      <c r="B1767" t="s">
        <v>6</v>
      </c>
      <c r="C1767" t="s">
        <v>9</v>
      </c>
      <c r="D1767" t="s">
        <v>6</v>
      </c>
      <c r="E1767" t="s">
        <v>9</v>
      </c>
      <c r="F1767">
        <v>2025</v>
      </c>
      <c r="G1767">
        <v>4013.7569199999998</v>
      </c>
      <c r="H1767">
        <v>0.01</v>
      </c>
      <c r="I1767">
        <v>-1</v>
      </c>
    </row>
    <row r="1768" spans="1:9" hidden="1" x14ac:dyDescent="0.25">
      <c r="A1768" t="s">
        <v>371</v>
      </c>
      <c r="B1768" t="s">
        <v>6</v>
      </c>
      <c r="C1768" t="s">
        <v>9</v>
      </c>
      <c r="D1768" t="s">
        <v>6</v>
      </c>
      <c r="E1768" t="s">
        <v>9</v>
      </c>
      <c r="F1768">
        <v>2026</v>
      </c>
      <c r="G1768">
        <v>4013.7569199999998</v>
      </c>
      <c r="H1768">
        <v>0.01</v>
      </c>
      <c r="I1768">
        <v>-1</v>
      </c>
    </row>
    <row r="1769" spans="1:9" hidden="1" x14ac:dyDescent="0.25">
      <c r="A1769" t="s">
        <v>371</v>
      </c>
      <c r="B1769" t="s">
        <v>6</v>
      </c>
      <c r="C1769" t="s">
        <v>9</v>
      </c>
      <c r="D1769" t="s">
        <v>6</v>
      </c>
      <c r="E1769" t="s">
        <v>9</v>
      </c>
      <c r="F1769">
        <v>2027</v>
      </c>
      <c r="G1769">
        <v>4013.7569199999998</v>
      </c>
      <c r="H1769">
        <v>0.01</v>
      </c>
      <c r="I1769">
        <v>-1</v>
      </c>
    </row>
    <row r="1770" spans="1:9" hidden="1" x14ac:dyDescent="0.25">
      <c r="A1770" t="s">
        <v>371</v>
      </c>
      <c r="B1770" t="s">
        <v>6</v>
      </c>
      <c r="C1770" t="s">
        <v>9</v>
      </c>
      <c r="D1770" t="s">
        <v>6</v>
      </c>
      <c r="E1770" t="s">
        <v>9</v>
      </c>
      <c r="F1770">
        <v>2028</v>
      </c>
      <c r="G1770">
        <v>4013.7569199999998</v>
      </c>
      <c r="H1770">
        <v>0.01</v>
      </c>
      <c r="I1770">
        <v>-1</v>
      </c>
    </row>
    <row r="1771" spans="1:9" hidden="1" x14ac:dyDescent="0.25">
      <c r="A1771" t="s">
        <v>371</v>
      </c>
      <c r="B1771" t="s">
        <v>6</v>
      </c>
      <c r="C1771" t="s">
        <v>9</v>
      </c>
      <c r="D1771" t="s">
        <v>6</v>
      </c>
      <c r="E1771" t="s">
        <v>9</v>
      </c>
      <c r="F1771">
        <v>2029</v>
      </c>
      <c r="G1771">
        <v>4013.7569199999998</v>
      </c>
      <c r="H1771">
        <v>0.01</v>
      </c>
      <c r="I1771">
        <v>-1</v>
      </c>
    </row>
    <row r="1772" spans="1:9" hidden="1" x14ac:dyDescent="0.25">
      <c r="A1772" t="s">
        <v>371</v>
      </c>
      <c r="B1772" t="s">
        <v>6</v>
      </c>
      <c r="C1772" t="s">
        <v>9</v>
      </c>
      <c r="D1772" t="s">
        <v>6</v>
      </c>
      <c r="E1772" t="s">
        <v>9</v>
      </c>
      <c r="F1772">
        <v>2030</v>
      </c>
      <c r="G1772">
        <v>4013.7569199999998</v>
      </c>
      <c r="H1772">
        <v>0.01</v>
      </c>
      <c r="I1772">
        <v>-1</v>
      </c>
    </row>
    <row r="1773" spans="1:9" hidden="1" x14ac:dyDescent="0.25">
      <c r="A1773" t="s">
        <v>371</v>
      </c>
      <c r="B1773" t="s">
        <v>6</v>
      </c>
      <c r="C1773" t="s">
        <v>9</v>
      </c>
      <c r="D1773" t="s">
        <v>6</v>
      </c>
      <c r="E1773" t="s">
        <v>9</v>
      </c>
      <c r="F1773">
        <v>2031</v>
      </c>
      <c r="G1773">
        <v>4013.7569199999998</v>
      </c>
      <c r="H1773">
        <v>0.01</v>
      </c>
      <c r="I1773">
        <v>-1</v>
      </c>
    </row>
    <row r="1774" spans="1:9" hidden="1" x14ac:dyDescent="0.25">
      <c r="A1774" t="s">
        <v>371</v>
      </c>
      <c r="B1774" t="s">
        <v>6</v>
      </c>
      <c r="C1774" t="s">
        <v>9</v>
      </c>
      <c r="D1774" t="s">
        <v>6</v>
      </c>
      <c r="E1774" t="s">
        <v>9</v>
      </c>
      <c r="F1774">
        <v>2032</v>
      </c>
      <c r="G1774">
        <v>4013.7569199999998</v>
      </c>
      <c r="H1774">
        <v>0.01</v>
      </c>
      <c r="I1774">
        <v>-1</v>
      </c>
    </row>
    <row r="1775" spans="1:9" hidden="1" x14ac:dyDescent="0.25">
      <c r="A1775" t="s">
        <v>371</v>
      </c>
      <c r="B1775" t="s">
        <v>6</v>
      </c>
      <c r="C1775" t="s">
        <v>9</v>
      </c>
      <c r="D1775" t="s">
        <v>6</v>
      </c>
      <c r="E1775" t="s">
        <v>9</v>
      </c>
      <c r="F1775">
        <v>2033</v>
      </c>
      <c r="G1775">
        <v>4013.7569199999998</v>
      </c>
      <c r="H1775">
        <v>0.01</v>
      </c>
      <c r="I1775">
        <v>-1</v>
      </c>
    </row>
    <row r="1776" spans="1:9" hidden="1" x14ac:dyDescent="0.25">
      <c r="A1776" t="s">
        <v>371</v>
      </c>
      <c r="B1776" t="s">
        <v>6</v>
      </c>
      <c r="C1776" t="s">
        <v>9</v>
      </c>
      <c r="D1776" t="s">
        <v>6</v>
      </c>
      <c r="E1776" t="s">
        <v>9</v>
      </c>
      <c r="F1776">
        <v>2034</v>
      </c>
      <c r="G1776">
        <v>4013.7569199999998</v>
      </c>
      <c r="H1776">
        <v>0.01</v>
      </c>
      <c r="I1776">
        <v>-1</v>
      </c>
    </row>
    <row r="1777" spans="1:9" hidden="1" x14ac:dyDescent="0.25">
      <c r="A1777" t="s">
        <v>371</v>
      </c>
      <c r="B1777" t="s">
        <v>6</v>
      </c>
      <c r="C1777" t="s">
        <v>9</v>
      </c>
      <c r="D1777" t="s">
        <v>6</v>
      </c>
      <c r="E1777" t="s">
        <v>9</v>
      </c>
      <c r="F1777">
        <v>2035</v>
      </c>
      <c r="G1777">
        <v>4013.7569199999998</v>
      </c>
      <c r="H1777">
        <v>0.01</v>
      </c>
      <c r="I1777">
        <v>-1</v>
      </c>
    </row>
    <row r="1778" spans="1:9" hidden="1" x14ac:dyDescent="0.25">
      <c r="A1778" t="s">
        <v>371</v>
      </c>
      <c r="B1778" t="s">
        <v>6</v>
      </c>
      <c r="C1778" t="s">
        <v>9</v>
      </c>
      <c r="D1778" t="s">
        <v>6</v>
      </c>
      <c r="E1778" t="s">
        <v>9</v>
      </c>
      <c r="F1778">
        <v>2036</v>
      </c>
      <c r="G1778">
        <v>4013.7569199999998</v>
      </c>
      <c r="H1778">
        <v>0.01</v>
      </c>
      <c r="I1778">
        <v>-1</v>
      </c>
    </row>
    <row r="1779" spans="1:9" hidden="1" x14ac:dyDescent="0.25">
      <c r="A1779" t="s">
        <v>371</v>
      </c>
      <c r="B1779" t="s">
        <v>6</v>
      </c>
      <c r="C1779" t="s">
        <v>9</v>
      </c>
      <c r="D1779" t="s">
        <v>6</v>
      </c>
      <c r="E1779" t="s">
        <v>9</v>
      </c>
      <c r="F1779">
        <v>2037</v>
      </c>
      <c r="G1779">
        <v>4013.7569199999998</v>
      </c>
      <c r="H1779">
        <v>0.01</v>
      </c>
      <c r="I1779">
        <v>-1</v>
      </c>
    </row>
    <row r="1780" spans="1:9" hidden="1" x14ac:dyDescent="0.25">
      <c r="A1780" t="s">
        <v>371</v>
      </c>
      <c r="B1780" t="s">
        <v>6</v>
      </c>
      <c r="C1780" t="s">
        <v>9</v>
      </c>
      <c r="D1780" t="s">
        <v>6</v>
      </c>
      <c r="E1780" t="s">
        <v>9</v>
      </c>
      <c r="F1780">
        <v>2038</v>
      </c>
      <c r="G1780">
        <v>4013.7569199999998</v>
      </c>
      <c r="H1780">
        <v>0.01</v>
      </c>
      <c r="I1780">
        <v>-1</v>
      </c>
    </row>
    <row r="1781" spans="1:9" hidden="1" x14ac:dyDescent="0.25">
      <c r="A1781" t="s">
        <v>371</v>
      </c>
      <c r="B1781" t="s">
        <v>6</v>
      </c>
      <c r="C1781" t="s">
        <v>9</v>
      </c>
      <c r="D1781" t="s">
        <v>6</v>
      </c>
      <c r="E1781" t="s">
        <v>9</v>
      </c>
      <c r="F1781">
        <v>2039</v>
      </c>
      <c r="G1781">
        <v>4013.7569199999998</v>
      </c>
      <c r="H1781">
        <v>0.01</v>
      </c>
      <c r="I1781">
        <v>-1</v>
      </c>
    </row>
    <row r="1782" spans="1:9" hidden="1" x14ac:dyDescent="0.25">
      <c r="A1782" t="s">
        <v>371</v>
      </c>
      <c r="B1782" t="s">
        <v>6</v>
      </c>
      <c r="C1782" t="s">
        <v>9</v>
      </c>
      <c r="D1782" t="s">
        <v>6</v>
      </c>
      <c r="E1782" t="s">
        <v>9</v>
      </c>
      <c r="F1782">
        <v>2040</v>
      </c>
      <c r="G1782">
        <v>4013.7569199999998</v>
      </c>
      <c r="H1782">
        <v>0.01</v>
      </c>
      <c r="I1782">
        <v>-1</v>
      </c>
    </row>
    <row r="1783" spans="1:9" hidden="1" x14ac:dyDescent="0.25">
      <c r="A1783" t="s">
        <v>371</v>
      </c>
      <c r="B1783" t="s">
        <v>6</v>
      </c>
      <c r="C1783" t="s">
        <v>9</v>
      </c>
      <c r="D1783" t="s">
        <v>6</v>
      </c>
      <c r="E1783" t="s">
        <v>9</v>
      </c>
      <c r="F1783">
        <v>2041</v>
      </c>
      <c r="G1783">
        <v>4013.7569199999998</v>
      </c>
      <c r="H1783">
        <v>0.01</v>
      </c>
      <c r="I1783">
        <v>-1</v>
      </c>
    </row>
    <row r="1784" spans="1:9" hidden="1" x14ac:dyDescent="0.25">
      <c r="A1784" t="s">
        <v>371</v>
      </c>
      <c r="B1784" t="s">
        <v>6</v>
      </c>
      <c r="C1784" t="s">
        <v>9</v>
      </c>
      <c r="D1784" t="s">
        <v>6</v>
      </c>
      <c r="E1784" t="s">
        <v>8</v>
      </c>
      <c r="F1784">
        <v>2024</v>
      </c>
      <c r="G1784">
        <v>4013.7569199999998</v>
      </c>
      <c r="H1784">
        <v>0.01</v>
      </c>
      <c r="I1784">
        <v>-1</v>
      </c>
    </row>
    <row r="1785" spans="1:9" hidden="1" x14ac:dyDescent="0.25">
      <c r="A1785" t="s">
        <v>371</v>
      </c>
      <c r="B1785" t="s">
        <v>6</v>
      </c>
      <c r="C1785" t="s">
        <v>9</v>
      </c>
      <c r="D1785" t="s">
        <v>6</v>
      </c>
      <c r="E1785" t="s">
        <v>8</v>
      </c>
      <c r="F1785">
        <v>2025</v>
      </c>
      <c r="G1785">
        <v>4013.7569199999998</v>
      </c>
      <c r="H1785">
        <v>0.01</v>
      </c>
      <c r="I1785">
        <v>-1</v>
      </c>
    </row>
    <row r="1786" spans="1:9" hidden="1" x14ac:dyDescent="0.25">
      <c r="A1786" t="s">
        <v>371</v>
      </c>
      <c r="B1786" t="s">
        <v>6</v>
      </c>
      <c r="C1786" t="s">
        <v>9</v>
      </c>
      <c r="D1786" t="s">
        <v>6</v>
      </c>
      <c r="E1786" t="s">
        <v>8</v>
      </c>
      <c r="F1786">
        <v>2026</v>
      </c>
      <c r="G1786">
        <v>4013.7569199999998</v>
      </c>
      <c r="H1786">
        <v>0.01</v>
      </c>
      <c r="I1786">
        <v>-1</v>
      </c>
    </row>
    <row r="1787" spans="1:9" hidden="1" x14ac:dyDescent="0.25">
      <c r="A1787" t="s">
        <v>371</v>
      </c>
      <c r="B1787" t="s">
        <v>6</v>
      </c>
      <c r="C1787" t="s">
        <v>9</v>
      </c>
      <c r="D1787" t="s">
        <v>6</v>
      </c>
      <c r="E1787" t="s">
        <v>8</v>
      </c>
      <c r="F1787">
        <v>2027</v>
      </c>
      <c r="G1787">
        <v>4013.7569199999998</v>
      </c>
      <c r="H1787">
        <v>0.01</v>
      </c>
      <c r="I1787">
        <v>-1</v>
      </c>
    </row>
    <row r="1788" spans="1:9" hidden="1" x14ac:dyDescent="0.25">
      <c r="A1788" t="s">
        <v>371</v>
      </c>
      <c r="B1788" t="s">
        <v>6</v>
      </c>
      <c r="C1788" t="s">
        <v>9</v>
      </c>
      <c r="D1788" t="s">
        <v>6</v>
      </c>
      <c r="E1788" t="s">
        <v>8</v>
      </c>
      <c r="F1788">
        <v>2028</v>
      </c>
      <c r="G1788">
        <v>4013.7569199999998</v>
      </c>
      <c r="H1788">
        <v>0.01</v>
      </c>
      <c r="I1788">
        <v>-1</v>
      </c>
    </row>
    <row r="1789" spans="1:9" hidden="1" x14ac:dyDescent="0.25">
      <c r="A1789" t="s">
        <v>371</v>
      </c>
      <c r="B1789" t="s">
        <v>6</v>
      </c>
      <c r="C1789" t="s">
        <v>9</v>
      </c>
      <c r="D1789" t="s">
        <v>6</v>
      </c>
      <c r="E1789" t="s">
        <v>8</v>
      </c>
      <c r="F1789">
        <v>2029</v>
      </c>
      <c r="G1789">
        <v>4013.7569199999998</v>
      </c>
      <c r="H1789">
        <v>0.01</v>
      </c>
      <c r="I1789">
        <v>-1</v>
      </c>
    </row>
    <row r="1790" spans="1:9" hidden="1" x14ac:dyDescent="0.25">
      <c r="A1790" t="s">
        <v>371</v>
      </c>
      <c r="B1790" t="s">
        <v>6</v>
      </c>
      <c r="C1790" t="s">
        <v>9</v>
      </c>
      <c r="D1790" t="s">
        <v>6</v>
      </c>
      <c r="E1790" t="s">
        <v>8</v>
      </c>
      <c r="F1790">
        <v>2030</v>
      </c>
      <c r="G1790">
        <v>4013.7569199999998</v>
      </c>
      <c r="H1790">
        <v>0.01</v>
      </c>
      <c r="I1790">
        <v>-1</v>
      </c>
    </row>
    <row r="1791" spans="1:9" hidden="1" x14ac:dyDescent="0.25">
      <c r="A1791" t="s">
        <v>371</v>
      </c>
      <c r="B1791" t="s">
        <v>6</v>
      </c>
      <c r="C1791" t="s">
        <v>9</v>
      </c>
      <c r="D1791" t="s">
        <v>6</v>
      </c>
      <c r="E1791" t="s">
        <v>8</v>
      </c>
      <c r="F1791">
        <v>2031</v>
      </c>
      <c r="G1791">
        <v>4013.7569199999998</v>
      </c>
      <c r="H1791">
        <v>0.01</v>
      </c>
      <c r="I1791">
        <v>-1</v>
      </c>
    </row>
    <row r="1792" spans="1:9" hidden="1" x14ac:dyDescent="0.25">
      <c r="A1792" t="s">
        <v>371</v>
      </c>
      <c r="B1792" t="s">
        <v>6</v>
      </c>
      <c r="C1792" t="s">
        <v>9</v>
      </c>
      <c r="D1792" t="s">
        <v>6</v>
      </c>
      <c r="E1792" t="s">
        <v>8</v>
      </c>
      <c r="F1792">
        <v>2032</v>
      </c>
      <c r="G1792">
        <v>4013.7569199999998</v>
      </c>
      <c r="H1792">
        <v>0.01</v>
      </c>
      <c r="I1792">
        <v>-1</v>
      </c>
    </row>
    <row r="1793" spans="1:9" hidden="1" x14ac:dyDescent="0.25">
      <c r="A1793" t="s">
        <v>371</v>
      </c>
      <c r="B1793" t="s">
        <v>6</v>
      </c>
      <c r="C1793" t="s">
        <v>9</v>
      </c>
      <c r="D1793" t="s">
        <v>6</v>
      </c>
      <c r="E1793" t="s">
        <v>8</v>
      </c>
      <c r="F1793">
        <v>2033</v>
      </c>
      <c r="G1793">
        <v>4013.7569199999998</v>
      </c>
      <c r="H1793">
        <v>0.01</v>
      </c>
      <c r="I1793">
        <v>-1</v>
      </c>
    </row>
    <row r="1794" spans="1:9" hidden="1" x14ac:dyDescent="0.25">
      <c r="A1794" t="s">
        <v>371</v>
      </c>
      <c r="B1794" t="s">
        <v>6</v>
      </c>
      <c r="C1794" t="s">
        <v>9</v>
      </c>
      <c r="D1794" t="s">
        <v>6</v>
      </c>
      <c r="E1794" t="s">
        <v>8</v>
      </c>
      <c r="F1794">
        <v>2034</v>
      </c>
      <c r="G1794">
        <v>4013.7569199999998</v>
      </c>
      <c r="H1794">
        <v>0.01</v>
      </c>
      <c r="I1794">
        <v>-1</v>
      </c>
    </row>
    <row r="1795" spans="1:9" hidden="1" x14ac:dyDescent="0.25">
      <c r="A1795" t="s">
        <v>371</v>
      </c>
      <c r="B1795" t="s">
        <v>6</v>
      </c>
      <c r="C1795" t="s">
        <v>9</v>
      </c>
      <c r="D1795" t="s">
        <v>6</v>
      </c>
      <c r="E1795" t="s">
        <v>8</v>
      </c>
      <c r="F1795">
        <v>2035</v>
      </c>
      <c r="G1795">
        <v>4013.7569199999998</v>
      </c>
      <c r="H1795">
        <v>0.01</v>
      </c>
      <c r="I1795">
        <v>-1</v>
      </c>
    </row>
    <row r="1796" spans="1:9" hidden="1" x14ac:dyDescent="0.25">
      <c r="A1796" t="s">
        <v>371</v>
      </c>
      <c r="B1796" t="s">
        <v>6</v>
      </c>
      <c r="C1796" t="s">
        <v>9</v>
      </c>
      <c r="D1796" t="s">
        <v>6</v>
      </c>
      <c r="E1796" t="s">
        <v>8</v>
      </c>
      <c r="F1796">
        <v>2036</v>
      </c>
      <c r="G1796">
        <v>4013.7569199999998</v>
      </c>
      <c r="H1796">
        <v>0.01</v>
      </c>
      <c r="I1796">
        <v>-1</v>
      </c>
    </row>
    <row r="1797" spans="1:9" hidden="1" x14ac:dyDescent="0.25">
      <c r="A1797" t="s">
        <v>371</v>
      </c>
      <c r="B1797" t="s">
        <v>6</v>
      </c>
      <c r="C1797" t="s">
        <v>9</v>
      </c>
      <c r="D1797" t="s">
        <v>6</v>
      </c>
      <c r="E1797" t="s">
        <v>8</v>
      </c>
      <c r="F1797">
        <v>2037</v>
      </c>
      <c r="G1797">
        <v>4013.7569199999998</v>
      </c>
      <c r="H1797">
        <v>0.01</v>
      </c>
      <c r="I1797">
        <v>-1</v>
      </c>
    </row>
    <row r="1798" spans="1:9" hidden="1" x14ac:dyDescent="0.25">
      <c r="A1798" t="s">
        <v>371</v>
      </c>
      <c r="B1798" t="s">
        <v>6</v>
      </c>
      <c r="C1798" t="s">
        <v>9</v>
      </c>
      <c r="D1798" t="s">
        <v>6</v>
      </c>
      <c r="E1798" t="s">
        <v>8</v>
      </c>
      <c r="F1798">
        <v>2038</v>
      </c>
      <c r="G1798">
        <v>4013.7569199999998</v>
      </c>
      <c r="H1798">
        <v>0.01</v>
      </c>
      <c r="I1798">
        <v>-1</v>
      </c>
    </row>
    <row r="1799" spans="1:9" hidden="1" x14ac:dyDescent="0.25">
      <c r="A1799" t="s">
        <v>371</v>
      </c>
      <c r="B1799" t="s">
        <v>6</v>
      </c>
      <c r="C1799" t="s">
        <v>9</v>
      </c>
      <c r="D1799" t="s">
        <v>6</v>
      </c>
      <c r="E1799" t="s">
        <v>8</v>
      </c>
      <c r="F1799">
        <v>2039</v>
      </c>
      <c r="G1799">
        <v>4013.7569199999998</v>
      </c>
      <c r="H1799">
        <v>0.01</v>
      </c>
      <c r="I1799">
        <v>-1</v>
      </c>
    </row>
    <row r="1800" spans="1:9" hidden="1" x14ac:dyDescent="0.25">
      <c r="A1800" t="s">
        <v>371</v>
      </c>
      <c r="B1800" t="s">
        <v>6</v>
      </c>
      <c r="C1800" t="s">
        <v>9</v>
      </c>
      <c r="D1800" t="s">
        <v>6</v>
      </c>
      <c r="E1800" t="s">
        <v>8</v>
      </c>
      <c r="F1800">
        <v>2040</v>
      </c>
      <c r="G1800">
        <v>4013.7569199999998</v>
      </c>
      <c r="H1800">
        <v>0.01</v>
      </c>
      <c r="I1800">
        <v>-1</v>
      </c>
    </row>
    <row r="1801" spans="1:9" hidden="1" x14ac:dyDescent="0.25">
      <c r="A1801" t="s">
        <v>371</v>
      </c>
      <c r="B1801" t="s">
        <v>6</v>
      </c>
      <c r="C1801" t="s">
        <v>9</v>
      </c>
      <c r="D1801" t="s">
        <v>6</v>
      </c>
      <c r="E1801" t="s">
        <v>8</v>
      </c>
      <c r="F1801">
        <v>2041</v>
      </c>
      <c r="G1801">
        <v>4013.7569199999998</v>
      </c>
      <c r="H1801">
        <v>0.01</v>
      </c>
      <c r="I1801">
        <v>-1</v>
      </c>
    </row>
    <row r="1802" spans="1:9" hidden="1" x14ac:dyDescent="0.25">
      <c r="A1802" t="s">
        <v>371</v>
      </c>
      <c r="B1802" t="s">
        <v>6</v>
      </c>
      <c r="C1802" t="s">
        <v>9</v>
      </c>
      <c r="D1802" t="s">
        <v>6</v>
      </c>
      <c r="E1802" t="s">
        <v>12</v>
      </c>
      <c r="F1802">
        <v>2024</v>
      </c>
      <c r="G1802">
        <v>4013.7569199999998</v>
      </c>
      <c r="H1802">
        <v>0.01</v>
      </c>
      <c r="I1802">
        <v>-1</v>
      </c>
    </row>
    <row r="1803" spans="1:9" hidden="1" x14ac:dyDescent="0.25">
      <c r="A1803" t="s">
        <v>371</v>
      </c>
      <c r="B1803" t="s">
        <v>6</v>
      </c>
      <c r="C1803" t="s">
        <v>9</v>
      </c>
      <c r="D1803" t="s">
        <v>6</v>
      </c>
      <c r="E1803" t="s">
        <v>12</v>
      </c>
      <c r="F1803">
        <v>2025</v>
      </c>
      <c r="G1803">
        <v>4013.7569199999998</v>
      </c>
      <c r="H1803">
        <v>0.01</v>
      </c>
      <c r="I1803">
        <v>-1</v>
      </c>
    </row>
    <row r="1804" spans="1:9" hidden="1" x14ac:dyDescent="0.25">
      <c r="A1804" t="s">
        <v>371</v>
      </c>
      <c r="B1804" t="s">
        <v>6</v>
      </c>
      <c r="C1804" t="s">
        <v>9</v>
      </c>
      <c r="D1804" t="s">
        <v>6</v>
      </c>
      <c r="E1804" t="s">
        <v>12</v>
      </c>
      <c r="F1804">
        <v>2026</v>
      </c>
      <c r="G1804">
        <v>4013.7569199999998</v>
      </c>
      <c r="H1804">
        <v>0.01</v>
      </c>
      <c r="I1804">
        <v>-1</v>
      </c>
    </row>
    <row r="1805" spans="1:9" hidden="1" x14ac:dyDescent="0.25">
      <c r="A1805" t="s">
        <v>371</v>
      </c>
      <c r="B1805" t="s">
        <v>6</v>
      </c>
      <c r="C1805" t="s">
        <v>9</v>
      </c>
      <c r="D1805" t="s">
        <v>6</v>
      </c>
      <c r="E1805" t="s">
        <v>12</v>
      </c>
      <c r="F1805">
        <v>2027</v>
      </c>
      <c r="G1805">
        <v>4013.7569199999998</v>
      </c>
      <c r="H1805">
        <v>0.01</v>
      </c>
      <c r="I1805">
        <v>-1</v>
      </c>
    </row>
    <row r="1806" spans="1:9" hidden="1" x14ac:dyDescent="0.25">
      <c r="A1806" t="s">
        <v>371</v>
      </c>
      <c r="B1806" t="s">
        <v>6</v>
      </c>
      <c r="C1806" t="s">
        <v>9</v>
      </c>
      <c r="D1806" t="s">
        <v>6</v>
      </c>
      <c r="E1806" t="s">
        <v>12</v>
      </c>
      <c r="F1806">
        <v>2028</v>
      </c>
      <c r="G1806">
        <v>4013.7569199999998</v>
      </c>
      <c r="H1806">
        <v>0.01</v>
      </c>
      <c r="I1806">
        <v>-1</v>
      </c>
    </row>
    <row r="1807" spans="1:9" hidden="1" x14ac:dyDescent="0.25">
      <c r="A1807" t="s">
        <v>371</v>
      </c>
      <c r="B1807" t="s">
        <v>6</v>
      </c>
      <c r="C1807" t="s">
        <v>9</v>
      </c>
      <c r="D1807" t="s">
        <v>6</v>
      </c>
      <c r="E1807" t="s">
        <v>12</v>
      </c>
      <c r="F1807">
        <v>2029</v>
      </c>
      <c r="G1807">
        <v>4013.7569199999998</v>
      </c>
      <c r="H1807">
        <v>0.01</v>
      </c>
      <c r="I1807">
        <v>-1</v>
      </c>
    </row>
    <row r="1808" spans="1:9" hidden="1" x14ac:dyDescent="0.25">
      <c r="A1808" t="s">
        <v>371</v>
      </c>
      <c r="B1808" t="s">
        <v>6</v>
      </c>
      <c r="C1808" t="s">
        <v>9</v>
      </c>
      <c r="D1808" t="s">
        <v>6</v>
      </c>
      <c r="E1808" t="s">
        <v>12</v>
      </c>
      <c r="F1808">
        <v>2030</v>
      </c>
      <c r="G1808">
        <v>4013.7569199999998</v>
      </c>
      <c r="H1808">
        <v>0.01</v>
      </c>
      <c r="I1808">
        <v>-1</v>
      </c>
    </row>
    <row r="1809" spans="1:9" hidden="1" x14ac:dyDescent="0.25">
      <c r="A1809" t="s">
        <v>371</v>
      </c>
      <c r="B1809" t="s">
        <v>6</v>
      </c>
      <c r="C1809" t="s">
        <v>9</v>
      </c>
      <c r="D1809" t="s">
        <v>6</v>
      </c>
      <c r="E1809" t="s">
        <v>12</v>
      </c>
      <c r="F1809">
        <v>2031</v>
      </c>
      <c r="G1809">
        <v>4013.7569199999998</v>
      </c>
      <c r="H1809">
        <v>0.01</v>
      </c>
      <c r="I1809">
        <v>-1</v>
      </c>
    </row>
    <row r="1810" spans="1:9" hidden="1" x14ac:dyDescent="0.25">
      <c r="A1810" t="s">
        <v>371</v>
      </c>
      <c r="B1810" t="s">
        <v>6</v>
      </c>
      <c r="C1810" t="s">
        <v>9</v>
      </c>
      <c r="D1810" t="s">
        <v>6</v>
      </c>
      <c r="E1810" t="s">
        <v>12</v>
      </c>
      <c r="F1810">
        <v>2032</v>
      </c>
      <c r="G1810">
        <v>4013.7569199999998</v>
      </c>
      <c r="H1810">
        <v>0.01</v>
      </c>
      <c r="I1810">
        <v>-1</v>
      </c>
    </row>
    <row r="1811" spans="1:9" hidden="1" x14ac:dyDescent="0.25">
      <c r="A1811" t="s">
        <v>371</v>
      </c>
      <c r="B1811" t="s">
        <v>6</v>
      </c>
      <c r="C1811" t="s">
        <v>9</v>
      </c>
      <c r="D1811" t="s">
        <v>6</v>
      </c>
      <c r="E1811" t="s">
        <v>12</v>
      </c>
      <c r="F1811">
        <v>2033</v>
      </c>
      <c r="G1811">
        <v>4013.7569199999998</v>
      </c>
      <c r="H1811">
        <v>0.01</v>
      </c>
      <c r="I1811">
        <v>-1</v>
      </c>
    </row>
    <row r="1812" spans="1:9" hidden="1" x14ac:dyDescent="0.25">
      <c r="A1812" t="s">
        <v>371</v>
      </c>
      <c r="B1812" t="s">
        <v>6</v>
      </c>
      <c r="C1812" t="s">
        <v>9</v>
      </c>
      <c r="D1812" t="s">
        <v>6</v>
      </c>
      <c r="E1812" t="s">
        <v>12</v>
      </c>
      <c r="F1812">
        <v>2034</v>
      </c>
      <c r="G1812">
        <v>4013.7569199999998</v>
      </c>
      <c r="H1812">
        <v>0.01</v>
      </c>
      <c r="I1812">
        <v>-1</v>
      </c>
    </row>
    <row r="1813" spans="1:9" hidden="1" x14ac:dyDescent="0.25">
      <c r="A1813" t="s">
        <v>371</v>
      </c>
      <c r="B1813" t="s">
        <v>6</v>
      </c>
      <c r="C1813" t="s">
        <v>9</v>
      </c>
      <c r="D1813" t="s">
        <v>6</v>
      </c>
      <c r="E1813" t="s">
        <v>12</v>
      </c>
      <c r="F1813">
        <v>2035</v>
      </c>
      <c r="G1813">
        <v>4013.7569199999998</v>
      </c>
      <c r="H1813">
        <v>0.01</v>
      </c>
      <c r="I1813">
        <v>-1</v>
      </c>
    </row>
    <row r="1814" spans="1:9" hidden="1" x14ac:dyDescent="0.25">
      <c r="A1814" t="s">
        <v>371</v>
      </c>
      <c r="B1814" t="s">
        <v>6</v>
      </c>
      <c r="C1814" t="s">
        <v>9</v>
      </c>
      <c r="D1814" t="s">
        <v>6</v>
      </c>
      <c r="E1814" t="s">
        <v>12</v>
      </c>
      <c r="F1814">
        <v>2036</v>
      </c>
      <c r="G1814">
        <v>4013.7569199999998</v>
      </c>
      <c r="H1814">
        <v>0.01</v>
      </c>
      <c r="I1814">
        <v>-1</v>
      </c>
    </row>
    <row r="1815" spans="1:9" hidden="1" x14ac:dyDescent="0.25">
      <c r="A1815" t="s">
        <v>371</v>
      </c>
      <c r="B1815" t="s">
        <v>6</v>
      </c>
      <c r="C1815" t="s">
        <v>9</v>
      </c>
      <c r="D1815" t="s">
        <v>6</v>
      </c>
      <c r="E1815" t="s">
        <v>12</v>
      </c>
      <c r="F1815">
        <v>2037</v>
      </c>
      <c r="G1815">
        <v>4013.7569199999998</v>
      </c>
      <c r="H1815">
        <v>0.01</v>
      </c>
      <c r="I1815">
        <v>-1</v>
      </c>
    </row>
    <row r="1816" spans="1:9" hidden="1" x14ac:dyDescent="0.25">
      <c r="A1816" t="s">
        <v>371</v>
      </c>
      <c r="B1816" t="s">
        <v>6</v>
      </c>
      <c r="C1816" t="s">
        <v>9</v>
      </c>
      <c r="D1816" t="s">
        <v>6</v>
      </c>
      <c r="E1816" t="s">
        <v>12</v>
      </c>
      <c r="F1816">
        <v>2038</v>
      </c>
      <c r="G1816">
        <v>4013.7569199999998</v>
      </c>
      <c r="H1816">
        <v>0.01</v>
      </c>
      <c r="I1816">
        <v>-1</v>
      </c>
    </row>
    <row r="1817" spans="1:9" hidden="1" x14ac:dyDescent="0.25">
      <c r="A1817" t="s">
        <v>371</v>
      </c>
      <c r="B1817" t="s">
        <v>6</v>
      </c>
      <c r="C1817" t="s">
        <v>9</v>
      </c>
      <c r="D1817" t="s">
        <v>6</v>
      </c>
      <c r="E1817" t="s">
        <v>12</v>
      </c>
      <c r="F1817">
        <v>2039</v>
      </c>
      <c r="G1817">
        <v>4013.7569199999998</v>
      </c>
      <c r="H1817">
        <v>0.01</v>
      </c>
      <c r="I1817">
        <v>-1</v>
      </c>
    </row>
    <row r="1818" spans="1:9" hidden="1" x14ac:dyDescent="0.25">
      <c r="A1818" t="s">
        <v>371</v>
      </c>
      <c r="B1818" t="s">
        <v>6</v>
      </c>
      <c r="C1818" t="s">
        <v>9</v>
      </c>
      <c r="D1818" t="s">
        <v>6</v>
      </c>
      <c r="E1818" t="s">
        <v>12</v>
      </c>
      <c r="F1818">
        <v>2040</v>
      </c>
      <c r="G1818">
        <v>4013.7569199999998</v>
      </c>
      <c r="H1818">
        <v>0.01</v>
      </c>
      <c r="I1818">
        <v>-1</v>
      </c>
    </row>
    <row r="1819" spans="1:9" hidden="1" x14ac:dyDescent="0.25">
      <c r="A1819" t="s">
        <v>371</v>
      </c>
      <c r="B1819" t="s">
        <v>6</v>
      </c>
      <c r="C1819" t="s">
        <v>9</v>
      </c>
      <c r="D1819" t="s">
        <v>6</v>
      </c>
      <c r="E1819" t="s">
        <v>12</v>
      </c>
      <c r="F1819">
        <v>2041</v>
      </c>
      <c r="G1819">
        <v>4013.7569199999998</v>
      </c>
      <c r="H1819">
        <v>0.01</v>
      </c>
      <c r="I1819">
        <v>-1</v>
      </c>
    </row>
    <row r="1820" spans="1:9" hidden="1" x14ac:dyDescent="0.25">
      <c r="A1820" t="s">
        <v>371</v>
      </c>
      <c r="B1820" t="s">
        <v>6</v>
      </c>
      <c r="C1820" t="s">
        <v>8</v>
      </c>
      <c r="D1820" t="s">
        <v>6</v>
      </c>
      <c r="E1820" t="s">
        <v>10</v>
      </c>
      <c r="F1820">
        <v>2024</v>
      </c>
      <c r="G1820">
        <v>4013.7569199999998</v>
      </c>
      <c r="H1820">
        <v>0.01</v>
      </c>
      <c r="I1820">
        <v>-1</v>
      </c>
    </row>
    <row r="1821" spans="1:9" hidden="1" x14ac:dyDescent="0.25">
      <c r="A1821" t="s">
        <v>371</v>
      </c>
      <c r="B1821" t="s">
        <v>6</v>
      </c>
      <c r="C1821" t="s">
        <v>8</v>
      </c>
      <c r="D1821" t="s">
        <v>6</v>
      </c>
      <c r="E1821" t="s">
        <v>10</v>
      </c>
      <c r="F1821">
        <v>2025</v>
      </c>
      <c r="G1821">
        <v>4013.7569199999998</v>
      </c>
      <c r="H1821">
        <v>0.01</v>
      </c>
      <c r="I1821">
        <v>-1</v>
      </c>
    </row>
    <row r="1822" spans="1:9" hidden="1" x14ac:dyDescent="0.25">
      <c r="A1822" t="s">
        <v>371</v>
      </c>
      <c r="B1822" t="s">
        <v>6</v>
      </c>
      <c r="C1822" t="s">
        <v>8</v>
      </c>
      <c r="D1822" t="s">
        <v>6</v>
      </c>
      <c r="E1822" t="s">
        <v>10</v>
      </c>
      <c r="F1822">
        <v>2026</v>
      </c>
      <c r="G1822">
        <v>4013.7569199999998</v>
      </c>
      <c r="H1822">
        <v>0.01</v>
      </c>
      <c r="I1822">
        <v>-1</v>
      </c>
    </row>
    <row r="1823" spans="1:9" hidden="1" x14ac:dyDescent="0.25">
      <c r="A1823" t="s">
        <v>371</v>
      </c>
      <c r="B1823" t="s">
        <v>6</v>
      </c>
      <c r="C1823" t="s">
        <v>8</v>
      </c>
      <c r="D1823" t="s">
        <v>6</v>
      </c>
      <c r="E1823" t="s">
        <v>10</v>
      </c>
      <c r="F1823">
        <v>2027</v>
      </c>
      <c r="G1823">
        <v>4013.7569199999998</v>
      </c>
      <c r="H1823">
        <v>0.01</v>
      </c>
      <c r="I1823">
        <v>-1</v>
      </c>
    </row>
    <row r="1824" spans="1:9" hidden="1" x14ac:dyDescent="0.25">
      <c r="A1824" t="s">
        <v>371</v>
      </c>
      <c r="B1824" t="s">
        <v>6</v>
      </c>
      <c r="C1824" t="s">
        <v>8</v>
      </c>
      <c r="D1824" t="s">
        <v>6</v>
      </c>
      <c r="E1824" t="s">
        <v>10</v>
      </c>
      <c r="F1824">
        <v>2028</v>
      </c>
      <c r="G1824">
        <v>4013.7569199999998</v>
      </c>
      <c r="H1824">
        <v>0.01</v>
      </c>
      <c r="I1824">
        <v>-1</v>
      </c>
    </row>
    <row r="1825" spans="1:9" hidden="1" x14ac:dyDescent="0.25">
      <c r="A1825" t="s">
        <v>371</v>
      </c>
      <c r="B1825" t="s">
        <v>6</v>
      </c>
      <c r="C1825" t="s">
        <v>8</v>
      </c>
      <c r="D1825" t="s">
        <v>6</v>
      </c>
      <c r="E1825" t="s">
        <v>10</v>
      </c>
      <c r="F1825">
        <v>2029</v>
      </c>
      <c r="G1825">
        <v>4013.7569199999998</v>
      </c>
      <c r="H1825">
        <v>0.01</v>
      </c>
      <c r="I1825">
        <v>-1</v>
      </c>
    </row>
    <row r="1826" spans="1:9" hidden="1" x14ac:dyDescent="0.25">
      <c r="A1826" t="s">
        <v>371</v>
      </c>
      <c r="B1826" t="s">
        <v>6</v>
      </c>
      <c r="C1826" t="s">
        <v>8</v>
      </c>
      <c r="D1826" t="s">
        <v>6</v>
      </c>
      <c r="E1826" t="s">
        <v>10</v>
      </c>
      <c r="F1826">
        <v>2030</v>
      </c>
      <c r="G1826">
        <v>4013.7569199999998</v>
      </c>
      <c r="H1826">
        <v>0.01</v>
      </c>
      <c r="I1826">
        <v>-1</v>
      </c>
    </row>
    <row r="1827" spans="1:9" hidden="1" x14ac:dyDescent="0.25">
      <c r="A1827" t="s">
        <v>371</v>
      </c>
      <c r="B1827" t="s">
        <v>6</v>
      </c>
      <c r="C1827" t="s">
        <v>8</v>
      </c>
      <c r="D1827" t="s">
        <v>6</v>
      </c>
      <c r="E1827" t="s">
        <v>10</v>
      </c>
      <c r="F1827">
        <v>2031</v>
      </c>
      <c r="G1827">
        <v>4013.7569199999998</v>
      </c>
      <c r="H1827">
        <v>0.01</v>
      </c>
      <c r="I1827">
        <v>-1</v>
      </c>
    </row>
    <row r="1828" spans="1:9" hidden="1" x14ac:dyDescent="0.25">
      <c r="A1828" t="s">
        <v>371</v>
      </c>
      <c r="B1828" t="s">
        <v>6</v>
      </c>
      <c r="C1828" t="s">
        <v>8</v>
      </c>
      <c r="D1828" t="s">
        <v>6</v>
      </c>
      <c r="E1828" t="s">
        <v>10</v>
      </c>
      <c r="F1828">
        <v>2032</v>
      </c>
      <c r="G1828">
        <v>4013.7569199999998</v>
      </c>
      <c r="H1828">
        <v>0.01</v>
      </c>
      <c r="I1828">
        <v>-1</v>
      </c>
    </row>
    <row r="1829" spans="1:9" hidden="1" x14ac:dyDescent="0.25">
      <c r="A1829" t="s">
        <v>371</v>
      </c>
      <c r="B1829" t="s">
        <v>6</v>
      </c>
      <c r="C1829" t="s">
        <v>8</v>
      </c>
      <c r="D1829" t="s">
        <v>6</v>
      </c>
      <c r="E1829" t="s">
        <v>10</v>
      </c>
      <c r="F1829">
        <v>2033</v>
      </c>
      <c r="G1829">
        <v>4013.7569199999998</v>
      </c>
      <c r="H1829">
        <v>0.01</v>
      </c>
      <c r="I1829">
        <v>-1</v>
      </c>
    </row>
    <row r="1830" spans="1:9" hidden="1" x14ac:dyDescent="0.25">
      <c r="A1830" t="s">
        <v>371</v>
      </c>
      <c r="B1830" t="s">
        <v>6</v>
      </c>
      <c r="C1830" t="s">
        <v>8</v>
      </c>
      <c r="D1830" t="s">
        <v>6</v>
      </c>
      <c r="E1830" t="s">
        <v>10</v>
      </c>
      <c r="F1830">
        <v>2034</v>
      </c>
      <c r="G1830">
        <v>4013.7569199999998</v>
      </c>
      <c r="H1830">
        <v>0.01</v>
      </c>
      <c r="I1830">
        <v>-1</v>
      </c>
    </row>
    <row r="1831" spans="1:9" hidden="1" x14ac:dyDescent="0.25">
      <c r="A1831" t="s">
        <v>371</v>
      </c>
      <c r="B1831" t="s">
        <v>6</v>
      </c>
      <c r="C1831" t="s">
        <v>8</v>
      </c>
      <c r="D1831" t="s">
        <v>6</v>
      </c>
      <c r="E1831" t="s">
        <v>10</v>
      </c>
      <c r="F1831">
        <v>2035</v>
      </c>
      <c r="G1831">
        <v>4013.7569199999998</v>
      </c>
      <c r="H1831">
        <v>0.01</v>
      </c>
      <c r="I1831">
        <v>-1</v>
      </c>
    </row>
    <row r="1832" spans="1:9" hidden="1" x14ac:dyDescent="0.25">
      <c r="A1832" t="s">
        <v>371</v>
      </c>
      <c r="B1832" t="s">
        <v>6</v>
      </c>
      <c r="C1832" t="s">
        <v>8</v>
      </c>
      <c r="D1832" t="s">
        <v>6</v>
      </c>
      <c r="E1832" t="s">
        <v>10</v>
      </c>
      <c r="F1832">
        <v>2036</v>
      </c>
      <c r="G1832">
        <v>4013.7569199999998</v>
      </c>
      <c r="H1832">
        <v>0.01</v>
      </c>
      <c r="I1832">
        <v>-1</v>
      </c>
    </row>
    <row r="1833" spans="1:9" hidden="1" x14ac:dyDescent="0.25">
      <c r="A1833" t="s">
        <v>371</v>
      </c>
      <c r="B1833" t="s">
        <v>6</v>
      </c>
      <c r="C1833" t="s">
        <v>8</v>
      </c>
      <c r="D1833" t="s">
        <v>6</v>
      </c>
      <c r="E1833" t="s">
        <v>10</v>
      </c>
      <c r="F1833">
        <v>2037</v>
      </c>
      <c r="G1833">
        <v>4013.7569199999998</v>
      </c>
      <c r="H1833">
        <v>0.01</v>
      </c>
      <c r="I1833">
        <v>-1</v>
      </c>
    </row>
    <row r="1834" spans="1:9" hidden="1" x14ac:dyDescent="0.25">
      <c r="A1834" t="s">
        <v>371</v>
      </c>
      <c r="B1834" t="s">
        <v>6</v>
      </c>
      <c r="C1834" t="s">
        <v>8</v>
      </c>
      <c r="D1834" t="s">
        <v>6</v>
      </c>
      <c r="E1834" t="s">
        <v>10</v>
      </c>
      <c r="F1834">
        <v>2038</v>
      </c>
      <c r="G1834">
        <v>4013.7569199999998</v>
      </c>
      <c r="H1834">
        <v>0.01</v>
      </c>
      <c r="I1834">
        <v>-1</v>
      </c>
    </row>
    <row r="1835" spans="1:9" hidden="1" x14ac:dyDescent="0.25">
      <c r="A1835" t="s">
        <v>371</v>
      </c>
      <c r="B1835" t="s">
        <v>6</v>
      </c>
      <c r="C1835" t="s">
        <v>8</v>
      </c>
      <c r="D1835" t="s">
        <v>6</v>
      </c>
      <c r="E1835" t="s">
        <v>10</v>
      </c>
      <c r="F1835">
        <v>2039</v>
      </c>
      <c r="G1835">
        <v>4013.7569199999998</v>
      </c>
      <c r="H1835">
        <v>0.01</v>
      </c>
      <c r="I1835">
        <v>-1</v>
      </c>
    </row>
    <row r="1836" spans="1:9" hidden="1" x14ac:dyDescent="0.25">
      <c r="A1836" t="s">
        <v>371</v>
      </c>
      <c r="B1836" t="s">
        <v>6</v>
      </c>
      <c r="C1836" t="s">
        <v>8</v>
      </c>
      <c r="D1836" t="s">
        <v>6</v>
      </c>
      <c r="E1836" t="s">
        <v>10</v>
      </c>
      <c r="F1836">
        <v>2040</v>
      </c>
      <c r="G1836">
        <v>4013.7569199999998</v>
      </c>
      <c r="H1836">
        <v>0.01</v>
      </c>
      <c r="I1836">
        <v>-1</v>
      </c>
    </row>
    <row r="1837" spans="1:9" hidden="1" x14ac:dyDescent="0.25">
      <c r="A1837" t="s">
        <v>371</v>
      </c>
      <c r="B1837" t="s">
        <v>6</v>
      </c>
      <c r="C1837" t="s">
        <v>8</v>
      </c>
      <c r="D1837" t="s">
        <v>6</v>
      </c>
      <c r="E1837" t="s">
        <v>10</v>
      </c>
      <c r="F1837">
        <v>2041</v>
      </c>
      <c r="G1837">
        <v>4013.7569199999998</v>
      </c>
      <c r="H1837">
        <v>0.01</v>
      </c>
      <c r="I1837">
        <v>-1</v>
      </c>
    </row>
    <row r="1838" spans="1:9" hidden="1" x14ac:dyDescent="0.25">
      <c r="A1838" t="s">
        <v>371</v>
      </c>
      <c r="B1838" t="s">
        <v>6</v>
      </c>
      <c r="C1838" t="s">
        <v>8</v>
      </c>
      <c r="D1838" t="s">
        <v>6</v>
      </c>
      <c r="E1838" t="s">
        <v>11</v>
      </c>
      <c r="F1838">
        <v>2024</v>
      </c>
      <c r="G1838">
        <v>4013.7569199999998</v>
      </c>
      <c r="H1838">
        <v>0.01</v>
      </c>
      <c r="I1838">
        <v>-1</v>
      </c>
    </row>
    <row r="1839" spans="1:9" hidden="1" x14ac:dyDescent="0.25">
      <c r="A1839" t="s">
        <v>371</v>
      </c>
      <c r="B1839" t="s">
        <v>6</v>
      </c>
      <c r="C1839" t="s">
        <v>8</v>
      </c>
      <c r="D1839" t="s">
        <v>6</v>
      </c>
      <c r="E1839" t="s">
        <v>11</v>
      </c>
      <c r="F1839">
        <v>2025</v>
      </c>
      <c r="G1839">
        <v>4013.7569199999998</v>
      </c>
      <c r="H1839">
        <v>0.01</v>
      </c>
      <c r="I1839">
        <v>-1</v>
      </c>
    </row>
    <row r="1840" spans="1:9" hidden="1" x14ac:dyDescent="0.25">
      <c r="A1840" t="s">
        <v>371</v>
      </c>
      <c r="B1840" t="s">
        <v>6</v>
      </c>
      <c r="C1840" t="s">
        <v>8</v>
      </c>
      <c r="D1840" t="s">
        <v>6</v>
      </c>
      <c r="E1840" t="s">
        <v>11</v>
      </c>
      <c r="F1840">
        <v>2026</v>
      </c>
      <c r="G1840">
        <v>4013.7569199999998</v>
      </c>
      <c r="H1840">
        <v>0.01</v>
      </c>
      <c r="I1840">
        <v>-1</v>
      </c>
    </row>
    <row r="1841" spans="1:9" hidden="1" x14ac:dyDescent="0.25">
      <c r="A1841" t="s">
        <v>371</v>
      </c>
      <c r="B1841" t="s">
        <v>6</v>
      </c>
      <c r="C1841" t="s">
        <v>8</v>
      </c>
      <c r="D1841" t="s">
        <v>6</v>
      </c>
      <c r="E1841" t="s">
        <v>11</v>
      </c>
      <c r="F1841">
        <v>2027</v>
      </c>
      <c r="G1841">
        <v>4013.7569199999998</v>
      </c>
      <c r="H1841">
        <v>0.01</v>
      </c>
      <c r="I1841">
        <v>-1</v>
      </c>
    </row>
    <row r="1842" spans="1:9" hidden="1" x14ac:dyDescent="0.25">
      <c r="A1842" t="s">
        <v>371</v>
      </c>
      <c r="B1842" t="s">
        <v>6</v>
      </c>
      <c r="C1842" t="s">
        <v>8</v>
      </c>
      <c r="D1842" t="s">
        <v>6</v>
      </c>
      <c r="E1842" t="s">
        <v>11</v>
      </c>
      <c r="F1842">
        <v>2028</v>
      </c>
      <c r="G1842">
        <v>4013.7569199999998</v>
      </c>
      <c r="H1842">
        <v>0.01</v>
      </c>
      <c r="I1842">
        <v>-1</v>
      </c>
    </row>
    <row r="1843" spans="1:9" hidden="1" x14ac:dyDescent="0.25">
      <c r="A1843" t="s">
        <v>371</v>
      </c>
      <c r="B1843" t="s">
        <v>6</v>
      </c>
      <c r="C1843" t="s">
        <v>8</v>
      </c>
      <c r="D1843" t="s">
        <v>6</v>
      </c>
      <c r="E1843" t="s">
        <v>11</v>
      </c>
      <c r="F1843">
        <v>2029</v>
      </c>
      <c r="G1843">
        <v>4013.7569199999998</v>
      </c>
      <c r="H1843">
        <v>0.01</v>
      </c>
      <c r="I1843">
        <v>-1</v>
      </c>
    </row>
    <row r="1844" spans="1:9" hidden="1" x14ac:dyDescent="0.25">
      <c r="A1844" t="s">
        <v>371</v>
      </c>
      <c r="B1844" t="s">
        <v>6</v>
      </c>
      <c r="C1844" t="s">
        <v>8</v>
      </c>
      <c r="D1844" t="s">
        <v>6</v>
      </c>
      <c r="E1844" t="s">
        <v>11</v>
      </c>
      <c r="F1844">
        <v>2030</v>
      </c>
      <c r="G1844">
        <v>4013.7569199999998</v>
      </c>
      <c r="H1844">
        <v>0.01</v>
      </c>
      <c r="I1844">
        <v>-1</v>
      </c>
    </row>
    <row r="1845" spans="1:9" hidden="1" x14ac:dyDescent="0.25">
      <c r="A1845" t="s">
        <v>371</v>
      </c>
      <c r="B1845" t="s">
        <v>6</v>
      </c>
      <c r="C1845" t="s">
        <v>8</v>
      </c>
      <c r="D1845" t="s">
        <v>6</v>
      </c>
      <c r="E1845" t="s">
        <v>11</v>
      </c>
      <c r="F1845">
        <v>2031</v>
      </c>
      <c r="G1845">
        <v>4013.7569199999998</v>
      </c>
      <c r="H1845">
        <v>0.01</v>
      </c>
      <c r="I1845">
        <v>-1</v>
      </c>
    </row>
    <row r="1846" spans="1:9" hidden="1" x14ac:dyDescent="0.25">
      <c r="A1846" t="s">
        <v>371</v>
      </c>
      <c r="B1846" t="s">
        <v>6</v>
      </c>
      <c r="C1846" t="s">
        <v>8</v>
      </c>
      <c r="D1846" t="s">
        <v>6</v>
      </c>
      <c r="E1846" t="s">
        <v>11</v>
      </c>
      <c r="F1846">
        <v>2032</v>
      </c>
      <c r="G1846">
        <v>4013.7569199999998</v>
      </c>
      <c r="H1846">
        <v>0.01</v>
      </c>
      <c r="I1846">
        <v>-1</v>
      </c>
    </row>
    <row r="1847" spans="1:9" hidden="1" x14ac:dyDescent="0.25">
      <c r="A1847" t="s">
        <v>371</v>
      </c>
      <c r="B1847" t="s">
        <v>6</v>
      </c>
      <c r="C1847" t="s">
        <v>8</v>
      </c>
      <c r="D1847" t="s">
        <v>6</v>
      </c>
      <c r="E1847" t="s">
        <v>11</v>
      </c>
      <c r="F1847">
        <v>2033</v>
      </c>
      <c r="G1847">
        <v>4013.7569199999998</v>
      </c>
      <c r="H1847">
        <v>0.01</v>
      </c>
      <c r="I1847">
        <v>-1</v>
      </c>
    </row>
    <row r="1848" spans="1:9" hidden="1" x14ac:dyDescent="0.25">
      <c r="A1848" t="s">
        <v>371</v>
      </c>
      <c r="B1848" t="s">
        <v>6</v>
      </c>
      <c r="C1848" t="s">
        <v>8</v>
      </c>
      <c r="D1848" t="s">
        <v>6</v>
      </c>
      <c r="E1848" t="s">
        <v>11</v>
      </c>
      <c r="F1848">
        <v>2034</v>
      </c>
      <c r="G1848">
        <v>4013.7569199999998</v>
      </c>
      <c r="H1848">
        <v>0.01</v>
      </c>
      <c r="I1848">
        <v>-1</v>
      </c>
    </row>
    <row r="1849" spans="1:9" hidden="1" x14ac:dyDescent="0.25">
      <c r="A1849" t="s">
        <v>371</v>
      </c>
      <c r="B1849" t="s">
        <v>6</v>
      </c>
      <c r="C1849" t="s">
        <v>8</v>
      </c>
      <c r="D1849" t="s">
        <v>6</v>
      </c>
      <c r="E1849" t="s">
        <v>11</v>
      </c>
      <c r="F1849">
        <v>2035</v>
      </c>
      <c r="G1849">
        <v>4013.7569199999998</v>
      </c>
      <c r="H1849">
        <v>0.01</v>
      </c>
      <c r="I1849">
        <v>-1</v>
      </c>
    </row>
    <row r="1850" spans="1:9" hidden="1" x14ac:dyDescent="0.25">
      <c r="A1850" t="s">
        <v>371</v>
      </c>
      <c r="B1850" t="s">
        <v>6</v>
      </c>
      <c r="C1850" t="s">
        <v>8</v>
      </c>
      <c r="D1850" t="s">
        <v>6</v>
      </c>
      <c r="E1850" t="s">
        <v>11</v>
      </c>
      <c r="F1850">
        <v>2036</v>
      </c>
      <c r="G1850">
        <v>4013.7569199999998</v>
      </c>
      <c r="H1850">
        <v>0.01</v>
      </c>
      <c r="I1850">
        <v>-1</v>
      </c>
    </row>
    <row r="1851" spans="1:9" hidden="1" x14ac:dyDescent="0.25">
      <c r="A1851" t="s">
        <v>371</v>
      </c>
      <c r="B1851" t="s">
        <v>6</v>
      </c>
      <c r="C1851" t="s">
        <v>8</v>
      </c>
      <c r="D1851" t="s">
        <v>6</v>
      </c>
      <c r="E1851" t="s">
        <v>11</v>
      </c>
      <c r="F1851">
        <v>2037</v>
      </c>
      <c r="G1851">
        <v>4013.7569199999998</v>
      </c>
      <c r="H1851">
        <v>0.01</v>
      </c>
      <c r="I1851">
        <v>-1</v>
      </c>
    </row>
    <row r="1852" spans="1:9" hidden="1" x14ac:dyDescent="0.25">
      <c r="A1852" t="s">
        <v>371</v>
      </c>
      <c r="B1852" t="s">
        <v>6</v>
      </c>
      <c r="C1852" t="s">
        <v>8</v>
      </c>
      <c r="D1852" t="s">
        <v>6</v>
      </c>
      <c r="E1852" t="s">
        <v>11</v>
      </c>
      <c r="F1852">
        <v>2038</v>
      </c>
      <c r="G1852">
        <v>4013.7569199999998</v>
      </c>
      <c r="H1852">
        <v>0.01</v>
      </c>
      <c r="I1852">
        <v>-1</v>
      </c>
    </row>
    <row r="1853" spans="1:9" hidden="1" x14ac:dyDescent="0.25">
      <c r="A1853" t="s">
        <v>371</v>
      </c>
      <c r="B1853" t="s">
        <v>6</v>
      </c>
      <c r="C1853" t="s">
        <v>8</v>
      </c>
      <c r="D1853" t="s">
        <v>6</v>
      </c>
      <c r="E1853" t="s">
        <v>11</v>
      </c>
      <c r="F1853">
        <v>2039</v>
      </c>
      <c r="G1853">
        <v>4013.7569199999998</v>
      </c>
      <c r="H1853">
        <v>0.01</v>
      </c>
      <c r="I1853">
        <v>-1</v>
      </c>
    </row>
    <row r="1854" spans="1:9" hidden="1" x14ac:dyDescent="0.25">
      <c r="A1854" t="s">
        <v>371</v>
      </c>
      <c r="B1854" t="s">
        <v>6</v>
      </c>
      <c r="C1854" t="s">
        <v>8</v>
      </c>
      <c r="D1854" t="s">
        <v>6</v>
      </c>
      <c r="E1854" t="s">
        <v>11</v>
      </c>
      <c r="F1854">
        <v>2040</v>
      </c>
      <c r="G1854">
        <v>4013.7569199999998</v>
      </c>
      <c r="H1854">
        <v>0.01</v>
      </c>
      <c r="I1854">
        <v>-1</v>
      </c>
    </row>
    <row r="1855" spans="1:9" hidden="1" x14ac:dyDescent="0.25">
      <c r="A1855" t="s">
        <v>371</v>
      </c>
      <c r="B1855" t="s">
        <v>6</v>
      </c>
      <c r="C1855" t="s">
        <v>8</v>
      </c>
      <c r="D1855" t="s">
        <v>6</v>
      </c>
      <c r="E1855" t="s">
        <v>11</v>
      </c>
      <c r="F1855">
        <v>2041</v>
      </c>
      <c r="G1855">
        <v>4013.7569199999998</v>
      </c>
      <c r="H1855">
        <v>0.01</v>
      </c>
      <c r="I1855">
        <v>-1</v>
      </c>
    </row>
    <row r="1856" spans="1:9" hidden="1" x14ac:dyDescent="0.25">
      <c r="A1856" t="s">
        <v>371</v>
      </c>
      <c r="B1856" t="s">
        <v>6</v>
      </c>
      <c r="C1856" t="s">
        <v>8</v>
      </c>
      <c r="D1856" t="s">
        <v>6</v>
      </c>
      <c r="E1856" t="s">
        <v>9</v>
      </c>
      <c r="F1856">
        <v>2024</v>
      </c>
      <c r="G1856">
        <v>4013.7569199999998</v>
      </c>
      <c r="H1856">
        <v>0.01</v>
      </c>
      <c r="I1856">
        <v>-1</v>
      </c>
    </row>
    <row r="1857" spans="1:9" hidden="1" x14ac:dyDescent="0.25">
      <c r="A1857" t="s">
        <v>371</v>
      </c>
      <c r="B1857" t="s">
        <v>6</v>
      </c>
      <c r="C1857" t="s">
        <v>8</v>
      </c>
      <c r="D1857" t="s">
        <v>6</v>
      </c>
      <c r="E1857" t="s">
        <v>9</v>
      </c>
      <c r="F1857">
        <v>2025</v>
      </c>
      <c r="G1857">
        <v>4013.7569199999998</v>
      </c>
      <c r="H1857">
        <v>0.01</v>
      </c>
      <c r="I1857">
        <v>-1</v>
      </c>
    </row>
    <row r="1858" spans="1:9" hidden="1" x14ac:dyDescent="0.25">
      <c r="A1858" t="s">
        <v>371</v>
      </c>
      <c r="B1858" t="s">
        <v>6</v>
      </c>
      <c r="C1858" t="s">
        <v>8</v>
      </c>
      <c r="D1858" t="s">
        <v>6</v>
      </c>
      <c r="E1858" t="s">
        <v>9</v>
      </c>
      <c r="F1858">
        <v>2026</v>
      </c>
      <c r="G1858">
        <v>4013.7569199999998</v>
      </c>
      <c r="H1858">
        <v>0.01</v>
      </c>
      <c r="I1858">
        <v>-1</v>
      </c>
    </row>
    <row r="1859" spans="1:9" hidden="1" x14ac:dyDescent="0.25">
      <c r="A1859" t="s">
        <v>371</v>
      </c>
      <c r="B1859" t="s">
        <v>6</v>
      </c>
      <c r="C1859" t="s">
        <v>8</v>
      </c>
      <c r="D1859" t="s">
        <v>6</v>
      </c>
      <c r="E1859" t="s">
        <v>9</v>
      </c>
      <c r="F1859">
        <v>2027</v>
      </c>
      <c r="G1859">
        <v>4013.7569199999998</v>
      </c>
      <c r="H1859">
        <v>0.01</v>
      </c>
      <c r="I1859">
        <v>-1</v>
      </c>
    </row>
    <row r="1860" spans="1:9" hidden="1" x14ac:dyDescent="0.25">
      <c r="A1860" t="s">
        <v>371</v>
      </c>
      <c r="B1860" t="s">
        <v>6</v>
      </c>
      <c r="C1860" t="s">
        <v>8</v>
      </c>
      <c r="D1860" t="s">
        <v>6</v>
      </c>
      <c r="E1860" t="s">
        <v>9</v>
      </c>
      <c r="F1860">
        <v>2028</v>
      </c>
      <c r="G1860">
        <v>4013.7569199999998</v>
      </c>
      <c r="H1860">
        <v>0.01</v>
      </c>
      <c r="I1860">
        <v>-1</v>
      </c>
    </row>
    <row r="1861" spans="1:9" hidden="1" x14ac:dyDescent="0.25">
      <c r="A1861" t="s">
        <v>371</v>
      </c>
      <c r="B1861" t="s">
        <v>6</v>
      </c>
      <c r="C1861" t="s">
        <v>8</v>
      </c>
      <c r="D1861" t="s">
        <v>6</v>
      </c>
      <c r="E1861" t="s">
        <v>9</v>
      </c>
      <c r="F1861">
        <v>2029</v>
      </c>
      <c r="G1861">
        <v>4013.7569199999998</v>
      </c>
      <c r="H1861">
        <v>0.01</v>
      </c>
      <c r="I1861">
        <v>-1</v>
      </c>
    </row>
    <row r="1862" spans="1:9" hidden="1" x14ac:dyDescent="0.25">
      <c r="A1862" t="s">
        <v>371</v>
      </c>
      <c r="B1862" t="s">
        <v>6</v>
      </c>
      <c r="C1862" t="s">
        <v>8</v>
      </c>
      <c r="D1862" t="s">
        <v>6</v>
      </c>
      <c r="E1862" t="s">
        <v>9</v>
      </c>
      <c r="F1862">
        <v>2030</v>
      </c>
      <c r="G1862">
        <v>4013.7569199999998</v>
      </c>
      <c r="H1862">
        <v>0.01</v>
      </c>
      <c r="I1862">
        <v>-1</v>
      </c>
    </row>
    <row r="1863" spans="1:9" hidden="1" x14ac:dyDescent="0.25">
      <c r="A1863" t="s">
        <v>371</v>
      </c>
      <c r="B1863" t="s">
        <v>6</v>
      </c>
      <c r="C1863" t="s">
        <v>8</v>
      </c>
      <c r="D1863" t="s">
        <v>6</v>
      </c>
      <c r="E1863" t="s">
        <v>9</v>
      </c>
      <c r="F1863">
        <v>2031</v>
      </c>
      <c r="G1863">
        <v>4013.7569199999998</v>
      </c>
      <c r="H1863">
        <v>0.01</v>
      </c>
      <c r="I1863">
        <v>-1</v>
      </c>
    </row>
    <row r="1864" spans="1:9" hidden="1" x14ac:dyDescent="0.25">
      <c r="A1864" t="s">
        <v>371</v>
      </c>
      <c r="B1864" t="s">
        <v>6</v>
      </c>
      <c r="C1864" t="s">
        <v>8</v>
      </c>
      <c r="D1864" t="s">
        <v>6</v>
      </c>
      <c r="E1864" t="s">
        <v>9</v>
      </c>
      <c r="F1864">
        <v>2032</v>
      </c>
      <c r="G1864">
        <v>4013.7569199999998</v>
      </c>
      <c r="H1864">
        <v>0.01</v>
      </c>
      <c r="I1864">
        <v>-1</v>
      </c>
    </row>
    <row r="1865" spans="1:9" hidden="1" x14ac:dyDescent="0.25">
      <c r="A1865" t="s">
        <v>371</v>
      </c>
      <c r="B1865" t="s">
        <v>6</v>
      </c>
      <c r="C1865" t="s">
        <v>8</v>
      </c>
      <c r="D1865" t="s">
        <v>6</v>
      </c>
      <c r="E1865" t="s">
        <v>9</v>
      </c>
      <c r="F1865">
        <v>2033</v>
      </c>
      <c r="G1865">
        <v>4013.7569199999998</v>
      </c>
      <c r="H1865">
        <v>0.01</v>
      </c>
      <c r="I1865">
        <v>-1</v>
      </c>
    </row>
    <row r="1866" spans="1:9" hidden="1" x14ac:dyDescent="0.25">
      <c r="A1866" t="s">
        <v>371</v>
      </c>
      <c r="B1866" t="s">
        <v>6</v>
      </c>
      <c r="C1866" t="s">
        <v>8</v>
      </c>
      <c r="D1866" t="s">
        <v>6</v>
      </c>
      <c r="E1866" t="s">
        <v>9</v>
      </c>
      <c r="F1866">
        <v>2034</v>
      </c>
      <c r="G1866">
        <v>4013.7569199999998</v>
      </c>
      <c r="H1866">
        <v>0.01</v>
      </c>
      <c r="I1866">
        <v>-1</v>
      </c>
    </row>
    <row r="1867" spans="1:9" hidden="1" x14ac:dyDescent="0.25">
      <c r="A1867" t="s">
        <v>371</v>
      </c>
      <c r="B1867" t="s">
        <v>6</v>
      </c>
      <c r="C1867" t="s">
        <v>8</v>
      </c>
      <c r="D1867" t="s">
        <v>6</v>
      </c>
      <c r="E1867" t="s">
        <v>9</v>
      </c>
      <c r="F1867">
        <v>2035</v>
      </c>
      <c r="G1867">
        <v>4013.7569199999998</v>
      </c>
      <c r="H1867">
        <v>0.01</v>
      </c>
      <c r="I1867">
        <v>-1</v>
      </c>
    </row>
    <row r="1868" spans="1:9" hidden="1" x14ac:dyDescent="0.25">
      <c r="A1868" t="s">
        <v>371</v>
      </c>
      <c r="B1868" t="s">
        <v>6</v>
      </c>
      <c r="C1868" t="s">
        <v>8</v>
      </c>
      <c r="D1868" t="s">
        <v>6</v>
      </c>
      <c r="E1868" t="s">
        <v>9</v>
      </c>
      <c r="F1868">
        <v>2036</v>
      </c>
      <c r="G1868">
        <v>4013.7569199999998</v>
      </c>
      <c r="H1868">
        <v>0.01</v>
      </c>
      <c r="I1868">
        <v>-1</v>
      </c>
    </row>
    <row r="1869" spans="1:9" hidden="1" x14ac:dyDescent="0.25">
      <c r="A1869" t="s">
        <v>371</v>
      </c>
      <c r="B1869" t="s">
        <v>6</v>
      </c>
      <c r="C1869" t="s">
        <v>8</v>
      </c>
      <c r="D1869" t="s">
        <v>6</v>
      </c>
      <c r="E1869" t="s">
        <v>9</v>
      </c>
      <c r="F1869">
        <v>2037</v>
      </c>
      <c r="G1869">
        <v>4013.7569199999998</v>
      </c>
      <c r="H1869">
        <v>0.01</v>
      </c>
      <c r="I1869">
        <v>-1</v>
      </c>
    </row>
    <row r="1870" spans="1:9" hidden="1" x14ac:dyDescent="0.25">
      <c r="A1870" t="s">
        <v>371</v>
      </c>
      <c r="B1870" t="s">
        <v>6</v>
      </c>
      <c r="C1870" t="s">
        <v>8</v>
      </c>
      <c r="D1870" t="s">
        <v>6</v>
      </c>
      <c r="E1870" t="s">
        <v>9</v>
      </c>
      <c r="F1870">
        <v>2038</v>
      </c>
      <c r="G1870">
        <v>4013.7569199999998</v>
      </c>
      <c r="H1870">
        <v>0.01</v>
      </c>
      <c r="I1870">
        <v>-1</v>
      </c>
    </row>
    <row r="1871" spans="1:9" hidden="1" x14ac:dyDescent="0.25">
      <c r="A1871" t="s">
        <v>371</v>
      </c>
      <c r="B1871" t="s">
        <v>6</v>
      </c>
      <c r="C1871" t="s">
        <v>8</v>
      </c>
      <c r="D1871" t="s">
        <v>6</v>
      </c>
      <c r="E1871" t="s">
        <v>9</v>
      </c>
      <c r="F1871">
        <v>2039</v>
      </c>
      <c r="G1871">
        <v>4013.7569199999998</v>
      </c>
      <c r="H1871">
        <v>0.01</v>
      </c>
      <c r="I1871">
        <v>-1</v>
      </c>
    </row>
    <row r="1872" spans="1:9" hidden="1" x14ac:dyDescent="0.25">
      <c r="A1872" t="s">
        <v>371</v>
      </c>
      <c r="B1872" t="s">
        <v>6</v>
      </c>
      <c r="C1872" t="s">
        <v>8</v>
      </c>
      <c r="D1872" t="s">
        <v>6</v>
      </c>
      <c r="E1872" t="s">
        <v>9</v>
      </c>
      <c r="F1872">
        <v>2040</v>
      </c>
      <c r="G1872">
        <v>4013.7569199999998</v>
      </c>
      <c r="H1872">
        <v>0.01</v>
      </c>
      <c r="I1872">
        <v>-1</v>
      </c>
    </row>
    <row r="1873" spans="1:9" hidden="1" x14ac:dyDescent="0.25">
      <c r="A1873" t="s">
        <v>371</v>
      </c>
      <c r="B1873" t="s">
        <v>6</v>
      </c>
      <c r="C1873" t="s">
        <v>8</v>
      </c>
      <c r="D1873" t="s">
        <v>6</v>
      </c>
      <c r="E1873" t="s">
        <v>9</v>
      </c>
      <c r="F1873">
        <v>2041</v>
      </c>
      <c r="G1873">
        <v>4013.7569199999998</v>
      </c>
      <c r="H1873">
        <v>0.01</v>
      </c>
      <c r="I1873">
        <v>-1</v>
      </c>
    </row>
    <row r="1874" spans="1:9" hidden="1" x14ac:dyDescent="0.25">
      <c r="A1874" t="s">
        <v>371</v>
      </c>
      <c r="B1874" t="s">
        <v>6</v>
      </c>
      <c r="C1874" t="s">
        <v>8</v>
      </c>
      <c r="D1874" t="s">
        <v>6</v>
      </c>
      <c r="E1874" t="s">
        <v>8</v>
      </c>
      <c r="F1874">
        <v>2024</v>
      </c>
      <c r="G1874">
        <v>4013.7569199999998</v>
      </c>
      <c r="H1874">
        <v>0.01</v>
      </c>
      <c r="I1874">
        <v>-1</v>
      </c>
    </row>
    <row r="1875" spans="1:9" hidden="1" x14ac:dyDescent="0.25">
      <c r="A1875" t="s">
        <v>371</v>
      </c>
      <c r="B1875" t="s">
        <v>6</v>
      </c>
      <c r="C1875" t="s">
        <v>8</v>
      </c>
      <c r="D1875" t="s">
        <v>6</v>
      </c>
      <c r="E1875" t="s">
        <v>8</v>
      </c>
      <c r="F1875">
        <v>2025</v>
      </c>
      <c r="G1875">
        <v>4013.7569199999998</v>
      </c>
      <c r="H1875">
        <v>0.01</v>
      </c>
      <c r="I1875">
        <v>-1</v>
      </c>
    </row>
    <row r="1876" spans="1:9" hidden="1" x14ac:dyDescent="0.25">
      <c r="A1876" t="s">
        <v>371</v>
      </c>
      <c r="B1876" t="s">
        <v>6</v>
      </c>
      <c r="C1876" t="s">
        <v>8</v>
      </c>
      <c r="D1876" t="s">
        <v>6</v>
      </c>
      <c r="E1876" t="s">
        <v>8</v>
      </c>
      <c r="F1876">
        <v>2026</v>
      </c>
      <c r="G1876">
        <v>4013.7569199999998</v>
      </c>
      <c r="H1876">
        <v>0.01</v>
      </c>
      <c r="I1876">
        <v>-1</v>
      </c>
    </row>
    <row r="1877" spans="1:9" hidden="1" x14ac:dyDescent="0.25">
      <c r="A1877" t="s">
        <v>371</v>
      </c>
      <c r="B1877" t="s">
        <v>6</v>
      </c>
      <c r="C1877" t="s">
        <v>8</v>
      </c>
      <c r="D1877" t="s">
        <v>6</v>
      </c>
      <c r="E1877" t="s">
        <v>8</v>
      </c>
      <c r="F1877">
        <v>2027</v>
      </c>
      <c r="G1877">
        <v>4013.7569199999998</v>
      </c>
      <c r="H1877">
        <v>0.01</v>
      </c>
      <c r="I1877">
        <v>-1</v>
      </c>
    </row>
    <row r="1878" spans="1:9" hidden="1" x14ac:dyDescent="0.25">
      <c r="A1878" t="s">
        <v>371</v>
      </c>
      <c r="B1878" t="s">
        <v>6</v>
      </c>
      <c r="C1878" t="s">
        <v>8</v>
      </c>
      <c r="D1878" t="s">
        <v>6</v>
      </c>
      <c r="E1878" t="s">
        <v>8</v>
      </c>
      <c r="F1878">
        <v>2028</v>
      </c>
      <c r="G1878">
        <v>4013.7569199999998</v>
      </c>
      <c r="H1878">
        <v>0.01</v>
      </c>
      <c r="I1878">
        <v>-1</v>
      </c>
    </row>
    <row r="1879" spans="1:9" hidden="1" x14ac:dyDescent="0.25">
      <c r="A1879" t="s">
        <v>371</v>
      </c>
      <c r="B1879" t="s">
        <v>6</v>
      </c>
      <c r="C1879" t="s">
        <v>8</v>
      </c>
      <c r="D1879" t="s">
        <v>6</v>
      </c>
      <c r="E1879" t="s">
        <v>8</v>
      </c>
      <c r="F1879">
        <v>2029</v>
      </c>
      <c r="G1879">
        <v>4013.7569199999998</v>
      </c>
      <c r="H1879">
        <v>0.01</v>
      </c>
      <c r="I1879">
        <v>-1</v>
      </c>
    </row>
    <row r="1880" spans="1:9" hidden="1" x14ac:dyDescent="0.25">
      <c r="A1880" t="s">
        <v>371</v>
      </c>
      <c r="B1880" t="s">
        <v>6</v>
      </c>
      <c r="C1880" t="s">
        <v>8</v>
      </c>
      <c r="D1880" t="s">
        <v>6</v>
      </c>
      <c r="E1880" t="s">
        <v>8</v>
      </c>
      <c r="F1880">
        <v>2030</v>
      </c>
      <c r="G1880">
        <v>4013.7569199999998</v>
      </c>
      <c r="H1880">
        <v>0.01</v>
      </c>
      <c r="I1880">
        <v>-1</v>
      </c>
    </row>
    <row r="1881" spans="1:9" hidden="1" x14ac:dyDescent="0.25">
      <c r="A1881" t="s">
        <v>371</v>
      </c>
      <c r="B1881" t="s">
        <v>6</v>
      </c>
      <c r="C1881" t="s">
        <v>8</v>
      </c>
      <c r="D1881" t="s">
        <v>6</v>
      </c>
      <c r="E1881" t="s">
        <v>8</v>
      </c>
      <c r="F1881">
        <v>2031</v>
      </c>
      <c r="G1881">
        <v>4013.7569199999998</v>
      </c>
      <c r="H1881">
        <v>0.01</v>
      </c>
      <c r="I1881">
        <v>-1</v>
      </c>
    </row>
    <row r="1882" spans="1:9" hidden="1" x14ac:dyDescent="0.25">
      <c r="A1882" t="s">
        <v>371</v>
      </c>
      <c r="B1882" t="s">
        <v>6</v>
      </c>
      <c r="C1882" t="s">
        <v>8</v>
      </c>
      <c r="D1882" t="s">
        <v>6</v>
      </c>
      <c r="E1882" t="s">
        <v>8</v>
      </c>
      <c r="F1882">
        <v>2032</v>
      </c>
      <c r="G1882">
        <v>4013.7569199999998</v>
      </c>
      <c r="H1882">
        <v>0.01</v>
      </c>
      <c r="I1882">
        <v>-1</v>
      </c>
    </row>
    <row r="1883" spans="1:9" hidden="1" x14ac:dyDescent="0.25">
      <c r="A1883" t="s">
        <v>371</v>
      </c>
      <c r="B1883" t="s">
        <v>6</v>
      </c>
      <c r="C1883" t="s">
        <v>8</v>
      </c>
      <c r="D1883" t="s">
        <v>6</v>
      </c>
      <c r="E1883" t="s">
        <v>8</v>
      </c>
      <c r="F1883">
        <v>2033</v>
      </c>
      <c r="G1883">
        <v>4013.7569199999998</v>
      </c>
      <c r="H1883">
        <v>0.01</v>
      </c>
      <c r="I1883">
        <v>-1</v>
      </c>
    </row>
    <row r="1884" spans="1:9" hidden="1" x14ac:dyDescent="0.25">
      <c r="A1884" t="s">
        <v>371</v>
      </c>
      <c r="B1884" t="s">
        <v>6</v>
      </c>
      <c r="C1884" t="s">
        <v>8</v>
      </c>
      <c r="D1884" t="s">
        <v>6</v>
      </c>
      <c r="E1884" t="s">
        <v>8</v>
      </c>
      <c r="F1884">
        <v>2034</v>
      </c>
      <c r="G1884">
        <v>4013.7569199999998</v>
      </c>
      <c r="H1884">
        <v>0.01</v>
      </c>
      <c r="I1884">
        <v>-1</v>
      </c>
    </row>
    <row r="1885" spans="1:9" hidden="1" x14ac:dyDescent="0.25">
      <c r="A1885" t="s">
        <v>371</v>
      </c>
      <c r="B1885" t="s">
        <v>6</v>
      </c>
      <c r="C1885" t="s">
        <v>8</v>
      </c>
      <c r="D1885" t="s">
        <v>6</v>
      </c>
      <c r="E1885" t="s">
        <v>8</v>
      </c>
      <c r="F1885">
        <v>2035</v>
      </c>
      <c r="G1885">
        <v>4013.7569199999998</v>
      </c>
      <c r="H1885">
        <v>0.01</v>
      </c>
      <c r="I1885">
        <v>-1</v>
      </c>
    </row>
    <row r="1886" spans="1:9" hidden="1" x14ac:dyDescent="0.25">
      <c r="A1886" t="s">
        <v>371</v>
      </c>
      <c r="B1886" t="s">
        <v>6</v>
      </c>
      <c r="C1886" t="s">
        <v>8</v>
      </c>
      <c r="D1886" t="s">
        <v>6</v>
      </c>
      <c r="E1886" t="s">
        <v>8</v>
      </c>
      <c r="F1886">
        <v>2036</v>
      </c>
      <c r="G1886">
        <v>4013.7569199999998</v>
      </c>
      <c r="H1886">
        <v>0.01</v>
      </c>
      <c r="I1886">
        <v>-1</v>
      </c>
    </row>
    <row r="1887" spans="1:9" hidden="1" x14ac:dyDescent="0.25">
      <c r="A1887" t="s">
        <v>371</v>
      </c>
      <c r="B1887" t="s">
        <v>6</v>
      </c>
      <c r="C1887" t="s">
        <v>8</v>
      </c>
      <c r="D1887" t="s">
        <v>6</v>
      </c>
      <c r="E1887" t="s">
        <v>8</v>
      </c>
      <c r="F1887">
        <v>2037</v>
      </c>
      <c r="G1887">
        <v>4013.7569199999998</v>
      </c>
      <c r="H1887">
        <v>0.01</v>
      </c>
      <c r="I1887">
        <v>-1</v>
      </c>
    </row>
    <row r="1888" spans="1:9" hidden="1" x14ac:dyDescent="0.25">
      <c r="A1888" t="s">
        <v>371</v>
      </c>
      <c r="B1888" t="s">
        <v>6</v>
      </c>
      <c r="C1888" t="s">
        <v>8</v>
      </c>
      <c r="D1888" t="s">
        <v>6</v>
      </c>
      <c r="E1888" t="s">
        <v>8</v>
      </c>
      <c r="F1888">
        <v>2038</v>
      </c>
      <c r="G1888">
        <v>4013.7569199999998</v>
      </c>
      <c r="H1888">
        <v>0.01</v>
      </c>
      <c r="I1888">
        <v>-1</v>
      </c>
    </row>
    <row r="1889" spans="1:9" hidden="1" x14ac:dyDescent="0.25">
      <c r="A1889" t="s">
        <v>371</v>
      </c>
      <c r="B1889" t="s">
        <v>6</v>
      </c>
      <c r="C1889" t="s">
        <v>8</v>
      </c>
      <c r="D1889" t="s">
        <v>6</v>
      </c>
      <c r="E1889" t="s">
        <v>8</v>
      </c>
      <c r="F1889">
        <v>2039</v>
      </c>
      <c r="G1889">
        <v>4013.7569199999998</v>
      </c>
      <c r="H1889">
        <v>0.01</v>
      </c>
      <c r="I1889">
        <v>-1</v>
      </c>
    </row>
    <row r="1890" spans="1:9" hidden="1" x14ac:dyDescent="0.25">
      <c r="A1890" t="s">
        <v>371</v>
      </c>
      <c r="B1890" t="s">
        <v>6</v>
      </c>
      <c r="C1890" t="s">
        <v>8</v>
      </c>
      <c r="D1890" t="s">
        <v>6</v>
      </c>
      <c r="E1890" t="s">
        <v>8</v>
      </c>
      <c r="F1890">
        <v>2040</v>
      </c>
      <c r="G1890">
        <v>4013.7569199999998</v>
      </c>
      <c r="H1890">
        <v>0.01</v>
      </c>
      <c r="I1890">
        <v>-1</v>
      </c>
    </row>
    <row r="1891" spans="1:9" hidden="1" x14ac:dyDescent="0.25">
      <c r="A1891" t="s">
        <v>371</v>
      </c>
      <c r="B1891" t="s">
        <v>6</v>
      </c>
      <c r="C1891" t="s">
        <v>8</v>
      </c>
      <c r="D1891" t="s">
        <v>6</v>
      </c>
      <c r="E1891" t="s">
        <v>8</v>
      </c>
      <c r="F1891">
        <v>2041</v>
      </c>
      <c r="G1891">
        <v>4013.7569199999998</v>
      </c>
      <c r="H1891">
        <v>0.01</v>
      </c>
      <c r="I1891">
        <v>-1</v>
      </c>
    </row>
    <row r="1892" spans="1:9" hidden="1" x14ac:dyDescent="0.25">
      <c r="A1892" t="s">
        <v>371</v>
      </c>
      <c r="B1892" t="s">
        <v>6</v>
      </c>
      <c r="C1892" t="s">
        <v>8</v>
      </c>
      <c r="D1892" t="s">
        <v>6</v>
      </c>
      <c r="E1892" t="s">
        <v>12</v>
      </c>
      <c r="F1892">
        <v>2024</v>
      </c>
      <c r="G1892">
        <v>4013.7569199999998</v>
      </c>
      <c r="H1892">
        <v>0.01</v>
      </c>
      <c r="I1892">
        <v>-1</v>
      </c>
    </row>
    <row r="1893" spans="1:9" hidden="1" x14ac:dyDescent="0.25">
      <c r="A1893" t="s">
        <v>371</v>
      </c>
      <c r="B1893" t="s">
        <v>6</v>
      </c>
      <c r="C1893" t="s">
        <v>8</v>
      </c>
      <c r="D1893" t="s">
        <v>6</v>
      </c>
      <c r="E1893" t="s">
        <v>12</v>
      </c>
      <c r="F1893">
        <v>2025</v>
      </c>
      <c r="G1893">
        <v>4013.7569199999998</v>
      </c>
      <c r="H1893">
        <v>0.01</v>
      </c>
      <c r="I1893">
        <v>-1</v>
      </c>
    </row>
    <row r="1894" spans="1:9" hidden="1" x14ac:dyDescent="0.25">
      <c r="A1894" t="s">
        <v>371</v>
      </c>
      <c r="B1894" t="s">
        <v>6</v>
      </c>
      <c r="C1894" t="s">
        <v>8</v>
      </c>
      <c r="D1894" t="s">
        <v>6</v>
      </c>
      <c r="E1894" t="s">
        <v>12</v>
      </c>
      <c r="F1894">
        <v>2026</v>
      </c>
      <c r="G1894">
        <v>4013.7569199999998</v>
      </c>
      <c r="H1894">
        <v>0.01</v>
      </c>
      <c r="I1894">
        <v>-1</v>
      </c>
    </row>
    <row r="1895" spans="1:9" hidden="1" x14ac:dyDescent="0.25">
      <c r="A1895" t="s">
        <v>371</v>
      </c>
      <c r="B1895" t="s">
        <v>6</v>
      </c>
      <c r="C1895" t="s">
        <v>8</v>
      </c>
      <c r="D1895" t="s">
        <v>6</v>
      </c>
      <c r="E1895" t="s">
        <v>12</v>
      </c>
      <c r="F1895">
        <v>2027</v>
      </c>
      <c r="G1895">
        <v>4013.7569199999998</v>
      </c>
      <c r="H1895">
        <v>0.01</v>
      </c>
      <c r="I1895">
        <v>-1</v>
      </c>
    </row>
    <row r="1896" spans="1:9" hidden="1" x14ac:dyDescent="0.25">
      <c r="A1896" t="s">
        <v>371</v>
      </c>
      <c r="B1896" t="s">
        <v>6</v>
      </c>
      <c r="C1896" t="s">
        <v>8</v>
      </c>
      <c r="D1896" t="s">
        <v>6</v>
      </c>
      <c r="E1896" t="s">
        <v>12</v>
      </c>
      <c r="F1896">
        <v>2028</v>
      </c>
      <c r="G1896">
        <v>4013.7569199999998</v>
      </c>
      <c r="H1896">
        <v>0.01</v>
      </c>
      <c r="I1896">
        <v>-1</v>
      </c>
    </row>
    <row r="1897" spans="1:9" hidden="1" x14ac:dyDescent="0.25">
      <c r="A1897" t="s">
        <v>371</v>
      </c>
      <c r="B1897" t="s">
        <v>6</v>
      </c>
      <c r="C1897" t="s">
        <v>8</v>
      </c>
      <c r="D1897" t="s">
        <v>6</v>
      </c>
      <c r="E1897" t="s">
        <v>12</v>
      </c>
      <c r="F1897">
        <v>2029</v>
      </c>
      <c r="G1897">
        <v>4013.7569199999998</v>
      </c>
      <c r="H1897">
        <v>0.01</v>
      </c>
      <c r="I1897">
        <v>-1</v>
      </c>
    </row>
    <row r="1898" spans="1:9" hidden="1" x14ac:dyDescent="0.25">
      <c r="A1898" t="s">
        <v>371</v>
      </c>
      <c r="B1898" t="s">
        <v>6</v>
      </c>
      <c r="C1898" t="s">
        <v>8</v>
      </c>
      <c r="D1898" t="s">
        <v>6</v>
      </c>
      <c r="E1898" t="s">
        <v>12</v>
      </c>
      <c r="F1898">
        <v>2030</v>
      </c>
      <c r="G1898">
        <v>4013.7569199999998</v>
      </c>
      <c r="H1898">
        <v>0.01</v>
      </c>
      <c r="I1898">
        <v>-1</v>
      </c>
    </row>
    <row r="1899" spans="1:9" hidden="1" x14ac:dyDescent="0.25">
      <c r="A1899" t="s">
        <v>371</v>
      </c>
      <c r="B1899" t="s">
        <v>6</v>
      </c>
      <c r="C1899" t="s">
        <v>8</v>
      </c>
      <c r="D1899" t="s">
        <v>6</v>
      </c>
      <c r="E1899" t="s">
        <v>12</v>
      </c>
      <c r="F1899">
        <v>2031</v>
      </c>
      <c r="G1899">
        <v>4013.7569199999998</v>
      </c>
      <c r="H1899">
        <v>0.01</v>
      </c>
      <c r="I1899">
        <v>-1</v>
      </c>
    </row>
    <row r="1900" spans="1:9" hidden="1" x14ac:dyDescent="0.25">
      <c r="A1900" t="s">
        <v>371</v>
      </c>
      <c r="B1900" t="s">
        <v>6</v>
      </c>
      <c r="C1900" t="s">
        <v>8</v>
      </c>
      <c r="D1900" t="s">
        <v>6</v>
      </c>
      <c r="E1900" t="s">
        <v>12</v>
      </c>
      <c r="F1900">
        <v>2032</v>
      </c>
      <c r="G1900">
        <v>4013.7569199999998</v>
      </c>
      <c r="H1900">
        <v>0.01</v>
      </c>
      <c r="I1900">
        <v>-1</v>
      </c>
    </row>
    <row r="1901" spans="1:9" hidden="1" x14ac:dyDescent="0.25">
      <c r="A1901" t="s">
        <v>371</v>
      </c>
      <c r="B1901" t="s">
        <v>6</v>
      </c>
      <c r="C1901" t="s">
        <v>8</v>
      </c>
      <c r="D1901" t="s">
        <v>6</v>
      </c>
      <c r="E1901" t="s">
        <v>12</v>
      </c>
      <c r="F1901">
        <v>2033</v>
      </c>
      <c r="G1901">
        <v>4013.7569199999998</v>
      </c>
      <c r="H1901">
        <v>0.01</v>
      </c>
      <c r="I1901">
        <v>-1</v>
      </c>
    </row>
    <row r="1902" spans="1:9" hidden="1" x14ac:dyDescent="0.25">
      <c r="A1902" t="s">
        <v>371</v>
      </c>
      <c r="B1902" t="s">
        <v>6</v>
      </c>
      <c r="C1902" t="s">
        <v>8</v>
      </c>
      <c r="D1902" t="s">
        <v>6</v>
      </c>
      <c r="E1902" t="s">
        <v>12</v>
      </c>
      <c r="F1902">
        <v>2034</v>
      </c>
      <c r="G1902">
        <v>4013.7569199999998</v>
      </c>
      <c r="H1902">
        <v>0.01</v>
      </c>
      <c r="I1902">
        <v>-1</v>
      </c>
    </row>
    <row r="1903" spans="1:9" hidden="1" x14ac:dyDescent="0.25">
      <c r="A1903" t="s">
        <v>371</v>
      </c>
      <c r="B1903" t="s">
        <v>6</v>
      </c>
      <c r="C1903" t="s">
        <v>8</v>
      </c>
      <c r="D1903" t="s">
        <v>6</v>
      </c>
      <c r="E1903" t="s">
        <v>12</v>
      </c>
      <c r="F1903">
        <v>2035</v>
      </c>
      <c r="G1903">
        <v>4013.7569199999998</v>
      </c>
      <c r="H1903">
        <v>0.01</v>
      </c>
      <c r="I1903">
        <v>-1</v>
      </c>
    </row>
    <row r="1904" spans="1:9" hidden="1" x14ac:dyDescent="0.25">
      <c r="A1904" t="s">
        <v>371</v>
      </c>
      <c r="B1904" t="s">
        <v>6</v>
      </c>
      <c r="C1904" t="s">
        <v>8</v>
      </c>
      <c r="D1904" t="s">
        <v>6</v>
      </c>
      <c r="E1904" t="s">
        <v>12</v>
      </c>
      <c r="F1904">
        <v>2036</v>
      </c>
      <c r="G1904">
        <v>4013.7569199999998</v>
      </c>
      <c r="H1904">
        <v>0.01</v>
      </c>
      <c r="I1904">
        <v>-1</v>
      </c>
    </row>
    <row r="1905" spans="1:9" hidden="1" x14ac:dyDescent="0.25">
      <c r="A1905" t="s">
        <v>371</v>
      </c>
      <c r="B1905" t="s">
        <v>6</v>
      </c>
      <c r="C1905" t="s">
        <v>8</v>
      </c>
      <c r="D1905" t="s">
        <v>6</v>
      </c>
      <c r="E1905" t="s">
        <v>12</v>
      </c>
      <c r="F1905">
        <v>2037</v>
      </c>
      <c r="G1905">
        <v>4013.7569199999998</v>
      </c>
      <c r="H1905">
        <v>0.01</v>
      </c>
      <c r="I1905">
        <v>-1</v>
      </c>
    </row>
    <row r="1906" spans="1:9" hidden="1" x14ac:dyDescent="0.25">
      <c r="A1906" t="s">
        <v>371</v>
      </c>
      <c r="B1906" t="s">
        <v>6</v>
      </c>
      <c r="C1906" t="s">
        <v>8</v>
      </c>
      <c r="D1906" t="s">
        <v>6</v>
      </c>
      <c r="E1906" t="s">
        <v>12</v>
      </c>
      <c r="F1906">
        <v>2038</v>
      </c>
      <c r="G1906">
        <v>4013.7569199999998</v>
      </c>
      <c r="H1906">
        <v>0.01</v>
      </c>
      <c r="I1906">
        <v>-1</v>
      </c>
    </row>
    <row r="1907" spans="1:9" hidden="1" x14ac:dyDescent="0.25">
      <c r="A1907" t="s">
        <v>371</v>
      </c>
      <c r="B1907" t="s">
        <v>6</v>
      </c>
      <c r="C1907" t="s">
        <v>8</v>
      </c>
      <c r="D1907" t="s">
        <v>6</v>
      </c>
      <c r="E1907" t="s">
        <v>12</v>
      </c>
      <c r="F1907">
        <v>2039</v>
      </c>
      <c r="G1907">
        <v>4013.7569199999998</v>
      </c>
      <c r="H1907">
        <v>0.01</v>
      </c>
      <c r="I1907">
        <v>-1</v>
      </c>
    </row>
    <row r="1908" spans="1:9" hidden="1" x14ac:dyDescent="0.25">
      <c r="A1908" t="s">
        <v>371</v>
      </c>
      <c r="B1908" t="s">
        <v>6</v>
      </c>
      <c r="C1908" t="s">
        <v>8</v>
      </c>
      <c r="D1908" t="s">
        <v>6</v>
      </c>
      <c r="E1908" t="s">
        <v>12</v>
      </c>
      <c r="F1908">
        <v>2040</v>
      </c>
      <c r="G1908">
        <v>4013.7569199999998</v>
      </c>
      <c r="H1908">
        <v>0.01</v>
      </c>
      <c r="I1908">
        <v>-1</v>
      </c>
    </row>
    <row r="1909" spans="1:9" hidden="1" x14ac:dyDescent="0.25">
      <c r="A1909" t="s">
        <v>371</v>
      </c>
      <c r="B1909" t="s">
        <v>6</v>
      </c>
      <c r="C1909" t="s">
        <v>8</v>
      </c>
      <c r="D1909" t="s">
        <v>6</v>
      </c>
      <c r="E1909" t="s">
        <v>12</v>
      </c>
      <c r="F1909">
        <v>2041</v>
      </c>
      <c r="G1909">
        <v>4013.7569199999998</v>
      </c>
      <c r="H1909">
        <v>0.01</v>
      </c>
      <c r="I1909">
        <v>-1</v>
      </c>
    </row>
    <row r="1910" spans="1:9" hidden="1" x14ac:dyDescent="0.25">
      <c r="A1910" t="s">
        <v>371</v>
      </c>
      <c r="B1910" t="s">
        <v>6</v>
      </c>
      <c r="C1910" t="s">
        <v>12</v>
      </c>
      <c r="D1910" t="s">
        <v>6</v>
      </c>
      <c r="E1910" t="s">
        <v>10</v>
      </c>
      <c r="F1910">
        <v>2024</v>
      </c>
      <c r="G1910">
        <v>4013.7569199999998</v>
      </c>
      <c r="H1910">
        <v>0.01</v>
      </c>
      <c r="I1910">
        <v>-1</v>
      </c>
    </row>
    <row r="1911" spans="1:9" hidden="1" x14ac:dyDescent="0.25">
      <c r="A1911" t="s">
        <v>371</v>
      </c>
      <c r="B1911" t="s">
        <v>6</v>
      </c>
      <c r="C1911" t="s">
        <v>12</v>
      </c>
      <c r="D1911" t="s">
        <v>6</v>
      </c>
      <c r="E1911" t="s">
        <v>10</v>
      </c>
      <c r="F1911">
        <v>2025</v>
      </c>
      <c r="G1911">
        <v>4013.7569199999998</v>
      </c>
      <c r="H1911">
        <v>0.01</v>
      </c>
      <c r="I1911">
        <v>-1</v>
      </c>
    </row>
    <row r="1912" spans="1:9" hidden="1" x14ac:dyDescent="0.25">
      <c r="A1912" t="s">
        <v>371</v>
      </c>
      <c r="B1912" t="s">
        <v>6</v>
      </c>
      <c r="C1912" t="s">
        <v>12</v>
      </c>
      <c r="D1912" t="s">
        <v>6</v>
      </c>
      <c r="E1912" t="s">
        <v>10</v>
      </c>
      <c r="F1912">
        <v>2026</v>
      </c>
      <c r="G1912">
        <v>4013.7569199999998</v>
      </c>
      <c r="H1912">
        <v>0.01</v>
      </c>
      <c r="I1912">
        <v>-1</v>
      </c>
    </row>
    <row r="1913" spans="1:9" hidden="1" x14ac:dyDescent="0.25">
      <c r="A1913" t="s">
        <v>371</v>
      </c>
      <c r="B1913" t="s">
        <v>6</v>
      </c>
      <c r="C1913" t="s">
        <v>12</v>
      </c>
      <c r="D1913" t="s">
        <v>6</v>
      </c>
      <c r="E1913" t="s">
        <v>10</v>
      </c>
      <c r="F1913">
        <v>2027</v>
      </c>
      <c r="G1913">
        <v>4013.7569199999998</v>
      </c>
      <c r="H1913">
        <v>0.01</v>
      </c>
      <c r="I1913">
        <v>-1</v>
      </c>
    </row>
    <row r="1914" spans="1:9" hidden="1" x14ac:dyDescent="0.25">
      <c r="A1914" t="s">
        <v>371</v>
      </c>
      <c r="B1914" t="s">
        <v>6</v>
      </c>
      <c r="C1914" t="s">
        <v>12</v>
      </c>
      <c r="D1914" t="s">
        <v>6</v>
      </c>
      <c r="E1914" t="s">
        <v>10</v>
      </c>
      <c r="F1914">
        <v>2028</v>
      </c>
      <c r="G1914">
        <v>4013.7569199999998</v>
      </c>
      <c r="H1914">
        <v>0.01</v>
      </c>
      <c r="I1914">
        <v>-1</v>
      </c>
    </row>
    <row r="1915" spans="1:9" hidden="1" x14ac:dyDescent="0.25">
      <c r="A1915" t="s">
        <v>371</v>
      </c>
      <c r="B1915" t="s">
        <v>6</v>
      </c>
      <c r="C1915" t="s">
        <v>12</v>
      </c>
      <c r="D1915" t="s">
        <v>6</v>
      </c>
      <c r="E1915" t="s">
        <v>10</v>
      </c>
      <c r="F1915">
        <v>2029</v>
      </c>
      <c r="G1915">
        <v>4013.7569199999998</v>
      </c>
      <c r="H1915">
        <v>0.01</v>
      </c>
      <c r="I1915">
        <v>-1</v>
      </c>
    </row>
    <row r="1916" spans="1:9" hidden="1" x14ac:dyDescent="0.25">
      <c r="A1916" t="s">
        <v>371</v>
      </c>
      <c r="B1916" t="s">
        <v>6</v>
      </c>
      <c r="C1916" t="s">
        <v>12</v>
      </c>
      <c r="D1916" t="s">
        <v>6</v>
      </c>
      <c r="E1916" t="s">
        <v>10</v>
      </c>
      <c r="F1916">
        <v>2030</v>
      </c>
      <c r="G1916">
        <v>4013.7569199999998</v>
      </c>
      <c r="H1916">
        <v>0.01</v>
      </c>
      <c r="I1916">
        <v>-1</v>
      </c>
    </row>
    <row r="1917" spans="1:9" hidden="1" x14ac:dyDescent="0.25">
      <c r="A1917" t="s">
        <v>371</v>
      </c>
      <c r="B1917" t="s">
        <v>6</v>
      </c>
      <c r="C1917" t="s">
        <v>12</v>
      </c>
      <c r="D1917" t="s">
        <v>6</v>
      </c>
      <c r="E1917" t="s">
        <v>10</v>
      </c>
      <c r="F1917">
        <v>2031</v>
      </c>
      <c r="G1917">
        <v>4013.7569199999998</v>
      </c>
      <c r="H1917">
        <v>0.01</v>
      </c>
      <c r="I1917">
        <v>-1</v>
      </c>
    </row>
    <row r="1918" spans="1:9" hidden="1" x14ac:dyDescent="0.25">
      <c r="A1918" t="s">
        <v>371</v>
      </c>
      <c r="B1918" t="s">
        <v>6</v>
      </c>
      <c r="C1918" t="s">
        <v>12</v>
      </c>
      <c r="D1918" t="s">
        <v>6</v>
      </c>
      <c r="E1918" t="s">
        <v>10</v>
      </c>
      <c r="F1918">
        <v>2032</v>
      </c>
      <c r="G1918">
        <v>4013.7569199999998</v>
      </c>
      <c r="H1918">
        <v>0.01</v>
      </c>
      <c r="I1918">
        <v>-1</v>
      </c>
    </row>
    <row r="1919" spans="1:9" hidden="1" x14ac:dyDescent="0.25">
      <c r="A1919" t="s">
        <v>371</v>
      </c>
      <c r="B1919" t="s">
        <v>6</v>
      </c>
      <c r="C1919" t="s">
        <v>12</v>
      </c>
      <c r="D1919" t="s">
        <v>6</v>
      </c>
      <c r="E1919" t="s">
        <v>10</v>
      </c>
      <c r="F1919">
        <v>2033</v>
      </c>
      <c r="G1919">
        <v>4013.7569199999998</v>
      </c>
      <c r="H1919">
        <v>0.01</v>
      </c>
      <c r="I1919">
        <v>-1</v>
      </c>
    </row>
    <row r="1920" spans="1:9" hidden="1" x14ac:dyDescent="0.25">
      <c r="A1920" t="s">
        <v>371</v>
      </c>
      <c r="B1920" t="s">
        <v>6</v>
      </c>
      <c r="C1920" t="s">
        <v>12</v>
      </c>
      <c r="D1920" t="s">
        <v>6</v>
      </c>
      <c r="E1920" t="s">
        <v>10</v>
      </c>
      <c r="F1920">
        <v>2034</v>
      </c>
      <c r="G1920">
        <v>4013.7569199999998</v>
      </c>
      <c r="H1920">
        <v>0.01</v>
      </c>
      <c r="I1920">
        <v>-1</v>
      </c>
    </row>
    <row r="1921" spans="1:9" hidden="1" x14ac:dyDescent="0.25">
      <c r="A1921" t="s">
        <v>371</v>
      </c>
      <c r="B1921" t="s">
        <v>6</v>
      </c>
      <c r="C1921" t="s">
        <v>12</v>
      </c>
      <c r="D1921" t="s">
        <v>6</v>
      </c>
      <c r="E1921" t="s">
        <v>10</v>
      </c>
      <c r="F1921">
        <v>2035</v>
      </c>
      <c r="G1921">
        <v>4013.7569199999998</v>
      </c>
      <c r="H1921">
        <v>0.01</v>
      </c>
      <c r="I1921">
        <v>-1</v>
      </c>
    </row>
    <row r="1922" spans="1:9" hidden="1" x14ac:dyDescent="0.25">
      <c r="A1922" t="s">
        <v>371</v>
      </c>
      <c r="B1922" t="s">
        <v>6</v>
      </c>
      <c r="C1922" t="s">
        <v>12</v>
      </c>
      <c r="D1922" t="s">
        <v>6</v>
      </c>
      <c r="E1922" t="s">
        <v>10</v>
      </c>
      <c r="F1922">
        <v>2036</v>
      </c>
      <c r="G1922">
        <v>4013.7569199999998</v>
      </c>
      <c r="H1922">
        <v>0.01</v>
      </c>
      <c r="I1922">
        <v>-1</v>
      </c>
    </row>
    <row r="1923" spans="1:9" hidden="1" x14ac:dyDescent="0.25">
      <c r="A1923" t="s">
        <v>371</v>
      </c>
      <c r="B1923" t="s">
        <v>6</v>
      </c>
      <c r="C1923" t="s">
        <v>12</v>
      </c>
      <c r="D1923" t="s">
        <v>6</v>
      </c>
      <c r="E1923" t="s">
        <v>10</v>
      </c>
      <c r="F1923">
        <v>2037</v>
      </c>
      <c r="G1923">
        <v>4013.7569199999998</v>
      </c>
      <c r="H1923">
        <v>0.01</v>
      </c>
      <c r="I1923">
        <v>-1</v>
      </c>
    </row>
    <row r="1924" spans="1:9" hidden="1" x14ac:dyDescent="0.25">
      <c r="A1924" t="s">
        <v>371</v>
      </c>
      <c r="B1924" t="s">
        <v>6</v>
      </c>
      <c r="C1924" t="s">
        <v>12</v>
      </c>
      <c r="D1924" t="s">
        <v>6</v>
      </c>
      <c r="E1924" t="s">
        <v>10</v>
      </c>
      <c r="F1924">
        <v>2038</v>
      </c>
      <c r="G1924">
        <v>4013.7569199999998</v>
      </c>
      <c r="H1924">
        <v>0.01</v>
      </c>
      <c r="I1924">
        <v>-1</v>
      </c>
    </row>
    <row r="1925" spans="1:9" hidden="1" x14ac:dyDescent="0.25">
      <c r="A1925" t="s">
        <v>371</v>
      </c>
      <c r="B1925" t="s">
        <v>6</v>
      </c>
      <c r="C1925" t="s">
        <v>12</v>
      </c>
      <c r="D1925" t="s">
        <v>6</v>
      </c>
      <c r="E1925" t="s">
        <v>10</v>
      </c>
      <c r="F1925">
        <v>2039</v>
      </c>
      <c r="G1925">
        <v>4013.7569199999998</v>
      </c>
      <c r="H1925">
        <v>0.01</v>
      </c>
      <c r="I1925">
        <v>-1</v>
      </c>
    </row>
    <row r="1926" spans="1:9" hidden="1" x14ac:dyDescent="0.25">
      <c r="A1926" t="s">
        <v>371</v>
      </c>
      <c r="B1926" t="s">
        <v>6</v>
      </c>
      <c r="C1926" t="s">
        <v>12</v>
      </c>
      <c r="D1926" t="s">
        <v>6</v>
      </c>
      <c r="E1926" t="s">
        <v>10</v>
      </c>
      <c r="F1926">
        <v>2040</v>
      </c>
      <c r="G1926">
        <v>4013.7569199999998</v>
      </c>
      <c r="H1926">
        <v>0.01</v>
      </c>
      <c r="I1926">
        <v>-1</v>
      </c>
    </row>
    <row r="1927" spans="1:9" hidden="1" x14ac:dyDescent="0.25">
      <c r="A1927" t="s">
        <v>371</v>
      </c>
      <c r="B1927" t="s">
        <v>6</v>
      </c>
      <c r="C1927" t="s">
        <v>12</v>
      </c>
      <c r="D1927" t="s">
        <v>6</v>
      </c>
      <c r="E1927" t="s">
        <v>10</v>
      </c>
      <c r="F1927">
        <v>2041</v>
      </c>
      <c r="G1927">
        <v>4013.7569199999998</v>
      </c>
      <c r="H1927">
        <v>0.01</v>
      </c>
      <c r="I1927">
        <v>-1</v>
      </c>
    </row>
    <row r="1928" spans="1:9" hidden="1" x14ac:dyDescent="0.25">
      <c r="A1928" t="s">
        <v>371</v>
      </c>
      <c r="B1928" t="s">
        <v>6</v>
      </c>
      <c r="C1928" t="s">
        <v>12</v>
      </c>
      <c r="D1928" t="s">
        <v>6</v>
      </c>
      <c r="E1928" t="s">
        <v>11</v>
      </c>
      <c r="F1928">
        <v>2024</v>
      </c>
      <c r="G1928">
        <v>4013.7569199999998</v>
      </c>
      <c r="H1928">
        <v>0.01</v>
      </c>
      <c r="I1928">
        <v>-1</v>
      </c>
    </row>
    <row r="1929" spans="1:9" hidden="1" x14ac:dyDescent="0.25">
      <c r="A1929" t="s">
        <v>371</v>
      </c>
      <c r="B1929" t="s">
        <v>6</v>
      </c>
      <c r="C1929" t="s">
        <v>12</v>
      </c>
      <c r="D1929" t="s">
        <v>6</v>
      </c>
      <c r="E1929" t="s">
        <v>11</v>
      </c>
      <c r="F1929">
        <v>2025</v>
      </c>
      <c r="G1929">
        <v>4013.7569199999998</v>
      </c>
      <c r="H1929">
        <v>0.01</v>
      </c>
      <c r="I1929">
        <v>-1</v>
      </c>
    </row>
    <row r="1930" spans="1:9" hidden="1" x14ac:dyDescent="0.25">
      <c r="A1930" t="s">
        <v>371</v>
      </c>
      <c r="B1930" t="s">
        <v>6</v>
      </c>
      <c r="C1930" t="s">
        <v>12</v>
      </c>
      <c r="D1930" t="s">
        <v>6</v>
      </c>
      <c r="E1930" t="s">
        <v>11</v>
      </c>
      <c r="F1930">
        <v>2026</v>
      </c>
      <c r="G1930">
        <v>4013.7569199999998</v>
      </c>
      <c r="H1930">
        <v>0.01</v>
      </c>
      <c r="I1930">
        <v>-1</v>
      </c>
    </row>
    <row r="1931" spans="1:9" hidden="1" x14ac:dyDescent="0.25">
      <c r="A1931" t="s">
        <v>371</v>
      </c>
      <c r="B1931" t="s">
        <v>6</v>
      </c>
      <c r="C1931" t="s">
        <v>12</v>
      </c>
      <c r="D1931" t="s">
        <v>6</v>
      </c>
      <c r="E1931" t="s">
        <v>11</v>
      </c>
      <c r="F1931">
        <v>2027</v>
      </c>
      <c r="G1931">
        <v>4013.7569199999998</v>
      </c>
      <c r="H1931">
        <v>0.01</v>
      </c>
      <c r="I1931">
        <v>-1</v>
      </c>
    </row>
    <row r="1932" spans="1:9" hidden="1" x14ac:dyDescent="0.25">
      <c r="A1932" t="s">
        <v>371</v>
      </c>
      <c r="B1932" t="s">
        <v>6</v>
      </c>
      <c r="C1932" t="s">
        <v>12</v>
      </c>
      <c r="D1932" t="s">
        <v>6</v>
      </c>
      <c r="E1932" t="s">
        <v>11</v>
      </c>
      <c r="F1932">
        <v>2028</v>
      </c>
      <c r="G1932">
        <v>4013.7569199999998</v>
      </c>
      <c r="H1932">
        <v>0.01</v>
      </c>
      <c r="I1932">
        <v>-1</v>
      </c>
    </row>
    <row r="1933" spans="1:9" hidden="1" x14ac:dyDescent="0.25">
      <c r="A1933" t="s">
        <v>371</v>
      </c>
      <c r="B1933" t="s">
        <v>6</v>
      </c>
      <c r="C1933" t="s">
        <v>12</v>
      </c>
      <c r="D1933" t="s">
        <v>6</v>
      </c>
      <c r="E1933" t="s">
        <v>11</v>
      </c>
      <c r="F1933">
        <v>2029</v>
      </c>
      <c r="G1933">
        <v>4013.7569199999998</v>
      </c>
      <c r="H1933">
        <v>0.01</v>
      </c>
      <c r="I1933">
        <v>-1</v>
      </c>
    </row>
    <row r="1934" spans="1:9" hidden="1" x14ac:dyDescent="0.25">
      <c r="A1934" t="s">
        <v>371</v>
      </c>
      <c r="B1934" t="s">
        <v>6</v>
      </c>
      <c r="C1934" t="s">
        <v>12</v>
      </c>
      <c r="D1934" t="s">
        <v>6</v>
      </c>
      <c r="E1934" t="s">
        <v>11</v>
      </c>
      <c r="F1934">
        <v>2030</v>
      </c>
      <c r="G1934">
        <v>4013.7569199999998</v>
      </c>
      <c r="H1934">
        <v>0.01</v>
      </c>
      <c r="I1934">
        <v>-1</v>
      </c>
    </row>
    <row r="1935" spans="1:9" hidden="1" x14ac:dyDescent="0.25">
      <c r="A1935" t="s">
        <v>371</v>
      </c>
      <c r="B1935" t="s">
        <v>6</v>
      </c>
      <c r="C1935" t="s">
        <v>12</v>
      </c>
      <c r="D1935" t="s">
        <v>6</v>
      </c>
      <c r="E1935" t="s">
        <v>11</v>
      </c>
      <c r="F1935">
        <v>2031</v>
      </c>
      <c r="G1935">
        <v>4013.7569199999998</v>
      </c>
      <c r="H1935">
        <v>0.01</v>
      </c>
      <c r="I1935">
        <v>-1</v>
      </c>
    </row>
    <row r="1936" spans="1:9" hidden="1" x14ac:dyDescent="0.25">
      <c r="A1936" t="s">
        <v>371</v>
      </c>
      <c r="B1936" t="s">
        <v>6</v>
      </c>
      <c r="C1936" t="s">
        <v>12</v>
      </c>
      <c r="D1936" t="s">
        <v>6</v>
      </c>
      <c r="E1936" t="s">
        <v>11</v>
      </c>
      <c r="F1936">
        <v>2032</v>
      </c>
      <c r="G1936">
        <v>4013.7569199999998</v>
      </c>
      <c r="H1936">
        <v>0.01</v>
      </c>
      <c r="I1936">
        <v>-1</v>
      </c>
    </row>
    <row r="1937" spans="1:9" hidden="1" x14ac:dyDescent="0.25">
      <c r="A1937" t="s">
        <v>371</v>
      </c>
      <c r="B1937" t="s">
        <v>6</v>
      </c>
      <c r="C1937" t="s">
        <v>12</v>
      </c>
      <c r="D1937" t="s">
        <v>6</v>
      </c>
      <c r="E1937" t="s">
        <v>11</v>
      </c>
      <c r="F1937">
        <v>2033</v>
      </c>
      <c r="G1937">
        <v>4013.7569199999998</v>
      </c>
      <c r="H1937">
        <v>0.01</v>
      </c>
      <c r="I1937">
        <v>-1</v>
      </c>
    </row>
    <row r="1938" spans="1:9" hidden="1" x14ac:dyDescent="0.25">
      <c r="A1938" t="s">
        <v>371</v>
      </c>
      <c r="B1938" t="s">
        <v>6</v>
      </c>
      <c r="C1938" t="s">
        <v>12</v>
      </c>
      <c r="D1938" t="s">
        <v>6</v>
      </c>
      <c r="E1938" t="s">
        <v>11</v>
      </c>
      <c r="F1938">
        <v>2034</v>
      </c>
      <c r="G1938">
        <v>4013.7569199999998</v>
      </c>
      <c r="H1938">
        <v>0.01</v>
      </c>
      <c r="I1938">
        <v>-1</v>
      </c>
    </row>
    <row r="1939" spans="1:9" hidden="1" x14ac:dyDescent="0.25">
      <c r="A1939" t="s">
        <v>371</v>
      </c>
      <c r="B1939" t="s">
        <v>6</v>
      </c>
      <c r="C1939" t="s">
        <v>12</v>
      </c>
      <c r="D1939" t="s">
        <v>6</v>
      </c>
      <c r="E1939" t="s">
        <v>11</v>
      </c>
      <c r="F1939">
        <v>2035</v>
      </c>
      <c r="G1939">
        <v>4013.7569199999998</v>
      </c>
      <c r="H1939">
        <v>0.01</v>
      </c>
      <c r="I1939">
        <v>-1</v>
      </c>
    </row>
    <row r="1940" spans="1:9" hidden="1" x14ac:dyDescent="0.25">
      <c r="A1940" t="s">
        <v>371</v>
      </c>
      <c r="B1940" t="s">
        <v>6</v>
      </c>
      <c r="C1940" t="s">
        <v>12</v>
      </c>
      <c r="D1940" t="s">
        <v>6</v>
      </c>
      <c r="E1940" t="s">
        <v>11</v>
      </c>
      <c r="F1940">
        <v>2036</v>
      </c>
      <c r="G1940">
        <v>4013.7569199999998</v>
      </c>
      <c r="H1940">
        <v>0.01</v>
      </c>
      <c r="I1940">
        <v>-1</v>
      </c>
    </row>
    <row r="1941" spans="1:9" hidden="1" x14ac:dyDescent="0.25">
      <c r="A1941" t="s">
        <v>371</v>
      </c>
      <c r="B1941" t="s">
        <v>6</v>
      </c>
      <c r="C1941" t="s">
        <v>12</v>
      </c>
      <c r="D1941" t="s">
        <v>6</v>
      </c>
      <c r="E1941" t="s">
        <v>11</v>
      </c>
      <c r="F1941">
        <v>2037</v>
      </c>
      <c r="G1941">
        <v>4013.7569199999998</v>
      </c>
      <c r="H1941">
        <v>0.01</v>
      </c>
      <c r="I1941">
        <v>-1</v>
      </c>
    </row>
    <row r="1942" spans="1:9" hidden="1" x14ac:dyDescent="0.25">
      <c r="A1942" t="s">
        <v>371</v>
      </c>
      <c r="B1942" t="s">
        <v>6</v>
      </c>
      <c r="C1942" t="s">
        <v>12</v>
      </c>
      <c r="D1942" t="s">
        <v>6</v>
      </c>
      <c r="E1942" t="s">
        <v>11</v>
      </c>
      <c r="F1942">
        <v>2038</v>
      </c>
      <c r="G1942">
        <v>4013.7569199999998</v>
      </c>
      <c r="H1942">
        <v>0.01</v>
      </c>
      <c r="I1942">
        <v>-1</v>
      </c>
    </row>
    <row r="1943" spans="1:9" hidden="1" x14ac:dyDescent="0.25">
      <c r="A1943" t="s">
        <v>371</v>
      </c>
      <c r="B1943" t="s">
        <v>6</v>
      </c>
      <c r="C1943" t="s">
        <v>12</v>
      </c>
      <c r="D1943" t="s">
        <v>6</v>
      </c>
      <c r="E1943" t="s">
        <v>11</v>
      </c>
      <c r="F1943">
        <v>2039</v>
      </c>
      <c r="G1943">
        <v>4013.7569199999998</v>
      </c>
      <c r="H1943">
        <v>0.01</v>
      </c>
      <c r="I1943">
        <v>-1</v>
      </c>
    </row>
    <row r="1944" spans="1:9" hidden="1" x14ac:dyDescent="0.25">
      <c r="A1944" t="s">
        <v>371</v>
      </c>
      <c r="B1944" t="s">
        <v>6</v>
      </c>
      <c r="C1944" t="s">
        <v>12</v>
      </c>
      <c r="D1944" t="s">
        <v>6</v>
      </c>
      <c r="E1944" t="s">
        <v>11</v>
      </c>
      <c r="F1944">
        <v>2040</v>
      </c>
      <c r="G1944">
        <v>4013.7569199999998</v>
      </c>
      <c r="H1944">
        <v>0.01</v>
      </c>
      <c r="I1944">
        <v>-1</v>
      </c>
    </row>
    <row r="1945" spans="1:9" hidden="1" x14ac:dyDescent="0.25">
      <c r="A1945" t="s">
        <v>371</v>
      </c>
      <c r="B1945" t="s">
        <v>6</v>
      </c>
      <c r="C1945" t="s">
        <v>12</v>
      </c>
      <c r="D1945" t="s">
        <v>6</v>
      </c>
      <c r="E1945" t="s">
        <v>11</v>
      </c>
      <c r="F1945">
        <v>2041</v>
      </c>
      <c r="G1945">
        <v>4013.7569199999998</v>
      </c>
      <c r="H1945">
        <v>0.01</v>
      </c>
      <c r="I1945">
        <v>-1</v>
      </c>
    </row>
    <row r="1946" spans="1:9" hidden="1" x14ac:dyDescent="0.25">
      <c r="A1946" t="s">
        <v>371</v>
      </c>
      <c r="B1946" t="s">
        <v>6</v>
      </c>
      <c r="C1946" t="s">
        <v>12</v>
      </c>
      <c r="D1946" t="s">
        <v>6</v>
      </c>
      <c r="E1946" t="s">
        <v>9</v>
      </c>
      <c r="F1946">
        <v>2024</v>
      </c>
      <c r="G1946">
        <v>4013.7569199999998</v>
      </c>
      <c r="H1946">
        <v>0.01</v>
      </c>
      <c r="I1946">
        <v>-1</v>
      </c>
    </row>
    <row r="1947" spans="1:9" hidden="1" x14ac:dyDescent="0.25">
      <c r="A1947" t="s">
        <v>371</v>
      </c>
      <c r="B1947" t="s">
        <v>6</v>
      </c>
      <c r="C1947" t="s">
        <v>12</v>
      </c>
      <c r="D1947" t="s">
        <v>6</v>
      </c>
      <c r="E1947" t="s">
        <v>9</v>
      </c>
      <c r="F1947">
        <v>2025</v>
      </c>
      <c r="G1947">
        <v>4013.7569199999998</v>
      </c>
      <c r="H1947">
        <v>0.01</v>
      </c>
      <c r="I1947">
        <v>-1</v>
      </c>
    </row>
    <row r="1948" spans="1:9" hidden="1" x14ac:dyDescent="0.25">
      <c r="A1948" t="s">
        <v>371</v>
      </c>
      <c r="B1948" t="s">
        <v>6</v>
      </c>
      <c r="C1948" t="s">
        <v>12</v>
      </c>
      <c r="D1948" t="s">
        <v>6</v>
      </c>
      <c r="E1948" t="s">
        <v>9</v>
      </c>
      <c r="F1948">
        <v>2026</v>
      </c>
      <c r="G1948">
        <v>4013.7569199999998</v>
      </c>
      <c r="H1948">
        <v>0.01</v>
      </c>
      <c r="I1948">
        <v>-1</v>
      </c>
    </row>
    <row r="1949" spans="1:9" hidden="1" x14ac:dyDescent="0.25">
      <c r="A1949" t="s">
        <v>371</v>
      </c>
      <c r="B1949" t="s">
        <v>6</v>
      </c>
      <c r="C1949" t="s">
        <v>12</v>
      </c>
      <c r="D1949" t="s">
        <v>6</v>
      </c>
      <c r="E1949" t="s">
        <v>9</v>
      </c>
      <c r="F1949">
        <v>2027</v>
      </c>
      <c r="G1949">
        <v>4013.7569199999998</v>
      </c>
      <c r="H1949">
        <v>0.01</v>
      </c>
      <c r="I1949">
        <v>-1</v>
      </c>
    </row>
    <row r="1950" spans="1:9" hidden="1" x14ac:dyDescent="0.25">
      <c r="A1950" t="s">
        <v>371</v>
      </c>
      <c r="B1950" t="s">
        <v>6</v>
      </c>
      <c r="C1950" t="s">
        <v>12</v>
      </c>
      <c r="D1950" t="s">
        <v>6</v>
      </c>
      <c r="E1950" t="s">
        <v>9</v>
      </c>
      <c r="F1950">
        <v>2028</v>
      </c>
      <c r="G1950">
        <v>4013.7569199999998</v>
      </c>
      <c r="H1950">
        <v>0.01</v>
      </c>
      <c r="I1950">
        <v>-1</v>
      </c>
    </row>
    <row r="1951" spans="1:9" hidden="1" x14ac:dyDescent="0.25">
      <c r="A1951" t="s">
        <v>371</v>
      </c>
      <c r="B1951" t="s">
        <v>6</v>
      </c>
      <c r="C1951" t="s">
        <v>12</v>
      </c>
      <c r="D1951" t="s">
        <v>6</v>
      </c>
      <c r="E1951" t="s">
        <v>9</v>
      </c>
      <c r="F1951">
        <v>2029</v>
      </c>
      <c r="G1951">
        <v>4013.7569199999998</v>
      </c>
      <c r="H1951">
        <v>0.01</v>
      </c>
      <c r="I1951">
        <v>-1</v>
      </c>
    </row>
    <row r="1952" spans="1:9" hidden="1" x14ac:dyDescent="0.25">
      <c r="A1952" t="s">
        <v>371</v>
      </c>
      <c r="B1952" t="s">
        <v>6</v>
      </c>
      <c r="C1952" t="s">
        <v>12</v>
      </c>
      <c r="D1952" t="s">
        <v>6</v>
      </c>
      <c r="E1952" t="s">
        <v>9</v>
      </c>
      <c r="F1952">
        <v>2030</v>
      </c>
      <c r="G1952">
        <v>4013.7569199999998</v>
      </c>
      <c r="H1952">
        <v>0.01</v>
      </c>
      <c r="I1952">
        <v>-1</v>
      </c>
    </row>
    <row r="1953" spans="1:9" hidden="1" x14ac:dyDescent="0.25">
      <c r="A1953" t="s">
        <v>371</v>
      </c>
      <c r="B1953" t="s">
        <v>6</v>
      </c>
      <c r="C1953" t="s">
        <v>12</v>
      </c>
      <c r="D1953" t="s">
        <v>6</v>
      </c>
      <c r="E1953" t="s">
        <v>9</v>
      </c>
      <c r="F1953">
        <v>2031</v>
      </c>
      <c r="G1953">
        <v>4013.7569199999998</v>
      </c>
      <c r="H1953">
        <v>0.01</v>
      </c>
      <c r="I1953">
        <v>-1</v>
      </c>
    </row>
    <row r="1954" spans="1:9" hidden="1" x14ac:dyDescent="0.25">
      <c r="A1954" t="s">
        <v>371</v>
      </c>
      <c r="B1954" t="s">
        <v>6</v>
      </c>
      <c r="C1954" t="s">
        <v>12</v>
      </c>
      <c r="D1954" t="s">
        <v>6</v>
      </c>
      <c r="E1954" t="s">
        <v>9</v>
      </c>
      <c r="F1954">
        <v>2032</v>
      </c>
      <c r="G1954">
        <v>4013.7569199999998</v>
      </c>
      <c r="H1954">
        <v>0.01</v>
      </c>
      <c r="I1954">
        <v>-1</v>
      </c>
    </row>
    <row r="1955" spans="1:9" hidden="1" x14ac:dyDescent="0.25">
      <c r="A1955" t="s">
        <v>371</v>
      </c>
      <c r="B1955" t="s">
        <v>6</v>
      </c>
      <c r="C1955" t="s">
        <v>12</v>
      </c>
      <c r="D1955" t="s">
        <v>6</v>
      </c>
      <c r="E1955" t="s">
        <v>9</v>
      </c>
      <c r="F1955">
        <v>2033</v>
      </c>
      <c r="G1955">
        <v>4013.7569199999998</v>
      </c>
      <c r="H1955">
        <v>0.01</v>
      </c>
      <c r="I1955">
        <v>-1</v>
      </c>
    </row>
    <row r="1956" spans="1:9" hidden="1" x14ac:dyDescent="0.25">
      <c r="A1956" t="s">
        <v>371</v>
      </c>
      <c r="B1956" t="s">
        <v>6</v>
      </c>
      <c r="C1956" t="s">
        <v>12</v>
      </c>
      <c r="D1956" t="s">
        <v>6</v>
      </c>
      <c r="E1956" t="s">
        <v>9</v>
      </c>
      <c r="F1956">
        <v>2034</v>
      </c>
      <c r="G1956">
        <v>4013.7569199999998</v>
      </c>
      <c r="H1956">
        <v>0.01</v>
      </c>
      <c r="I1956">
        <v>-1</v>
      </c>
    </row>
    <row r="1957" spans="1:9" hidden="1" x14ac:dyDescent="0.25">
      <c r="A1957" t="s">
        <v>371</v>
      </c>
      <c r="B1957" t="s">
        <v>6</v>
      </c>
      <c r="C1957" t="s">
        <v>12</v>
      </c>
      <c r="D1957" t="s">
        <v>6</v>
      </c>
      <c r="E1957" t="s">
        <v>9</v>
      </c>
      <c r="F1957">
        <v>2035</v>
      </c>
      <c r="G1957">
        <v>4013.7569199999998</v>
      </c>
      <c r="H1957">
        <v>0.01</v>
      </c>
      <c r="I1957">
        <v>-1</v>
      </c>
    </row>
    <row r="1958" spans="1:9" hidden="1" x14ac:dyDescent="0.25">
      <c r="A1958" t="s">
        <v>371</v>
      </c>
      <c r="B1958" t="s">
        <v>6</v>
      </c>
      <c r="C1958" t="s">
        <v>12</v>
      </c>
      <c r="D1958" t="s">
        <v>6</v>
      </c>
      <c r="E1958" t="s">
        <v>9</v>
      </c>
      <c r="F1958">
        <v>2036</v>
      </c>
      <c r="G1958">
        <v>4013.7569199999998</v>
      </c>
      <c r="H1958">
        <v>0.01</v>
      </c>
      <c r="I1958">
        <v>-1</v>
      </c>
    </row>
    <row r="1959" spans="1:9" hidden="1" x14ac:dyDescent="0.25">
      <c r="A1959" t="s">
        <v>371</v>
      </c>
      <c r="B1959" t="s">
        <v>6</v>
      </c>
      <c r="C1959" t="s">
        <v>12</v>
      </c>
      <c r="D1959" t="s">
        <v>6</v>
      </c>
      <c r="E1959" t="s">
        <v>9</v>
      </c>
      <c r="F1959">
        <v>2037</v>
      </c>
      <c r="G1959">
        <v>4013.7569199999998</v>
      </c>
      <c r="H1959">
        <v>0.01</v>
      </c>
      <c r="I1959">
        <v>-1</v>
      </c>
    </row>
    <row r="1960" spans="1:9" hidden="1" x14ac:dyDescent="0.25">
      <c r="A1960" t="s">
        <v>371</v>
      </c>
      <c r="B1960" t="s">
        <v>6</v>
      </c>
      <c r="C1960" t="s">
        <v>12</v>
      </c>
      <c r="D1960" t="s">
        <v>6</v>
      </c>
      <c r="E1960" t="s">
        <v>9</v>
      </c>
      <c r="F1960">
        <v>2038</v>
      </c>
      <c r="G1960">
        <v>4013.7569199999998</v>
      </c>
      <c r="H1960">
        <v>0.01</v>
      </c>
      <c r="I1960">
        <v>-1</v>
      </c>
    </row>
    <row r="1961" spans="1:9" hidden="1" x14ac:dyDescent="0.25">
      <c r="A1961" t="s">
        <v>371</v>
      </c>
      <c r="B1961" t="s">
        <v>6</v>
      </c>
      <c r="C1961" t="s">
        <v>12</v>
      </c>
      <c r="D1961" t="s">
        <v>6</v>
      </c>
      <c r="E1961" t="s">
        <v>9</v>
      </c>
      <c r="F1961">
        <v>2039</v>
      </c>
      <c r="G1961">
        <v>4013.7569199999998</v>
      </c>
      <c r="H1961">
        <v>0.01</v>
      </c>
      <c r="I1961">
        <v>-1</v>
      </c>
    </row>
    <row r="1962" spans="1:9" hidden="1" x14ac:dyDescent="0.25">
      <c r="A1962" t="s">
        <v>371</v>
      </c>
      <c r="B1962" t="s">
        <v>6</v>
      </c>
      <c r="C1962" t="s">
        <v>12</v>
      </c>
      <c r="D1962" t="s">
        <v>6</v>
      </c>
      <c r="E1962" t="s">
        <v>9</v>
      </c>
      <c r="F1962">
        <v>2040</v>
      </c>
      <c r="G1962">
        <v>4013.7569199999998</v>
      </c>
      <c r="H1962">
        <v>0.01</v>
      </c>
      <c r="I1962">
        <v>-1</v>
      </c>
    </row>
    <row r="1963" spans="1:9" hidden="1" x14ac:dyDescent="0.25">
      <c r="A1963" t="s">
        <v>371</v>
      </c>
      <c r="B1963" t="s">
        <v>6</v>
      </c>
      <c r="C1963" t="s">
        <v>12</v>
      </c>
      <c r="D1963" t="s">
        <v>6</v>
      </c>
      <c r="E1963" t="s">
        <v>9</v>
      </c>
      <c r="F1963">
        <v>2041</v>
      </c>
      <c r="G1963">
        <v>4013.7569199999998</v>
      </c>
      <c r="H1963">
        <v>0.01</v>
      </c>
      <c r="I1963">
        <v>-1</v>
      </c>
    </row>
    <row r="1964" spans="1:9" hidden="1" x14ac:dyDescent="0.25">
      <c r="A1964" t="s">
        <v>371</v>
      </c>
      <c r="B1964" t="s">
        <v>6</v>
      </c>
      <c r="C1964" t="s">
        <v>12</v>
      </c>
      <c r="D1964" t="s">
        <v>6</v>
      </c>
      <c r="E1964" t="s">
        <v>8</v>
      </c>
      <c r="F1964">
        <v>2024</v>
      </c>
      <c r="G1964">
        <v>4013.7569199999998</v>
      </c>
      <c r="H1964">
        <v>0.01</v>
      </c>
      <c r="I1964">
        <v>-1</v>
      </c>
    </row>
    <row r="1965" spans="1:9" hidden="1" x14ac:dyDescent="0.25">
      <c r="A1965" t="s">
        <v>371</v>
      </c>
      <c r="B1965" t="s">
        <v>6</v>
      </c>
      <c r="C1965" t="s">
        <v>12</v>
      </c>
      <c r="D1965" t="s">
        <v>6</v>
      </c>
      <c r="E1965" t="s">
        <v>8</v>
      </c>
      <c r="F1965">
        <v>2025</v>
      </c>
      <c r="G1965">
        <v>4013.7569199999998</v>
      </c>
      <c r="H1965">
        <v>0.01</v>
      </c>
      <c r="I1965">
        <v>-1</v>
      </c>
    </row>
    <row r="1966" spans="1:9" hidden="1" x14ac:dyDescent="0.25">
      <c r="A1966" t="s">
        <v>371</v>
      </c>
      <c r="B1966" t="s">
        <v>6</v>
      </c>
      <c r="C1966" t="s">
        <v>12</v>
      </c>
      <c r="D1966" t="s">
        <v>6</v>
      </c>
      <c r="E1966" t="s">
        <v>8</v>
      </c>
      <c r="F1966">
        <v>2026</v>
      </c>
      <c r="G1966">
        <v>4013.7569199999998</v>
      </c>
      <c r="H1966">
        <v>0.01</v>
      </c>
      <c r="I1966">
        <v>-1</v>
      </c>
    </row>
    <row r="1967" spans="1:9" hidden="1" x14ac:dyDescent="0.25">
      <c r="A1967" t="s">
        <v>371</v>
      </c>
      <c r="B1967" t="s">
        <v>6</v>
      </c>
      <c r="C1967" t="s">
        <v>12</v>
      </c>
      <c r="D1967" t="s">
        <v>6</v>
      </c>
      <c r="E1967" t="s">
        <v>8</v>
      </c>
      <c r="F1967">
        <v>2027</v>
      </c>
      <c r="G1967">
        <v>4013.7569199999998</v>
      </c>
      <c r="H1967">
        <v>0.01</v>
      </c>
      <c r="I1967">
        <v>-1</v>
      </c>
    </row>
    <row r="1968" spans="1:9" hidden="1" x14ac:dyDescent="0.25">
      <c r="A1968" t="s">
        <v>371</v>
      </c>
      <c r="B1968" t="s">
        <v>6</v>
      </c>
      <c r="C1968" t="s">
        <v>12</v>
      </c>
      <c r="D1968" t="s">
        <v>6</v>
      </c>
      <c r="E1968" t="s">
        <v>8</v>
      </c>
      <c r="F1968">
        <v>2028</v>
      </c>
      <c r="G1968">
        <v>4013.7569199999998</v>
      </c>
      <c r="H1968">
        <v>0.01</v>
      </c>
      <c r="I1968">
        <v>-1</v>
      </c>
    </row>
    <row r="1969" spans="1:9" hidden="1" x14ac:dyDescent="0.25">
      <c r="A1969" t="s">
        <v>371</v>
      </c>
      <c r="B1969" t="s">
        <v>6</v>
      </c>
      <c r="C1969" t="s">
        <v>12</v>
      </c>
      <c r="D1969" t="s">
        <v>6</v>
      </c>
      <c r="E1969" t="s">
        <v>8</v>
      </c>
      <c r="F1969">
        <v>2029</v>
      </c>
      <c r="G1969">
        <v>4013.7569199999998</v>
      </c>
      <c r="H1969">
        <v>0.01</v>
      </c>
      <c r="I1969">
        <v>-1</v>
      </c>
    </row>
    <row r="1970" spans="1:9" hidden="1" x14ac:dyDescent="0.25">
      <c r="A1970" t="s">
        <v>371</v>
      </c>
      <c r="B1970" t="s">
        <v>6</v>
      </c>
      <c r="C1970" t="s">
        <v>12</v>
      </c>
      <c r="D1970" t="s">
        <v>6</v>
      </c>
      <c r="E1970" t="s">
        <v>8</v>
      </c>
      <c r="F1970">
        <v>2030</v>
      </c>
      <c r="G1970">
        <v>4013.7569199999998</v>
      </c>
      <c r="H1970">
        <v>0.01</v>
      </c>
      <c r="I1970">
        <v>-1</v>
      </c>
    </row>
    <row r="1971" spans="1:9" hidden="1" x14ac:dyDescent="0.25">
      <c r="A1971" t="s">
        <v>371</v>
      </c>
      <c r="B1971" t="s">
        <v>6</v>
      </c>
      <c r="C1971" t="s">
        <v>12</v>
      </c>
      <c r="D1971" t="s">
        <v>6</v>
      </c>
      <c r="E1971" t="s">
        <v>8</v>
      </c>
      <c r="F1971">
        <v>2031</v>
      </c>
      <c r="G1971">
        <v>4013.7569199999998</v>
      </c>
      <c r="H1971">
        <v>0.01</v>
      </c>
      <c r="I1971">
        <v>-1</v>
      </c>
    </row>
    <row r="1972" spans="1:9" hidden="1" x14ac:dyDescent="0.25">
      <c r="A1972" t="s">
        <v>371</v>
      </c>
      <c r="B1972" t="s">
        <v>6</v>
      </c>
      <c r="C1972" t="s">
        <v>12</v>
      </c>
      <c r="D1972" t="s">
        <v>6</v>
      </c>
      <c r="E1972" t="s">
        <v>8</v>
      </c>
      <c r="F1972">
        <v>2032</v>
      </c>
      <c r="G1972">
        <v>4013.7569199999998</v>
      </c>
      <c r="H1972">
        <v>0.01</v>
      </c>
      <c r="I1972">
        <v>-1</v>
      </c>
    </row>
    <row r="1973" spans="1:9" hidden="1" x14ac:dyDescent="0.25">
      <c r="A1973" t="s">
        <v>371</v>
      </c>
      <c r="B1973" t="s">
        <v>6</v>
      </c>
      <c r="C1973" t="s">
        <v>12</v>
      </c>
      <c r="D1973" t="s">
        <v>6</v>
      </c>
      <c r="E1973" t="s">
        <v>8</v>
      </c>
      <c r="F1973">
        <v>2033</v>
      </c>
      <c r="G1973">
        <v>4013.7569199999998</v>
      </c>
      <c r="H1973">
        <v>0.01</v>
      </c>
      <c r="I1973">
        <v>-1</v>
      </c>
    </row>
    <row r="1974" spans="1:9" hidden="1" x14ac:dyDescent="0.25">
      <c r="A1974" t="s">
        <v>371</v>
      </c>
      <c r="B1974" t="s">
        <v>6</v>
      </c>
      <c r="C1974" t="s">
        <v>12</v>
      </c>
      <c r="D1974" t="s">
        <v>6</v>
      </c>
      <c r="E1974" t="s">
        <v>8</v>
      </c>
      <c r="F1974">
        <v>2034</v>
      </c>
      <c r="G1974">
        <v>4013.7569199999998</v>
      </c>
      <c r="H1974">
        <v>0.01</v>
      </c>
      <c r="I1974">
        <v>-1</v>
      </c>
    </row>
    <row r="1975" spans="1:9" hidden="1" x14ac:dyDescent="0.25">
      <c r="A1975" t="s">
        <v>371</v>
      </c>
      <c r="B1975" t="s">
        <v>6</v>
      </c>
      <c r="C1975" t="s">
        <v>12</v>
      </c>
      <c r="D1975" t="s">
        <v>6</v>
      </c>
      <c r="E1975" t="s">
        <v>8</v>
      </c>
      <c r="F1975">
        <v>2035</v>
      </c>
      <c r="G1975">
        <v>4013.7569199999998</v>
      </c>
      <c r="H1975">
        <v>0.01</v>
      </c>
      <c r="I1975">
        <v>-1</v>
      </c>
    </row>
    <row r="1976" spans="1:9" hidden="1" x14ac:dyDescent="0.25">
      <c r="A1976" t="s">
        <v>371</v>
      </c>
      <c r="B1976" t="s">
        <v>6</v>
      </c>
      <c r="C1976" t="s">
        <v>12</v>
      </c>
      <c r="D1976" t="s">
        <v>6</v>
      </c>
      <c r="E1976" t="s">
        <v>8</v>
      </c>
      <c r="F1976">
        <v>2036</v>
      </c>
      <c r="G1976">
        <v>4013.7569199999998</v>
      </c>
      <c r="H1976">
        <v>0.01</v>
      </c>
      <c r="I1976">
        <v>-1</v>
      </c>
    </row>
    <row r="1977" spans="1:9" hidden="1" x14ac:dyDescent="0.25">
      <c r="A1977" t="s">
        <v>371</v>
      </c>
      <c r="B1977" t="s">
        <v>6</v>
      </c>
      <c r="C1977" t="s">
        <v>12</v>
      </c>
      <c r="D1977" t="s">
        <v>6</v>
      </c>
      <c r="E1977" t="s">
        <v>8</v>
      </c>
      <c r="F1977">
        <v>2037</v>
      </c>
      <c r="G1977">
        <v>4013.7569199999998</v>
      </c>
      <c r="H1977">
        <v>0.01</v>
      </c>
      <c r="I1977">
        <v>-1</v>
      </c>
    </row>
    <row r="1978" spans="1:9" hidden="1" x14ac:dyDescent="0.25">
      <c r="A1978" t="s">
        <v>371</v>
      </c>
      <c r="B1978" t="s">
        <v>6</v>
      </c>
      <c r="C1978" t="s">
        <v>12</v>
      </c>
      <c r="D1978" t="s">
        <v>6</v>
      </c>
      <c r="E1978" t="s">
        <v>8</v>
      </c>
      <c r="F1978">
        <v>2038</v>
      </c>
      <c r="G1978">
        <v>4013.7569199999998</v>
      </c>
      <c r="H1978">
        <v>0.01</v>
      </c>
      <c r="I1978">
        <v>-1</v>
      </c>
    </row>
    <row r="1979" spans="1:9" hidden="1" x14ac:dyDescent="0.25">
      <c r="A1979" t="s">
        <v>371</v>
      </c>
      <c r="B1979" t="s">
        <v>6</v>
      </c>
      <c r="C1979" t="s">
        <v>12</v>
      </c>
      <c r="D1979" t="s">
        <v>6</v>
      </c>
      <c r="E1979" t="s">
        <v>8</v>
      </c>
      <c r="F1979">
        <v>2039</v>
      </c>
      <c r="G1979">
        <v>4013.7569199999998</v>
      </c>
      <c r="H1979">
        <v>0.01</v>
      </c>
      <c r="I1979">
        <v>-1</v>
      </c>
    </row>
    <row r="1980" spans="1:9" hidden="1" x14ac:dyDescent="0.25">
      <c r="A1980" t="s">
        <v>371</v>
      </c>
      <c r="B1980" t="s">
        <v>6</v>
      </c>
      <c r="C1980" t="s">
        <v>12</v>
      </c>
      <c r="D1980" t="s">
        <v>6</v>
      </c>
      <c r="E1980" t="s">
        <v>8</v>
      </c>
      <c r="F1980">
        <v>2040</v>
      </c>
      <c r="G1980">
        <v>4013.7569199999998</v>
      </c>
      <c r="H1980">
        <v>0.01</v>
      </c>
      <c r="I1980">
        <v>-1</v>
      </c>
    </row>
    <row r="1981" spans="1:9" hidden="1" x14ac:dyDescent="0.25">
      <c r="A1981" t="s">
        <v>371</v>
      </c>
      <c r="B1981" t="s">
        <v>6</v>
      </c>
      <c r="C1981" t="s">
        <v>12</v>
      </c>
      <c r="D1981" t="s">
        <v>6</v>
      </c>
      <c r="E1981" t="s">
        <v>8</v>
      </c>
      <c r="F1981">
        <v>2041</v>
      </c>
      <c r="G1981">
        <v>4013.7569199999998</v>
      </c>
      <c r="H1981">
        <v>0.01</v>
      </c>
      <c r="I1981">
        <v>-1</v>
      </c>
    </row>
    <row r="1982" spans="1:9" hidden="1" x14ac:dyDescent="0.25">
      <c r="A1982" t="s">
        <v>371</v>
      </c>
      <c r="B1982" t="s">
        <v>6</v>
      </c>
      <c r="C1982" t="s">
        <v>12</v>
      </c>
      <c r="D1982" t="s">
        <v>6</v>
      </c>
      <c r="E1982" t="s">
        <v>12</v>
      </c>
      <c r="F1982">
        <v>2024</v>
      </c>
      <c r="G1982">
        <v>4013.7569199999998</v>
      </c>
      <c r="H1982">
        <v>0.01</v>
      </c>
      <c r="I1982">
        <v>-1</v>
      </c>
    </row>
    <row r="1983" spans="1:9" hidden="1" x14ac:dyDescent="0.25">
      <c r="A1983" t="s">
        <v>371</v>
      </c>
      <c r="B1983" t="s">
        <v>6</v>
      </c>
      <c r="C1983" t="s">
        <v>12</v>
      </c>
      <c r="D1983" t="s">
        <v>6</v>
      </c>
      <c r="E1983" t="s">
        <v>12</v>
      </c>
      <c r="F1983">
        <v>2025</v>
      </c>
      <c r="G1983">
        <v>4013.7569199999998</v>
      </c>
      <c r="H1983">
        <v>0.01</v>
      </c>
      <c r="I1983">
        <v>-1</v>
      </c>
    </row>
    <row r="1984" spans="1:9" hidden="1" x14ac:dyDescent="0.25">
      <c r="A1984" t="s">
        <v>371</v>
      </c>
      <c r="B1984" t="s">
        <v>6</v>
      </c>
      <c r="C1984" t="s">
        <v>12</v>
      </c>
      <c r="D1984" t="s">
        <v>6</v>
      </c>
      <c r="E1984" t="s">
        <v>12</v>
      </c>
      <c r="F1984">
        <v>2026</v>
      </c>
      <c r="G1984">
        <v>4013.7569199999998</v>
      </c>
      <c r="H1984">
        <v>0.01</v>
      </c>
      <c r="I1984">
        <v>-1</v>
      </c>
    </row>
    <row r="1985" spans="1:9" hidden="1" x14ac:dyDescent="0.25">
      <c r="A1985" t="s">
        <v>371</v>
      </c>
      <c r="B1985" t="s">
        <v>6</v>
      </c>
      <c r="C1985" t="s">
        <v>12</v>
      </c>
      <c r="D1985" t="s">
        <v>6</v>
      </c>
      <c r="E1985" t="s">
        <v>12</v>
      </c>
      <c r="F1985">
        <v>2027</v>
      </c>
      <c r="G1985">
        <v>4013.7569199999998</v>
      </c>
      <c r="H1985">
        <v>0.01</v>
      </c>
      <c r="I1985">
        <v>-1</v>
      </c>
    </row>
    <row r="1986" spans="1:9" hidden="1" x14ac:dyDescent="0.25">
      <c r="A1986" t="s">
        <v>371</v>
      </c>
      <c r="B1986" t="s">
        <v>6</v>
      </c>
      <c r="C1986" t="s">
        <v>12</v>
      </c>
      <c r="D1986" t="s">
        <v>6</v>
      </c>
      <c r="E1986" t="s">
        <v>12</v>
      </c>
      <c r="F1986">
        <v>2028</v>
      </c>
      <c r="G1986">
        <v>4013.7569199999998</v>
      </c>
      <c r="H1986">
        <v>0.01</v>
      </c>
      <c r="I1986">
        <v>-1</v>
      </c>
    </row>
    <row r="1987" spans="1:9" hidden="1" x14ac:dyDescent="0.25">
      <c r="A1987" t="s">
        <v>371</v>
      </c>
      <c r="B1987" t="s">
        <v>6</v>
      </c>
      <c r="C1987" t="s">
        <v>12</v>
      </c>
      <c r="D1987" t="s">
        <v>6</v>
      </c>
      <c r="E1987" t="s">
        <v>12</v>
      </c>
      <c r="F1987">
        <v>2029</v>
      </c>
      <c r="G1987">
        <v>4013.7569199999998</v>
      </c>
      <c r="H1987">
        <v>0.01</v>
      </c>
      <c r="I1987">
        <v>-1</v>
      </c>
    </row>
    <row r="1988" spans="1:9" hidden="1" x14ac:dyDescent="0.25">
      <c r="A1988" t="s">
        <v>371</v>
      </c>
      <c r="B1988" t="s">
        <v>6</v>
      </c>
      <c r="C1988" t="s">
        <v>12</v>
      </c>
      <c r="D1988" t="s">
        <v>6</v>
      </c>
      <c r="E1988" t="s">
        <v>12</v>
      </c>
      <c r="F1988">
        <v>2030</v>
      </c>
      <c r="G1988">
        <v>4013.7569199999998</v>
      </c>
      <c r="H1988">
        <v>0.01</v>
      </c>
      <c r="I1988">
        <v>-1</v>
      </c>
    </row>
    <row r="1989" spans="1:9" hidden="1" x14ac:dyDescent="0.25">
      <c r="A1989" t="s">
        <v>371</v>
      </c>
      <c r="B1989" t="s">
        <v>6</v>
      </c>
      <c r="C1989" t="s">
        <v>12</v>
      </c>
      <c r="D1989" t="s">
        <v>6</v>
      </c>
      <c r="E1989" t="s">
        <v>12</v>
      </c>
      <c r="F1989">
        <v>2031</v>
      </c>
      <c r="G1989">
        <v>4013.7569199999998</v>
      </c>
      <c r="H1989">
        <v>0.01</v>
      </c>
      <c r="I1989">
        <v>-1</v>
      </c>
    </row>
    <row r="1990" spans="1:9" hidden="1" x14ac:dyDescent="0.25">
      <c r="A1990" t="s">
        <v>371</v>
      </c>
      <c r="B1990" t="s">
        <v>6</v>
      </c>
      <c r="C1990" t="s">
        <v>12</v>
      </c>
      <c r="D1990" t="s">
        <v>6</v>
      </c>
      <c r="E1990" t="s">
        <v>12</v>
      </c>
      <c r="F1990">
        <v>2032</v>
      </c>
      <c r="G1990">
        <v>4013.7569199999998</v>
      </c>
      <c r="H1990">
        <v>0.01</v>
      </c>
      <c r="I1990">
        <v>-1</v>
      </c>
    </row>
    <row r="1991" spans="1:9" hidden="1" x14ac:dyDescent="0.25">
      <c r="A1991" t="s">
        <v>371</v>
      </c>
      <c r="B1991" t="s">
        <v>6</v>
      </c>
      <c r="C1991" t="s">
        <v>12</v>
      </c>
      <c r="D1991" t="s">
        <v>6</v>
      </c>
      <c r="E1991" t="s">
        <v>12</v>
      </c>
      <c r="F1991">
        <v>2033</v>
      </c>
      <c r="G1991">
        <v>4013.7569199999998</v>
      </c>
      <c r="H1991">
        <v>0.01</v>
      </c>
      <c r="I1991">
        <v>-1</v>
      </c>
    </row>
    <row r="1992" spans="1:9" hidden="1" x14ac:dyDescent="0.25">
      <c r="A1992" t="s">
        <v>371</v>
      </c>
      <c r="B1992" t="s">
        <v>6</v>
      </c>
      <c r="C1992" t="s">
        <v>12</v>
      </c>
      <c r="D1992" t="s">
        <v>6</v>
      </c>
      <c r="E1992" t="s">
        <v>12</v>
      </c>
      <c r="F1992">
        <v>2034</v>
      </c>
      <c r="G1992">
        <v>4013.7569199999998</v>
      </c>
      <c r="H1992">
        <v>0.01</v>
      </c>
      <c r="I1992">
        <v>-1</v>
      </c>
    </row>
    <row r="1993" spans="1:9" hidden="1" x14ac:dyDescent="0.25">
      <c r="A1993" t="s">
        <v>371</v>
      </c>
      <c r="B1993" t="s">
        <v>6</v>
      </c>
      <c r="C1993" t="s">
        <v>12</v>
      </c>
      <c r="D1993" t="s">
        <v>6</v>
      </c>
      <c r="E1993" t="s">
        <v>12</v>
      </c>
      <c r="F1993">
        <v>2035</v>
      </c>
      <c r="G1993">
        <v>4013.7569199999998</v>
      </c>
      <c r="H1993">
        <v>0.01</v>
      </c>
      <c r="I1993">
        <v>-1</v>
      </c>
    </row>
    <row r="1994" spans="1:9" hidden="1" x14ac:dyDescent="0.25">
      <c r="A1994" t="s">
        <v>371</v>
      </c>
      <c r="B1994" t="s">
        <v>6</v>
      </c>
      <c r="C1994" t="s">
        <v>12</v>
      </c>
      <c r="D1994" t="s">
        <v>6</v>
      </c>
      <c r="E1994" t="s">
        <v>12</v>
      </c>
      <c r="F1994">
        <v>2036</v>
      </c>
      <c r="G1994">
        <v>4013.7569199999998</v>
      </c>
      <c r="H1994">
        <v>0.01</v>
      </c>
      <c r="I1994">
        <v>-1</v>
      </c>
    </row>
    <row r="1995" spans="1:9" hidden="1" x14ac:dyDescent="0.25">
      <c r="A1995" t="s">
        <v>371</v>
      </c>
      <c r="B1995" t="s">
        <v>6</v>
      </c>
      <c r="C1995" t="s">
        <v>12</v>
      </c>
      <c r="D1995" t="s">
        <v>6</v>
      </c>
      <c r="E1995" t="s">
        <v>12</v>
      </c>
      <c r="F1995">
        <v>2037</v>
      </c>
      <c r="G1995">
        <v>4013.7569199999998</v>
      </c>
      <c r="H1995">
        <v>0.01</v>
      </c>
      <c r="I1995">
        <v>-1</v>
      </c>
    </row>
    <row r="1996" spans="1:9" hidden="1" x14ac:dyDescent="0.25">
      <c r="A1996" t="s">
        <v>371</v>
      </c>
      <c r="B1996" t="s">
        <v>6</v>
      </c>
      <c r="C1996" t="s">
        <v>12</v>
      </c>
      <c r="D1996" t="s">
        <v>6</v>
      </c>
      <c r="E1996" t="s">
        <v>12</v>
      </c>
      <c r="F1996">
        <v>2038</v>
      </c>
      <c r="G1996">
        <v>4013.7569199999998</v>
      </c>
      <c r="H1996">
        <v>0.01</v>
      </c>
      <c r="I1996">
        <v>-1</v>
      </c>
    </row>
    <row r="1997" spans="1:9" hidden="1" x14ac:dyDescent="0.25">
      <c r="A1997" t="s">
        <v>371</v>
      </c>
      <c r="B1997" t="s">
        <v>6</v>
      </c>
      <c r="C1997" t="s">
        <v>12</v>
      </c>
      <c r="D1997" t="s">
        <v>6</v>
      </c>
      <c r="E1997" t="s">
        <v>12</v>
      </c>
      <c r="F1997">
        <v>2039</v>
      </c>
      <c r="G1997">
        <v>4013.7569199999998</v>
      </c>
      <c r="H1997">
        <v>0.01</v>
      </c>
      <c r="I1997">
        <v>-1</v>
      </c>
    </row>
    <row r="1998" spans="1:9" hidden="1" x14ac:dyDescent="0.25">
      <c r="A1998" t="s">
        <v>371</v>
      </c>
      <c r="B1998" t="s">
        <v>6</v>
      </c>
      <c r="C1998" t="s">
        <v>12</v>
      </c>
      <c r="D1998" t="s">
        <v>6</v>
      </c>
      <c r="E1998" t="s">
        <v>12</v>
      </c>
      <c r="F1998">
        <v>2040</v>
      </c>
      <c r="G1998">
        <v>4013.7569199999998</v>
      </c>
      <c r="H1998">
        <v>0.01</v>
      </c>
      <c r="I1998">
        <v>-1</v>
      </c>
    </row>
    <row r="1999" spans="1:9" hidden="1" x14ac:dyDescent="0.25">
      <c r="A1999" t="s">
        <v>371</v>
      </c>
      <c r="B1999" t="s">
        <v>6</v>
      </c>
      <c r="C1999" t="s">
        <v>12</v>
      </c>
      <c r="D1999" t="s">
        <v>6</v>
      </c>
      <c r="E1999" t="s">
        <v>12</v>
      </c>
      <c r="F1999">
        <v>2041</v>
      </c>
      <c r="G1999">
        <v>4013.7569199999998</v>
      </c>
      <c r="H1999">
        <v>0.01</v>
      </c>
      <c r="I1999">
        <v>-1</v>
      </c>
    </row>
  </sheetData>
  <autoFilter ref="A1:I1999" xr:uid="{840CAD5C-89A4-41ED-942B-B8730DFFD6BB}">
    <filterColumn colId="0">
      <filters>
        <filter val="THERMAL_COAL"/>
      </filters>
    </filterColumn>
    <filterColumn colId="5">
      <filters>
        <filter val="2024"/>
      </filters>
    </filterColumn>
    <sortState xmlns:xlrd2="http://schemas.microsoft.com/office/spreadsheetml/2017/richdata2" ref="A452:I884">
      <sortCondition ref="H1:H199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PeriodMap</vt:lpstr>
      <vt:lpstr>assets_gen_p1</vt:lpstr>
      <vt:lpstr>assets_gen_p2</vt:lpstr>
      <vt:lpstr>assets_stor_p1</vt:lpstr>
      <vt:lpstr>assets_stor_p2</vt:lpstr>
      <vt:lpstr>nodes_p1</vt:lpstr>
      <vt:lpstr>nodes_p2</vt:lpstr>
      <vt:lpstr>transmission_p1</vt:lpstr>
      <vt:lpstr>transmission_p2</vt:lpstr>
      <vt:lpstr>CarriersTech_characteristics</vt:lpstr>
      <vt:lpstr>Conversions</vt:lpstr>
      <vt:lpstr>Capacity</vt:lpstr>
      <vt:lpstr>EC_Transfers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2026-05-12T01:21:30Z</dcterms:modified>
</cp:coreProperties>
</file>