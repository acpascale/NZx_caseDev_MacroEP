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ascale\OneDrive - Princeton University\Documents\GitHub\NZx_caseDev_MacroEP\electricity_fiveZ_8736_2p_nziShadow_dev\viz_compare_info\"/>
    </mc:Choice>
  </mc:AlternateContent>
  <xr:revisionPtr revIDLastSave="0" documentId="13_ncr:1_{AEAB39F1-1C62-4FA0-85FB-0EFBBBB41746}" xr6:coauthVersionLast="47" xr6:coauthVersionMax="47" xr10:uidLastSave="{00000000-0000-0000-0000-000000000000}"/>
  <bookViews>
    <workbookView xWindow="-120" yWindow="-120" windowWidth="29040" windowHeight="15720" activeTab="1" xr2:uid="{0C04E4D0-5751-44E6-BC3B-AD203EDB8BF9}"/>
  </bookViews>
  <sheets>
    <sheet name="PIER_CHK" sheetId="7" r:id="rId1"/>
    <sheet name="ECT_EfficiencyCostMaxAnnualUF" sheetId="1" r:id="rId2"/>
    <sheet name="Storage" sheetId="5" r:id="rId3"/>
    <sheet name="Carriers" sheetId="4" r:id="rId4"/>
    <sheet name="Conversions" sheetId="11" r:id="rId5"/>
    <sheet name="Transmission" sheetId="3" r:id="rId6"/>
    <sheet name="Tx-CTU-rollingplans" sheetId="6" r:id="rId7"/>
    <sheet name="ECT_MaxAdd2024" sheetId="2" r:id="rId8"/>
    <sheet name="NODES" sheetId="10" r:id="rId9"/>
    <sheet name="CAPEX_example" sheetId="12" r:id="rId10"/>
  </sheets>
  <externalReferences>
    <externalReference r:id="rId11"/>
  </externalReferences>
  <definedNames>
    <definedName name="_xlnm._FilterDatabase" localSheetId="1" hidden="1">ECT_EfficiencyCostMaxAnnualUF!#REF!</definedName>
    <definedName name="Escalation_rate">[1]!COAL_TransitCost_Esc[#All]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  <c r="Z8" i="1"/>
  <c r="Z9" i="1"/>
  <c r="Z10" i="1"/>
  <c r="Z6" i="1"/>
  <c r="AB6" i="1" s="1"/>
  <c r="AF10" i="1"/>
  <c r="AF11" i="1"/>
  <c r="AI11" i="1"/>
  <c r="AM11" i="1" s="1"/>
  <c r="AL22" i="1"/>
  <c r="AH22" i="1"/>
  <c r="AD22" i="1"/>
  <c r="AL21" i="1"/>
  <c r="AH21" i="1"/>
  <c r="AD21" i="1"/>
  <c r="AL20" i="1"/>
  <c r="AH20" i="1"/>
  <c r="AF20" i="1"/>
  <c r="AI20" i="1" s="1"/>
  <c r="AM20" i="1" s="1"/>
  <c r="AD20" i="1"/>
  <c r="AL19" i="1"/>
  <c r="AH19" i="1"/>
  <c r="AF19" i="1"/>
  <c r="AI19" i="1" s="1"/>
  <c r="AM19" i="1" s="1"/>
  <c r="AD19" i="1"/>
  <c r="AL18" i="1"/>
  <c r="AH18" i="1"/>
  <c r="AF18" i="1"/>
  <c r="AI18" i="1" s="1"/>
  <c r="AM18" i="1" s="1"/>
  <c r="AD18" i="1"/>
  <c r="AL17" i="1"/>
  <c r="AG17" i="1"/>
  <c r="AH17" i="1" s="1"/>
  <c r="AF17" i="1"/>
  <c r="AD17" i="1"/>
  <c r="AL16" i="1"/>
  <c r="AH16" i="1"/>
  <c r="AD16" i="1"/>
  <c r="AL15" i="1"/>
  <c r="AH15" i="1"/>
  <c r="AF15" i="1"/>
  <c r="AI15" i="1" s="1"/>
  <c r="AM15" i="1" s="1"/>
  <c r="AD15" i="1"/>
  <c r="AL14" i="1"/>
  <c r="AH14" i="1"/>
  <c r="AF14" i="1"/>
  <c r="AD14" i="1"/>
  <c r="AL13" i="1"/>
  <c r="AH13" i="1"/>
  <c r="AF13" i="1"/>
  <c r="AI13" i="1" s="1"/>
  <c r="AM13" i="1" s="1"/>
  <c r="AD13" i="1"/>
  <c r="AL12" i="1"/>
  <c r="AH12" i="1"/>
  <c r="AD12" i="1"/>
  <c r="AL11" i="1"/>
  <c r="AH11" i="1"/>
  <c r="AL10" i="1"/>
  <c r="AH10" i="1"/>
  <c r="AI10" i="1"/>
  <c r="AM10" i="1" s="1"/>
  <c r="AL9" i="1"/>
  <c r="AH9" i="1"/>
  <c r="AI9" i="1" s="1"/>
  <c r="AM9" i="1" s="1"/>
  <c r="AF9" i="1"/>
  <c r="AL8" i="1"/>
  <c r="AH8" i="1"/>
  <c r="AI8" i="1" s="1"/>
  <c r="AM8" i="1" s="1"/>
  <c r="AF8" i="1"/>
  <c r="AL7" i="1"/>
  <c r="AH7" i="1"/>
  <c r="AF7" i="1"/>
  <c r="AI7" i="1" s="1"/>
  <c r="AM7" i="1" s="1"/>
  <c r="AL6" i="1"/>
  <c r="AH6" i="1"/>
  <c r="AF6" i="1"/>
  <c r="AI6" i="1" s="1"/>
  <c r="AM6" i="1" s="1"/>
  <c r="Q22" i="1"/>
  <c r="AF22" i="1" s="1"/>
  <c r="AI22" i="1" s="1"/>
  <c r="AM22" i="1" s="1"/>
  <c r="Q21" i="1"/>
  <c r="AF21" i="1" s="1"/>
  <c r="Q20" i="1"/>
  <c r="Q19" i="1"/>
  <c r="Q18" i="1"/>
  <c r="Q17" i="1"/>
  <c r="Q16" i="1"/>
  <c r="AF16" i="1" s="1"/>
  <c r="AI16" i="1" s="1"/>
  <c r="AM16" i="1" s="1"/>
  <c r="Q15" i="1"/>
  <c r="Q14" i="1"/>
  <c r="Q13" i="1"/>
  <c r="Q12" i="1"/>
  <c r="AF12" i="1" s="1"/>
  <c r="Q10" i="1"/>
  <c r="Q9" i="1"/>
  <c r="Q8" i="1"/>
  <c r="Q7" i="1"/>
  <c r="Q6" i="1"/>
  <c r="P21" i="1"/>
  <c r="P20" i="1"/>
  <c r="P19" i="1"/>
  <c r="P18" i="1"/>
  <c r="P17" i="1"/>
  <c r="P16" i="1"/>
  <c r="P14" i="1"/>
  <c r="P13" i="1"/>
  <c r="P12" i="1"/>
  <c r="P10" i="1"/>
  <c r="P9" i="1"/>
  <c r="P8" i="1"/>
  <c r="P7" i="1"/>
  <c r="P6" i="1"/>
  <c r="AI12" i="1" l="1"/>
  <c r="AM12" i="1" s="1"/>
  <c r="AI14" i="1"/>
  <c r="AM14" i="1" s="1"/>
  <c r="AI21" i="1"/>
  <c r="AM21" i="1" s="1"/>
  <c r="AI17" i="1"/>
  <c r="AM17" i="1" s="1"/>
  <c r="Y17" i="1" l="1"/>
  <c r="T17" i="1" s="1"/>
  <c r="Y16" i="1"/>
  <c r="T16" i="1" s="1"/>
  <c r="Y18" i="1"/>
  <c r="T18" i="1" s="1"/>
  <c r="Y15" i="1"/>
  <c r="T15" i="1" s="1"/>
  <c r="Y14" i="1"/>
  <c r="T14" i="1" s="1"/>
  <c r="Y13" i="1"/>
  <c r="T13" i="1" s="1"/>
  <c r="Y12" i="1"/>
  <c r="T12" i="1" s="1"/>
  <c r="Y10" i="1"/>
  <c r="T10" i="1" s="1"/>
  <c r="Y9" i="1"/>
  <c r="T9" i="1" s="1"/>
  <c r="Y8" i="1"/>
  <c r="T8" i="1" s="1"/>
  <c r="Y7" i="1"/>
  <c r="T7" i="1" s="1"/>
  <c r="T19" i="1"/>
  <c r="T20" i="1"/>
  <c r="T21" i="1"/>
  <c r="T22" i="1"/>
  <c r="Y6" i="1"/>
  <c r="T6" i="1" s="1"/>
  <c r="G13" i="12"/>
  <c r="J13" i="12" s="1"/>
  <c r="J14" i="12" s="1"/>
  <c r="J15" i="12" s="1"/>
  <c r="J16" i="12" s="1"/>
  <c r="J17" i="12" s="1"/>
  <c r="G14" i="12" l="1"/>
  <c r="H13" i="12"/>
  <c r="H14" i="12" s="1"/>
  <c r="H15" i="12" s="1"/>
  <c r="H16" i="12" s="1"/>
  <c r="H17" i="12" s="1"/>
  <c r="I13" i="12"/>
  <c r="I14" i="12" s="1"/>
  <c r="I15" i="12" s="1"/>
  <c r="I16" i="12" s="1"/>
  <c r="I17" i="12" s="1"/>
  <c r="G15" i="12" l="1"/>
  <c r="G16" i="12" s="1"/>
  <c r="G17" i="12" s="1"/>
  <c r="H28" i="10"/>
  <c r="G28" i="10"/>
  <c r="P8" i="10"/>
  <c r="Q8" i="10" s="1"/>
  <c r="R8" i="10"/>
  <c r="R7" i="10"/>
  <c r="Q7" i="10"/>
  <c r="P7" i="10"/>
  <c r="R10" i="10"/>
  <c r="R11" i="10"/>
  <c r="R12" i="10"/>
  <c r="R13" i="10"/>
  <c r="R14" i="10"/>
  <c r="R15" i="10"/>
  <c r="R16" i="10"/>
  <c r="R17" i="10"/>
  <c r="R18" i="10"/>
  <c r="O5" i="10"/>
  <c r="Q5" i="10" s="1"/>
  <c r="R5" i="10" s="1"/>
  <c r="O6" i="10"/>
  <c r="Q6" i="10" s="1"/>
  <c r="R6" i="10" s="1"/>
  <c r="R9" i="10"/>
  <c r="Q18" i="10"/>
  <c r="Q17" i="10"/>
  <c r="Q16" i="10"/>
  <c r="Q15" i="10"/>
  <c r="Q14" i="10"/>
  <c r="Q13" i="10"/>
  <c r="Q12" i="10"/>
  <c r="Q11" i="10"/>
  <c r="Q10" i="10"/>
  <c r="I28" i="10" s="1"/>
  <c r="O4" i="10"/>
  <c r="Q4" i="10" s="1"/>
  <c r="R4" i="10" s="1"/>
  <c r="Q3" i="10"/>
  <c r="R3" i="10" s="1"/>
  <c r="T9" i="10"/>
  <c r="O18" i="10"/>
  <c r="O17" i="10"/>
  <c r="O16" i="10"/>
  <c r="O15" i="10"/>
  <c r="O14" i="10"/>
  <c r="O13" i="10"/>
  <c r="O12" i="10"/>
  <c r="O11" i="10"/>
  <c r="O10" i="10"/>
  <c r="O9" i="10"/>
  <c r="Q9" i="10" s="1"/>
  <c r="O3" i="10"/>
  <c r="M38" i="1" l="1"/>
  <c r="M37" i="1"/>
  <c r="M36" i="1"/>
  <c r="M35" i="1"/>
  <c r="M34" i="1"/>
  <c r="M33" i="1"/>
  <c r="M28" i="1"/>
  <c r="M27" i="1"/>
  <c r="O26" i="1" s="1"/>
  <c r="S7" i="1"/>
  <c r="S8" i="1"/>
  <c r="S9" i="1"/>
  <c r="S10" i="1"/>
  <c r="S6" i="1"/>
  <c r="T10" i="10" l="1"/>
  <c r="U10" i="10"/>
  <c r="W13" i="10" s="1"/>
  <c r="T11" i="10"/>
  <c r="V13" i="10" s="1"/>
  <c r="U11" i="10"/>
  <c r="T12" i="10"/>
  <c r="U12" i="10"/>
  <c r="T13" i="10"/>
  <c r="U13" i="10"/>
  <c r="T14" i="10"/>
  <c r="V18" i="10" s="1"/>
  <c r="U14" i="10"/>
  <c r="W18" i="10" s="1"/>
  <c r="T15" i="10"/>
  <c r="U15" i="10"/>
  <c r="T16" i="10"/>
  <c r="U16" i="10"/>
  <c r="T17" i="10"/>
  <c r="U17" i="10"/>
  <c r="T18" i="10"/>
  <c r="U18" i="10"/>
  <c r="U9" i="10"/>
  <c r="T8" i="10"/>
  <c r="U8" i="10"/>
  <c r="U7" i="10"/>
  <c r="T7" i="10"/>
  <c r="T6" i="10"/>
  <c r="U6" i="10"/>
  <c r="U5" i="10"/>
  <c r="T4" i="10"/>
  <c r="U4" i="10"/>
  <c r="T3" i="10"/>
  <c r="U3" i="10"/>
  <c r="T5" i="10"/>
  <c r="Q9" i="7"/>
  <c r="Q10" i="7"/>
  <c r="Q11" i="7"/>
  <c r="Q12" i="7"/>
  <c r="Q13" i="7"/>
  <c r="Q14" i="7"/>
  <c r="Q15" i="7"/>
  <c r="Q8" i="7"/>
  <c r="I3" i="7"/>
  <c r="J3" i="7" s="1"/>
  <c r="AA6" i="1"/>
  <c r="K3" i="3"/>
  <c r="K4" i="3"/>
  <c r="K5" i="3"/>
  <c r="K6" i="3"/>
  <c r="K2" i="3"/>
  <c r="I4" i="7"/>
  <c r="AA7" i="1"/>
  <c r="AB7" i="1" s="1"/>
  <c r="AA8" i="1"/>
  <c r="AA9" i="1"/>
  <c r="AA10" i="1"/>
  <c r="D6" i="7"/>
  <c r="G4" i="7"/>
  <c r="G3" i="7"/>
  <c r="D4" i="7"/>
  <c r="D3" i="7"/>
  <c r="K10" i="5"/>
  <c r="K9" i="5"/>
  <c r="K8" i="5"/>
  <c r="Q7" i="5"/>
  <c r="Q8" i="5"/>
  <c r="Q9" i="5"/>
  <c r="P7" i="5"/>
  <c r="P8" i="5"/>
  <c r="P9" i="5"/>
  <c r="F26" i="5"/>
  <c r="F25" i="5"/>
  <c r="F24" i="5"/>
  <c r="F23" i="5"/>
  <c r="F22" i="5"/>
  <c r="E26" i="5"/>
  <c r="E25" i="5"/>
  <c r="E24" i="5"/>
  <c r="E23" i="5"/>
  <c r="E22" i="5"/>
  <c r="D26" i="5"/>
  <c r="D23" i="5"/>
  <c r="D22" i="5"/>
  <c r="D25" i="5"/>
  <c r="D24" i="5"/>
  <c r="AC6" i="1" l="1"/>
  <c r="G65" i="6"/>
  <c r="F65" i="6"/>
  <c r="D65" i="6" s="1"/>
  <c r="G64" i="6"/>
  <c r="F64" i="6"/>
  <c r="D64" i="6" s="1"/>
  <c r="G63" i="6"/>
  <c r="F63" i="6"/>
  <c r="D63" i="6" s="1"/>
  <c r="G62" i="6"/>
  <c r="D62" i="6" s="1"/>
  <c r="F62" i="6"/>
  <c r="G61" i="6"/>
  <c r="F61" i="6"/>
  <c r="D61" i="6" s="1"/>
  <c r="AC61" i="6" s="1"/>
  <c r="G60" i="6"/>
  <c r="F60" i="6"/>
  <c r="D60" i="6" s="1"/>
  <c r="G59" i="6"/>
  <c r="F59" i="6"/>
  <c r="D59" i="6" s="1"/>
  <c r="G58" i="6"/>
  <c r="F58" i="6"/>
  <c r="D58" i="6"/>
  <c r="G57" i="6"/>
  <c r="F57" i="6"/>
  <c r="G56" i="6"/>
  <c r="F56" i="6"/>
  <c r="D56" i="6" s="1"/>
  <c r="AC56" i="6" s="1"/>
  <c r="G55" i="6"/>
  <c r="F55" i="6"/>
  <c r="D55" i="6"/>
  <c r="G54" i="6"/>
  <c r="F54" i="6"/>
  <c r="D54" i="6" s="1"/>
  <c r="AC54" i="6" s="1"/>
  <c r="G53" i="6"/>
  <c r="F53" i="6"/>
  <c r="D53" i="6" s="1"/>
  <c r="G52" i="6"/>
  <c r="F52" i="6"/>
  <c r="D52" i="6"/>
  <c r="I51" i="6"/>
  <c r="J51" i="6" s="1"/>
  <c r="K51" i="6" s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X33" i="6"/>
  <c r="W33" i="6"/>
  <c r="V33" i="6"/>
  <c r="T33" i="6"/>
  <c r="R33" i="6"/>
  <c r="P33" i="6"/>
  <c r="N33" i="6"/>
  <c r="C33" i="6"/>
  <c r="X32" i="6"/>
  <c r="W32" i="6"/>
  <c r="V32" i="6"/>
  <c r="T32" i="6"/>
  <c r="R32" i="6"/>
  <c r="P32" i="6"/>
  <c r="N32" i="6"/>
  <c r="C32" i="6"/>
  <c r="X31" i="6"/>
  <c r="W31" i="6"/>
  <c r="V31" i="6"/>
  <c r="T31" i="6"/>
  <c r="R31" i="6"/>
  <c r="P31" i="6"/>
  <c r="N31" i="6"/>
  <c r="C31" i="6"/>
  <c r="X30" i="6"/>
  <c r="W30" i="6"/>
  <c r="V30" i="6"/>
  <c r="T30" i="6"/>
  <c r="R30" i="6"/>
  <c r="P30" i="6"/>
  <c r="N30" i="6"/>
  <c r="C30" i="6"/>
  <c r="X29" i="6"/>
  <c r="W29" i="6"/>
  <c r="V29" i="6"/>
  <c r="T29" i="6"/>
  <c r="R29" i="6"/>
  <c r="P29" i="6"/>
  <c r="N29" i="6"/>
  <c r="C29" i="6"/>
  <c r="X28" i="6"/>
  <c r="W28" i="6"/>
  <c r="V28" i="6"/>
  <c r="T28" i="6"/>
  <c r="R28" i="6"/>
  <c r="P28" i="6"/>
  <c r="N28" i="6"/>
  <c r="C28" i="6"/>
  <c r="X27" i="6"/>
  <c r="W27" i="6"/>
  <c r="V27" i="6"/>
  <c r="T27" i="6"/>
  <c r="R27" i="6"/>
  <c r="P27" i="6"/>
  <c r="N27" i="6"/>
  <c r="C27" i="6"/>
  <c r="X26" i="6"/>
  <c r="W26" i="6"/>
  <c r="V26" i="6"/>
  <c r="T26" i="6"/>
  <c r="R26" i="6"/>
  <c r="P26" i="6"/>
  <c r="N26" i="6"/>
  <c r="C26" i="6"/>
  <c r="X25" i="6"/>
  <c r="W25" i="6"/>
  <c r="V25" i="6"/>
  <c r="T25" i="6"/>
  <c r="R25" i="6"/>
  <c r="P25" i="6"/>
  <c r="N25" i="6"/>
  <c r="C25" i="6"/>
  <c r="X24" i="6"/>
  <c r="W24" i="6"/>
  <c r="V24" i="6"/>
  <c r="T24" i="6"/>
  <c r="R24" i="6"/>
  <c r="P24" i="6"/>
  <c r="N24" i="6"/>
  <c r="C24" i="6"/>
  <c r="X23" i="6"/>
  <c r="W23" i="6"/>
  <c r="V23" i="6"/>
  <c r="T23" i="6"/>
  <c r="R23" i="6"/>
  <c r="P23" i="6"/>
  <c r="N23" i="6"/>
  <c r="C23" i="6"/>
  <c r="X22" i="6"/>
  <c r="W22" i="6"/>
  <c r="V22" i="6"/>
  <c r="T22" i="6"/>
  <c r="R22" i="6"/>
  <c r="P22" i="6"/>
  <c r="N22" i="6"/>
  <c r="C22" i="6"/>
  <c r="X21" i="6"/>
  <c r="W21" i="6"/>
  <c r="V21" i="6"/>
  <c r="T21" i="6"/>
  <c r="R21" i="6"/>
  <c r="P21" i="6"/>
  <c r="N21" i="6"/>
  <c r="C21" i="6"/>
  <c r="X20" i="6"/>
  <c r="W20" i="6"/>
  <c r="V20" i="6"/>
  <c r="T20" i="6"/>
  <c r="R20" i="6"/>
  <c r="P20" i="6"/>
  <c r="N20" i="6"/>
  <c r="C20" i="6"/>
  <c r="X19" i="6"/>
  <c r="W19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C14" i="6"/>
  <c r="B14" i="6"/>
  <c r="C11" i="6"/>
  <c r="B11" i="6"/>
  <c r="C16" i="6"/>
  <c r="B16" i="6"/>
  <c r="C12" i="6"/>
  <c r="B12" i="6"/>
  <c r="C15" i="6"/>
  <c r="B15" i="6"/>
  <c r="C13" i="6"/>
  <c r="B13" i="6"/>
  <c r="C10" i="6"/>
  <c r="B10" i="6"/>
  <c r="D57" i="6" l="1"/>
  <c r="Q63" i="6"/>
  <c r="H64" i="6"/>
  <c r="K59" i="6"/>
  <c r="O63" i="6"/>
  <c r="Q65" i="6"/>
  <c r="J54" i="6"/>
  <c r="K54" i="6"/>
  <c r="Q56" i="6"/>
  <c r="H59" i="6"/>
  <c r="H56" i="6"/>
  <c r="I59" i="6"/>
  <c r="Q61" i="6"/>
  <c r="K56" i="6"/>
  <c r="L56" i="6"/>
  <c r="AE56" i="6" s="1"/>
  <c r="P53" i="6"/>
  <c r="Q53" i="6"/>
  <c r="J61" i="6"/>
  <c r="M58" i="6"/>
  <c r="K63" i="6"/>
  <c r="L61" i="6"/>
  <c r="O58" i="6"/>
  <c r="M61" i="6"/>
  <c r="N61" i="6"/>
  <c r="M63" i="6"/>
  <c r="N63" i="6"/>
  <c r="Q59" i="6"/>
  <c r="P59" i="6"/>
  <c r="O59" i="6"/>
  <c r="N59" i="6"/>
  <c r="M59" i="6"/>
  <c r="L59" i="6"/>
  <c r="AE59" i="6" s="1"/>
  <c r="Q64" i="6"/>
  <c r="P64" i="6"/>
  <c r="O64" i="6"/>
  <c r="N64" i="6"/>
  <c r="M64" i="6"/>
  <c r="L64" i="6"/>
  <c r="AE64" i="6" s="1"/>
  <c r="K64" i="6"/>
  <c r="L53" i="6"/>
  <c r="I64" i="6"/>
  <c r="K58" i="6"/>
  <c r="M56" i="6"/>
  <c r="O55" i="6"/>
  <c r="L58" i="6"/>
  <c r="P55" i="6"/>
  <c r="Q55" i="6"/>
  <c r="Q54" i="6"/>
  <c r="P54" i="6"/>
  <c r="O54" i="6"/>
  <c r="N54" i="6"/>
  <c r="M54" i="6"/>
  <c r="L54" i="6"/>
  <c r="AE54" i="6" s="1"/>
  <c r="P58" i="6"/>
  <c r="L63" i="6"/>
  <c r="AE63" i="6" s="1"/>
  <c r="Q58" i="6"/>
  <c r="Q57" i="6"/>
  <c r="P57" i="6"/>
  <c r="O57" i="6"/>
  <c r="N57" i="6"/>
  <c r="M57" i="6"/>
  <c r="L57" i="6"/>
  <c r="K57" i="6"/>
  <c r="J57" i="6"/>
  <c r="I57" i="6"/>
  <c r="AC57" i="6"/>
  <c r="H57" i="6"/>
  <c r="H54" i="6"/>
  <c r="P60" i="6"/>
  <c r="Q62" i="6"/>
  <c r="P62" i="6"/>
  <c r="O62" i="6"/>
  <c r="N62" i="6"/>
  <c r="M62" i="6"/>
  <c r="L62" i="6"/>
  <c r="K62" i="6"/>
  <c r="J62" i="6"/>
  <c r="I62" i="6"/>
  <c r="AC62" i="6"/>
  <c r="H62" i="6"/>
  <c r="K53" i="6"/>
  <c r="J58" i="6"/>
  <c r="N55" i="6"/>
  <c r="J53" i="6"/>
  <c r="M65" i="6"/>
  <c r="I63" i="6"/>
  <c r="M60" i="6"/>
  <c r="I58" i="6"/>
  <c r="M55" i="6"/>
  <c r="I53" i="6"/>
  <c r="O61" i="6"/>
  <c r="I56" i="6"/>
  <c r="J59" i="6"/>
  <c r="J56" i="6"/>
  <c r="M53" i="6"/>
  <c r="N53" i="6"/>
  <c r="J64" i="6"/>
  <c r="O53" i="6"/>
  <c r="H61" i="6"/>
  <c r="N56" i="6"/>
  <c r="I61" i="6"/>
  <c r="O56" i="6"/>
  <c r="AC59" i="6"/>
  <c r="Q52" i="6"/>
  <c r="P52" i="6"/>
  <c r="O52" i="6"/>
  <c r="N52" i="6"/>
  <c r="M52" i="6"/>
  <c r="L52" i="6"/>
  <c r="K52" i="6"/>
  <c r="J52" i="6"/>
  <c r="I52" i="6"/>
  <c r="AC52" i="6"/>
  <c r="H52" i="6"/>
  <c r="K61" i="6"/>
  <c r="N58" i="6"/>
  <c r="AC64" i="6"/>
  <c r="O60" i="6"/>
  <c r="O65" i="6"/>
  <c r="I54" i="6"/>
  <c r="Q60" i="6"/>
  <c r="P63" i="6"/>
  <c r="P65" i="6"/>
  <c r="P56" i="6"/>
  <c r="P61" i="6"/>
  <c r="H55" i="6"/>
  <c r="AC55" i="6"/>
  <c r="H60" i="6"/>
  <c r="AC60" i="6"/>
  <c r="H65" i="6"/>
  <c r="AC65" i="6"/>
  <c r="I55" i="6"/>
  <c r="I60" i="6"/>
  <c r="I65" i="6"/>
  <c r="J55" i="6"/>
  <c r="J60" i="6"/>
  <c r="J65" i="6"/>
  <c r="K55" i="6"/>
  <c r="K60" i="6"/>
  <c r="K65" i="6"/>
  <c r="H53" i="6"/>
  <c r="AC53" i="6"/>
  <c r="L55" i="6"/>
  <c r="H58" i="6"/>
  <c r="AC58" i="6"/>
  <c r="L60" i="6"/>
  <c r="H63" i="6"/>
  <c r="AC63" i="6"/>
  <c r="L65" i="6"/>
  <c r="N60" i="6"/>
  <c r="J63" i="6"/>
  <c r="N65" i="6"/>
  <c r="AF63" i="6" l="1"/>
  <c r="AG63" i="6" s="1"/>
  <c r="AE57" i="6"/>
  <c r="AE61" i="6"/>
  <c r="AE60" i="6"/>
  <c r="AF55" i="6"/>
  <c r="AG55" i="6" s="1"/>
  <c r="AF61" i="6"/>
  <c r="AG61" i="6" s="1"/>
  <c r="AE58" i="6"/>
  <c r="AF56" i="6"/>
  <c r="AF65" i="6"/>
  <c r="AG65" i="6" s="1"/>
  <c r="H67" i="6"/>
  <c r="H68" i="6"/>
  <c r="AF64" i="6"/>
  <c r="AG64" i="6" s="1"/>
  <c r="AF62" i="6"/>
  <c r="AG62" i="6" s="1"/>
  <c r="AF57" i="6"/>
  <c r="AG57" i="6" s="1"/>
  <c r="I67" i="6"/>
  <c r="I68" i="6"/>
  <c r="K68" i="6"/>
  <c r="K67" i="6"/>
  <c r="AE65" i="6"/>
  <c r="AE52" i="6"/>
  <c r="L67" i="6"/>
  <c r="L68" i="6"/>
  <c r="AF60" i="6"/>
  <c r="AG60" i="6" s="1"/>
  <c r="AF54" i="6"/>
  <c r="AG54" i="6" s="1"/>
  <c r="O68" i="6"/>
  <c r="O67" i="6"/>
  <c r="Q68" i="6"/>
  <c r="Q67" i="6"/>
  <c r="AE55" i="6"/>
  <c r="AF53" i="6"/>
  <c r="AG53" i="6" s="1"/>
  <c r="M68" i="6"/>
  <c r="M67" i="6"/>
  <c r="AF52" i="6"/>
  <c r="AG52" i="6" s="1"/>
  <c r="AG56" i="6" s="1"/>
  <c r="P68" i="6"/>
  <c r="P67" i="6"/>
  <c r="AE53" i="6"/>
  <c r="AE62" i="6"/>
  <c r="AF58" i="6"/>
  <c r="AG58" i="6" s="1"/>
  <c r="J67" i="6"/>
  <c r="J68" i="6"/>
  <c r="N68" i="6"/>
  <c r="N67" i="6"/>
  <c r="AF59" i="6"/>
  <c r="AG59" i="6" s="1"/>
  <c r="AE67" i="6" l="1"/>
  <c r="AF67" i="6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I60" i="6" s="1"/>
  <c r="R56" i="6"/>
  <c r="S56" i="6" s="1"/>
  <c r="T56" i="6" s="1"/>
  <c r="U56" i="6" s="1"/>
  <c r="V56" i="6" s="1"/>
  <c r="W56" i="6" s="1"/>
  <c r="X56" i="6" s="1"/>
  <c r="Y56" i="6" s="1"/>
  <c r="Z56" i="6" s="1"/>
  <c r="AA56" i="6" s="1"/>
  <c r="AI56" i="6" s="1"/>
  <c r="R58" i="6" l="1"/>
  <c r="S58" i="6" s="1"/>
  <c r="T58" i="6" s="1"/>
  <c r="U58" i="6" s="1"/>
  <c r="V58" i="6" s="1"/>
  <c r="W58" i="6" s="1"/>
  <c r="X58" i="6" s="1"/>
  <c r="Y58" i="6" s="1"/>
  <c r="Z58" i="6" s="1"/>
  <c r="AA58" i="6" s="1"/>
  <c r="AI58" i="6" s="1"/>
  <c r="R62" i="6"/>
  <c r="S62" i="6" s="1"/>
  <c r="T62" i="6" s="1"/>
  <c r="U62" i="6" s="1"/>
  <c r="V62" i="6" s="1"/>
  <c r="W62" i="6" s="1"/>
  <c r="X62" i="6" s="1"/>
  <c r="Y62" i="6" s="1"/>
  <c r="Z62" i="6" s="1"/>
  <c r="AA62" i="6" s="1"/>
  <c r="AI62" i="6" s="1"/>
  <c r="R63" i="6"/>
  <c r="S63" i="6" s="1"/>
  <c r="T63" i="6" s="1"/>
  <c r="U63" i="6" s="1"/>
  <c r="V63" i="6" s="1"/>
  <c r="W63" i="6" s="1"/>
  <c r="X63" i="6" s="1"/>
  <c r="Y63" i="6" s="1"/>
  <c r="Z63" i="6" s="1"/>
  <c r="AA63" i="6" s="1"/>
  <c r="AI63" i="6" s="1"/>
  <c r="R54" i="6"/>
  <c r="S54" i="6" s="1"/>
  <c r="T54" i="6" s="1"/>
  <c r="U54" i="6" s="1"/>
  <c r="V54" i="6" s="1"/>
  <c r="W54" i="6" s="1"/>
  <c r="X54" i="6" s="1"/>
  <c r="Y54" i="6" s="1"/>
  <c r="Z54" i="6" s="1"/>
  <c r="AA54" i="6" s="1"/>
  <c r="AI54" i="6" s="1"/>
  <c r="R53" i="6"/>
  <c r="S53" i="6" s="1"/>
  <c r="T53" i="6" s="1"/>
  <c r="U53" i="6" s="1"/>
  <c r="V53" i="6" s="1"/>
  <c r="W53" i="6" s="1"/>
  <c r="X53" i="6" s="1"/>
  <c r="Y53" i="6" s="1"/>
  <c r="Z53" i="6" s="1"/>
  <c r="AA53" i="6" s="1"/>
  <c r="AI53" i="6" s="1"/>
  <c r="R65" i="6"/>
  <c r="S65" i="6" s="1"/>
  <c r="T65" i="6" s="1"/>
  <c r="U65" i="6" s="1"/>
  <c r="V65" i="6" s="1"/>
  <c r="W65" i="6" s="1"/>
  <c r="X65" i="6" s="1"/>
  <c r="Y65" i="6" s="1"/>
  <c r="Z65" i="6" s="1"/>
  <c r="AA65" i="6" s="1"/>
  <c r="AI65" i="6" s="1"/>
  <c r="R61" i="6"/>
  <c r="S61" i="6" s="1"/>
  <c r="T61" i="6" s="1"/>
  <c r="U61" i="6" s="1"/>
  <c r="V61" i="6" s="1"/>
  <c r="W61" i="6" s="1"/>
  <c r="X61" i="6" s="1"/>
  <c r="Y61" i="6" s="1"/>
  <c r="Z61" i="6" s="1"/>
  <c r="AA61" i="6" s="1"/>
  <c r="AI61" i="6" s="1"/>
  <c r="R55" i="6"/>
  <c r="S55" i="6" s="1"/>
  <c r="T55" i="6" s="1"/>
  <c r="U55" i="6" s="1"/>
  <c r="V55" i="6" s="1"/>
  <c r="W55" i="6" s="1"/>
  <c r="X55" i="6" s="1"/>
  <c r="Y55" i="6" s="1"/>
  <c r="Z55" i="6" s="1"/>
  <c r="AA55" i="6" s="1"/>
  <c r="AI55" i="6" s="1"/>
  <c r="R64" i="6"/>
  <c r="S64" i="6" s="1"/>
  <c r="T64" i="6" s="1"/>
  <c r="U64" i="6" s="1"/>
  <c r="V64" i="6" s="1"/>
  <c r="W64" i="6" s="1"/>
  <c r="X64" i="6" s="1"/>
  <c r="Y64" i="6" s="1"/>
  <c r="Z64" i="6" s="1"/>
  <c r="AA64" i="6" s="1"/>
  <c r="AI64" i="6" s="1"/>
  <c r="R57" i="6"/>
  <c r="S57" i="6" s="1"/>
  <c r="T57" i="6" s="1"/>
  <c r="U57" i="6" s="1"/>
  <c r="V57" i="6" s="1"/>
  <c r="W57" i="6" s="1"/>
  <c r="X57" i="6" s="1"/>
  <c r="Y57" i="6" s="1"/>
  <c r="Z57" i="6" s="1"/>
  <c r="AA57" i="6" s="1"/>
  <c r="AI57" i="6" s="1"/>
  <c r="R52" i="6"/>
  <c r="R59" i="6"/>
  <c r="S59" i="6" s="1"/>
  <c r="T59" i="6" s="1"/>
  <c r="U59" i="6" s="1"/>
  <c r="V59" i="6" s="1"/>
  <c r="W59" i="6" s="1"/>
  <c r="X59" i="6" s="1"/>
  <c r="Y59" i="6" s="1"/>
  <c r="Z59" i="6" s="1"/>
  <c r="AA59" i="6" s="1"/>
  <c r="AI59" i="6" s="1"/>
  <c r="S52" i="6" l="1"/>
  <c r="R67" i="6"/>
  <c r="R68" i="6"/>
  <c r="S67" i="6" l="1"/>
  <c r="S68" i="6"/>
  <c r="T52" i="6"/>
  <c r="T68" i="6" l="1"/>
  <c r="T67" i="6"/>
  <c r="U52" i="6"/>
  <c r="U68" i="6" l="1"/>
  <c r="U67" i="6"/>
  <c r="V52" i="6"/>
  <c r="V68" i="6" l="1"/>
  <c r="V67" i="6"/>
  <c r="W52" i="6"/>
  <c r="W68" i="6" l="1"/>
  <c r="W67" i="6"/>
  <c r="X52" i="6"/>
  <c r="X68" i="6" l="1"/>
  <c r="X67" i="6"/>
  <c r="Y52" i="6"/>
  <c r="Y68" i="6" l="1"/>
  <c r="Y67" i="6"/>
  <c r="Z52" i="6"/>
  <c r="Z68" i="6" l="1"/>
  <c r="Z67" i="6"/>
  <c r="AA52" i="6"/>
  <c r="AA68" i="6" l="1"/>
  <c r="AA67" i="6"/>
  <c r="AI67" i="6" s="1"/>
  <c r="AI52" i="6"/>
  <c r="D64" i="2" l="1"/>
  <c r="D50" i="2"/>
  <c r="D36" i="2"/>
  <c r="D9" i="2"/>
  <c r="D10" i="2"/>
  <c r="D63" i="2"/>
  <c r="D49" i="2"/>
  <c r="D35" i="2"/>
  <c r="K7" i="5"/>
  <c r="Q10" i="5"/>
  <c r="P10" i="5"/>
  <c r="D16" i="2" l="1"/>
  <c r="D17" i="2"/>
  <c r="D18" i="2"/>
  <c r="D19" i="2"/>
  <c r="D15" i="2"/>
  <c r="D75" i="2"/>
  <c r="D74" i="2"/>
  <c r="D73" i="2"/>
  <c r="D72" i="2"/>
  <c r="D71" i="2"/>
  <c r="D70" i="2"/>
  <c r="D69" i="2"/>
  <c r="D68" i="2"/>
  <c r="D66" i="2"/>
  <c r="D65" i="2"/>
  <c r="D61" i="2"/>
  <c r="D60" i="2"/>
  <c r="D59" i="2"/>
  <c r="D58" i="2"/>
  <c r="D57" i="2"/>
  <c r="D56" i="2"/>
  <c r="D55" i="2"/>
  <c r="D54" i="2"/>
  <c r="D52" i="2"/>
  <c r="D51" i="2"/>
  <c r="D47" i="2"/>
  <c r="D46" i="2"/>
  <c r="D45" i="2"/>
  <c r="D44" i="2"/>
  <c r="D43" i="2"/>
  <c r="D42" i="2"/>
  <c r="D41" i="2"/>
  <c r="D39" i="2"/>
  <c r="D38" i="2"/>
  <c r="D37" i="2"/>
  <c r="D13" i="2"/>
  <c r="D27" i="2"/>
  <c r="D28" i="2"/>
  <c r="D29" i="2"/>
  <c r="D30" i="2"/>
  <c r="D31" i="2"/>
  <c r="D32" i="2"/>
  <c r="D33" i="2"/>
  <c r="D24" i="2"/>
  <c r="D23" i="2"/>
  <c r="D22" i="2"/>
  <c r="D21" i="2"/>
  <c r="D7" i="2"/>
  <c r="D8" i="2"/>
  <c r="D67" i="2"/>
  <c r="D53" i="2"/>
  <c r="D25" i="2"/>
  <c r="D11" i="2"/>
  <c r="D40" i="2"/>
  <c r="D26" i="2"/>
  <c r="D14" i="2"/>
  <c r="D12" i="2"/>
  <c r="AB10" i="1" l="1"/>
  <c r="AC10" i="1" s="1"/>
  <c r="AB8" i="1"/>
  <c r="AC8" i="1" s="1"/>
  <c r="AC7" i="1"/>
  <c r="AB9" i="1"/>
  <c r="AC9" i="1" s="1"/>
  <c r="AA18" i="1"/>
  <c r="AA12" i="1"/>
  <c r="AA13" i="1"/>
  <c r="Z18" i="1" l="1"/>
  <c r="AB18" i="1" s="1"/>
  <c r="AC18" i="1" s="1"/>
  <c r="Z12" i="1"/>
  <c r="AB12" i="1" s="1"/>
  <c r="AC12" i="1" s="1"/>
  <c r="Z13" i="1"/>
  <c r="AB13" i="1" s="1"/>
  <c r="AC13" i="1" s="1"/>
</calcChain>
</file>

<file path=xl/sharedStrings.xml><?xml version="1.0" encoding="utf-8"?>
<sst xmlns="http://schemas.openxmlformats.org/spreadsheetml/2006/main" count="1131" uniqueCount="323">
  <si>
    <t>EnergyConvTech</t>
  </si>
  <si>
    <t>ModelGeography</t>
  </si>
  <si>
    <t>SubGeography1</t>
  </si>
  <si>
    <t>InstYear</t>
  </si>
  <si>
    <t>Year</t>
  </si>
  <si>
    <t>ConvEff</t>
  </si>
  <si>
    <t>MaxAnnualUF</t>
  </si>
  <si>
    <t>INDIA</t>
  </si>
  <si>
    <t>EG_BIOMASS</t>
  </si>
  <si>
    <t>SR</t>
  </si>
  <si>
    <t>NER</t>
  </si>
  <si>
    <t>ER</t>
  </si>
  <si>
    <t>WR</t>
  </si>
  <si>
    <t>NR</t>
  </si>
  <si>
    <t>EG_COAL</t>
  </si>
  <si>
    <t>EG_CCGT</t>
  </si>
  <si>
    <t>EG_LH</t>
  </si>
  <si>
    <t>EG_OCGT</t>
  </si>
  <si>
    <t>EG_PHWR</t>
  </si>
  <si>
    <t>EG_SH</t>
  </si>
  <si>
    <t>EG_SOLARGM</t>
  </si>
  <si>
    <t>EG_SOLARRF</t>
  </si>
  <si>
    <t>EG_WINDON</t>
  </si>
  <si>
    <t>EG_SMR</t>
  </si>
  <si>
    <t>EG_WINDOFF</t>
  </si>
  <si>
    <t>GH_ELECTROLYSIS</t>
  </si>
  <si>
    <t>Lifetime</t>
  </si>
  <si>
    <t>SelfCons</t>
  </si>
  <si>
    <t>MaxRampUpRate</t>
  </si>
  <si>
    <t>MaxRampDownRate</t>
  </si>
  <si>
    <t>CapacityUnit</t>
  </si>
  <si>
    <t>InputEC</t>
  </si>
  <si>
    <t>OutputDEC</t>
  </si>
  <si>
    <t>AnnualOutputPerUnitCapacity</t>
  </si>
  <si>
    <t>GW</t>
  </si>
  <si>
    <t>THERMAL_COAL</t>
  </si>
  <si>
    <t>ELECTRICITY</t>
  </si>
  <si>
    <t>NATGAS</t>
  </si>
  <si>
    <t>ATOMIC</t>
  </si>
  <si>
    <t>HYDEL</t>
  </si>
  <si>
    <t>BIOMASS_WASTE</t>
  </si>
  <si>
    <t>SUNLIGHT</t>
  </si>
  <si>
    <t>WIND</t>
  </si>
  <si>
    <t>CRUDE</t>
  </si>
  <si>
    <t>MS</t>
  </si>
  <si>
    <t>HSD</t>
  </si>
  <si>
    <t>ATF</t>
  </si>
  <si>
    <t>LPG</t>
  </si>
  <si>
    <t>PP_OTHER</t>
  </si>
  <si>
    <t>PETCOKE</t>
  </si>
  <si>
    <t>EmissionType</t>
  </si>
  <si>
    <t>DomEmissionFactor</t>
  </si>
  <si>
    <t>ImpEmissionFactor</t>
  </si>
  <si>
    <t>GHG</t>
  </si>
  <si>
    <t>EnergyCarrier</t>
  </si>
  <si>
    <t>Remarks</t>
  </si>
  <si>
    <t>COKING_COAL</t>
  </si>
  <si>
    <t>20% reduction due to ethanol blending, assuming E20 is fully deployed beginning FY25</t>
  </si>
  <si>
    <t xml:space="preserve"> 5% reduction by FY41 from FY24-34 levels</t>
  </si>
  <si>
    <t>BIOGAS</t>
  </si>
  <si>
    <t>Density of biogas is assumed to be same as natural gas</t>
  </si>
  <si>
    <t>BIOMASS</t>
  </si>
  <si>
    <t>As only fugitive emissions are applicable to crude, emissions for imported crude is assumed as 0 for the ModelGeography</t>
  </si>
  <si>
    <t>BalancingArea</t>
  </si>
  <si>
    <t>BalancingTime</t>
  </si>
  <si>
    <t>PhysicalUnit</t>
  </si>
  <si>
    <t>EnergyUnit</t>
  </si>
  <si>
    <t>DomEnergyDensity</t>
  </si>
  <si>
    <t>ImpEnergyDensity</t>
  </si>
  <si>
    <t>SUBGEOGRAPHY1</t>
  </si>
  <si>
    <t>YEAR</t>
  </si>
  <si>
    <t>MT</t>
  </si>
  <si>
    <t>PJ</t>
  </si>
  <si>
    <t>MODELGEOGRAPHY</t>
  </si>
  <si>
    <t>BCM</t>
  </si>
  <si>
    <t>Row Labels</t>
  </si>
  <si>
    <t>Sum of MaxCapacity</t>
  </si>
  <si>
    <t>ModelGeographySrc</t>
  </si>
  <si>
    <t>SubGeography1Src</t>
  </si>
  <si>
    <t>ModelGeographyDest</t>
  </si>
  <si>
    <t>SubGeography1Dest</t>
  </si>
  <si>
    <t>TransitCost</t>
  </si>
  <si>
    <t>TransitLoss</t>
  </si>
  <si>
    <t>MaxTransit</t>
  </si>
  <si>
    <t>MWh/MT</t>
  </si>
  <si>
    <t>tCO2/MT</t>
  </si>
  <si>
    <t>Fuel Use per MWh</t>
  </si>
  <si>
    <t>Total in 2024</t>
  </si>
  <si>
    <t>Source</t>
  </si>
  <si>
    <t>ALL</t>
  </si>
  <si>
    <t>New Fixed Cost (anualized per MW)</t>
  </si>
  <si>
    <t>Variable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</si>
  <si>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</si>
  <si>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</si>
  <si>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</si>
  <si>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</si>
  <si>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</si>
  <si>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</si>
  <si>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</si>
  <si>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</si>
  <si>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</si>
  <si>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aa</t>
  </si>
  <si>
    <t>bb</t>
  </si>
  <si>
    <t>cc</t>
  </si>
  <si>
    <t>dd</t>
  </si>
  <si>
    <t>ee</t>
  </si>
  <si>
    <t>Equation</t>
  </si>
  <si>
    <t xml:space="preserve"> = 1/a</t>
  </si>
  <si>
    <t>Unit</t>
  </si>
  <si>
    <t>%</t>
  </si>
  <si>
    <t>years</t>
  </si>
  <si>
    <t>MWh</t>
  </si>
  <si>
    <t>given</t>
  </si>
  <si>
    <t>given *1000</t>
  </si>
  <si>
    <t>k</t>
  </si>
  <si>
    <t>m</t>
  </si>
  <si>
    <t>n</t>
  </si>
  <si>
    <t>MW 2023</t>
  </si>
  <si>
    <t>MW 2024</t>
  </si>
  <si>
    <t>EnergyStorTech</t>
  </si>
  <si>
    <t>StoredEC</t>
  </si>
  <si>
    <t>DomOrImp</t>
  </si>
  <si>
    <t>MaxChargeRate</t>
  </si>
  <si>
    <t>MaxDischargeRate</t>
  </si>
  <si>
    <t>StorPeriodicity</t>
  </si>
  <si>
    <t>Comment</t>
  </si>
  <si>
    <t>TWOHR_BATTERY</t>
  </si>
  <si>
    <t>EC_DOM</t>
  </si>
  <si>
    <t>DAILY</t>
  </si>
  <si>
    <t>For now making all storages daily cycling - given computational constraints</t>
  </si>
  <si>
    <t>FOURHR_BATTERY</t>
  </si>
  <si>
    <t>SIXHR_BATTERY</t>
  </si>
  <si>
    <t>PUMPED_STOR</t>
  </si>
  <si>
    <t>Pumped storage discharges over 6 hours (Ensure latest info taken from EST Parameters workbook)</t>
  </si>
  <si>
    <t>CapacityDerating</t>
  </si>
  <si>
    <t>DepthOfDischarge</t>
  </si>
  <si>
    <t>Efficiency</t>
  </si>
  <si>
    <t>LegacyCapacity</t>
  </si>
  <si>
    <t>BalLifetime</t>
  </si>
  <si>
    <t>BalCycles</t>
  </si>
  <si>
    <t>LifetimeYears</t>
  </si>
  <si>
    <t>LifetimeCycles</t>
  </si>
  <si>
    <t>EST_Lifetime.csv</t>
  </si>
  <si>
    <t>EST_LegacyDetails.csv</t>
  </si>
  <si>
    <t>EST_EfficiencyCost.csv</t>
  </si>
  <si>
    <t>EST_DeratingDepthOfDischarge.csv</t>
  </si>
  <si>
    <t>EnergyStorTechnologies.csv</t>
  </si>
  <si>
    <t>File</t>
  </si>
  <si>
    <t>PIER2.0</t>
  </si>
  <si>
    <t>DischargeEfficiency</t>
  </si>
  <si>
    <t>ChargeEfficiency</t>
  </si>
  <si>
    <t>FixedCost (</t>
  </si>
  <si>
    <t>Notes:</t>
  </si>
  <si>
    <t xml:space="preserve">1. In this sheet data on capacity is taken from CTU Transmission Rolling plans, divided into bi-directional capacities in inter-regional corridors </t>
  </si>
  <si>
    <t xml:space="preserve">2. The same is used to project for future years post FY31 </t>
  </si>
  <si>
    <t>Central Transmission Utility (CTU): Rolling Plans</t>
  </si>
  <si>
    <t>FY22 data also in NEP-2024 Table 6.4</t>
  </si>
  <si>
    <t>https://www.ctuil.in/annual-rolling-plan/reports/</t>
  </si>
  <si>
    <t>Annex 2.11 (ISTS ROLLING PLAN 2026-27)</t>
  </si>
  <si>
    <t>Annex-11.11 (ISTS ROLLING PLAN 2027-28 (INTERIM REPORT))</t>
  </si>
  <si>
    <t>Annex 2.10 (ISTS ROLLING PLAN 2027-28)</t>
  </si>
  <si>
    <t>Annex 2.8 (ISTS ROLLING PLAN 2028-29 (INTERIM REPORT))</t>
  </si>
  <si>
    <t>Annex 3.10 (ISTS ROLLING PLAN 2028-29 (FINAL REPORT))</t>
  </si>
  <si>
    <t>Annex 3.10 (ISTS ROLLING PLAN 2029-30))</t>
  </si>
  <si>
    <t>Annex 3.3 (ISTS ROLLING PLAN 2030-31 (INTERIM REPORT))</t>
  </si>
  <si>
    <t>FY</t>
  </si>
  <si>
    <t>Direction1</t>
  </si>
  <si>
    <t>Direction2</t>
  </si>
  <si>
    <t>From</t>
  </si>
  <si>
    <t>To</t>
  </si>
  <si>
    <t>Capacity by 2026-27</t>
  </si>
  <si>
    <t>Capacity by 2027-28</t>
  </si>
  <si>
    <t>Capacity at
the end of
2029</t>
  </si>
  <si>
    <t>Capacity at the
End of 2030</t>
  </si>
  <si>
    <t>Capacity at
the End of 2031</t>
  </si>
  <si>
    <t>EAST - NORTH</t>
  </si>
  <si>
    <t>EAST - WEST</t>
  </si>
  <si>
    <t>EAST - SOUTH</t>
  </si>
  <si>
    <t>EAST - NORTH EAST</t>
  </si>
  <si>
    <t>NORTH EAST - NORTH</t>
  </si>
  <si>
    <t>WEST - NORTH</t>
  </si>
  <si>
    <t>WEST - SOUTH</t>
  </si>
  <si>
    <t>TOTAL</t>
  </si>
  <si>
    <t>Figure 3-34: Inter-Regional Transmission Capacity in 2026-27</t>
  </si>
  <si>
    <t>Figure 3-28: Inter-Regional Transmission Capacity in 2027-28</t>
  </si>
  <si>
    <t>Figure 3-28: Inter-Regional Transmission Capacity by 2027-28</t>
  </si>
  <si>
    <t>Figure 3-25: Inter-Regional Transmission Capacity by 2028-29</t>
  </si>
  <si>
    <t>Figure 3-26: Inter-Regional Transmission Capacity by 2028-29</t>
  </si>
  <si>
    <t>Figure 3-28: Inter-Regional Transmission Capacity by 2029-30</t>
  </si>
  <si>
    <t>Figure 3-11: Inter-Regional Transmission Capacity by 2030-31</t>
  </si>
  <si>
    <t>All directions have same values</t>
  </si>
  <si>
    <t>WR-NR-WR is higher than projected total?</t>
  </si>
  <si>
    <t>WR-NR is a typo?</t>
  </si>
  <si>
    <t>ER-NR is reduced</t>
  </si>
  <si>
    <t>Notes on treatment of birectional capacity</t>
  </si>
  <si>
    <t>1. Relative Capacity shares within an inter-regional corridor is first mentioned in 'Rolling plan 2027-28', and is applied for years FY22-FY28 due to lack of available data for these years</t>
  </si>
  <si>
    <t>2. As on Sept 2025 (i.e 2 QTRs of FY26), the Capacity was already ~120GW which is greater than FY2026-27 plan; therefore for FY26-27 the rolling plan is dirsregarded and FY26 data is considered as constant</t>
  </si>
  <si>
    <t>3. The WR-NR capacity in FY27-28 Rolling plan gets downgraded from 50.9GW to 46.7GW until FY29-30 plan. Since it is not reasonable to expect a higher capacity in an earlier year and lower in the subsequent years, for FY28 assumption FY29 plan is considered.</t>
  </si>
  <si>
    <t xml:space="preserve">4. Considering the relative shares from FY28-29 Final report leads to a situation where </t>
  </si>
  <si>
    <t>5. Decide on projections</t>
  </si>
  <si>
    <t>Inter-regional corridor transmission capacity</t>
  </si>
  <si>
    <t>MW</t>
  </si>
  <si>
    <t>Actuals</t>
  </si>
  <si>
    <t>CTU Rolling plans</t>
  </si>
  <si>
    <t>Projected by PIER</t>
  </si>
  <si>
    <t>CAGR FY22 to FY26</t>
  </si>
  <si>
    <t>CAGR FY26-FY30</t>
  </si>
  <si>
    <t>Actual assumed</t>
  </si>
  <si>
    <t>CAGR FY24-FY41</t>
  </si>
  <si>
    <t>10.6% GR for one corridor does not seem sustainable. therefore we use 1% above the maximum growth-rate amont other corridors, ie SR-WR-SR</t>
  </si>
  <si>
    <t>Max Inter-regional Capacity</t>
  </si>
  <si>
    <t>SubGeography2</t>
  </si>
  <si>
    <t>MinCap</t>
  </si>
  <si>
    <t>MaxCap</t>
  </si>
  <si>
    <t>BR</t>
  </si>
  <si>
    <t>JH</t>
  </si>
  <si>
    <t>OD</t>
  </si>
  <si>
    <t>WB</t>
  </si>
  <si>
    <t>CG</t>
  </si>
  <si>
    <t>GJ</t>
  </si>
  <si>
    <t>MP</t>
  </si>
  <si>
    <t>MH</t>
  </si>
  <si>
    <t>GA</t>
  </si>
  <si>
    <t>SK</t>
  </si>
  <si>
    <t>AS</t>
  </si>
  <si>
    <t>NE</t>
  </si>
  <si>
    <t>AP</t>
  </si>
  <si>
    <t>KA</t>
  </si>
  <si>
    <t>KL</t>
  </si>
  <si>
    <t>TN</t>
  </si>
  <si>
    <t>TS</t>
  </si>
  <si>
    <t>DL</t>
  </si>
  <si>
    <t>HR</t>
  </si>
  <si>
    <t>HP</t>
  </si>
  <si>
    <t>JK</t>
  </si>
  <si>
    <t>PB</t>
  </si>
  <si>
    <t>RJ</t>
  </si>
  <si>
    <t>UP</t>
  </si>
  <si>
    <t>UK</t>
  </si>
  <si>
    <t>Cap2024</t>
  </si>
  <si>
    <t>4Hr2024</t>
  </si>
  <si>
    <t>2Hr2024</t>
  </si>
  <si>
    <t>6Hr2024</t>
  </si>
  <si>
    <t>MaxFlowFrac</t>
  </si>
  <si>
    <t>Min Add Cap=0</t>
  </si>
  <si>
    <t>MaxAddCap2024</t>
  </si>
  <si>
    <t>Coal</t>
  </si>
  <si>
    <t>NG</t>
  </si>
  <si>
    <t>Generation_TWh</t>
  </si>
  <si>
    <t>Macro</t>
  </si>
  <si>
    <t>PIERumi</t>
  </si>
  <si>
    <t>Emissions_MT</t>
  </si>
  <si>
    <t>EF (MT/TWh)</t>
  </si>
  <si>
    <t>emission_rate Macro</t>
  </si>
  <si>
    <t>Emission Rate derived from PIER</t>
  </si>
  <si>
    <t>used in Macro</t>
  </si>
  <si>
    <t>tCO2/MWh input</t>
  </si>
  <si>
    <t>MaxImport</t>
  </si>
  <si>
    <t>MaxDomesticProd</t>
  </si>
  <si>
    <t>FixedTaxOHImp</t>
  </si>
  <si>
    <t>AVTaxOHImp</t>
  </si>
  <si>
    <t>ImportPrice</t>
  </si>
  <si>
    <t>FixedTaxOHDom</t>
  </si>
  <si>
    <t>AVTaxOHDom</t>
  </si>
  <si>
    <t>NonEnergyShare</t>
  </si>
  <si>
    <t>Differences in generation 2024</t>
  </si>
  <si>
    <t>Nuclear</t>
  </si>
  <si>
    <t>Hydro Large</t>
  </si>
  <si>
    <t>Hydro Small</t>
  </si>
  <si>
    <t>Natural Gas</t>
  </si>
  <si>
    <t>Wind</t>
  </si>
  <si>
    <t>Solar Utility</t>
  </si>
  <si>
    <t>Solar Rooftop</t>
  </si>
  <si>
    <t>PIER</t>
  </si>
  <si>
    <t>%diff Macro2PIER</t>
  </si>
  <si>
    <t>PEC_ProdImpConstraints.csv</t>
  </si>
  <si>
    <t>PEC_Info.csv</t>
  </si>
  <si>
    <t>Need</t>
  </si>
  <si>
    <t>None. will change if change other</t>
  </si>
  <si>
    <t>to reduce</t>
  </si>
  <si>
    <t>MT or BCF</t>
  </si>
  <si>
    <t>need unit</t>
  </si>
  <si>
    <t>NatSum</t>
  </si>
  <si>
    <t>VarCost (million Rs / Mt)</t>
  </si>
  <si>
    <t xml:space="preserve"> = </t>
  </si>
  <si>
    <t>VarCost million Rs/MWh-elec</t>
  </si>
  <si>
    <t>for coal</t>
  </si>
  <si>
    <t>DomesticPrice (mRs/ktonne)</t>
  </si>
  <si>
    <t>Price (mRs/mT)</t>
  </si>
  <si>
    <t>Fuel Price (mRs/mWh)</t>
  </si>
  <si>
    <t>Imp</t>
  </si>
  <si>
    <t>Dom</t>
  </si>
  <si>
    <t>Price (mRs/BCM)</t>
  </si>
  <si>
    <t>TWH</t>
  </si>
  <si>
    <t>Legacy Fixed Cost (million Rs/MW)</t>
  </si>
  <si>
    <t xml:space="preserve">Source- </t>
  </si>
  <si>
    <t>Section 4.1 ITC 2022</t>
  </si>
  <si>
    <t>ITC cost calculation</t>
  </si>
  <si>
    <t>Capital cost (cr. ₹/MW)</t>
  </si>
  <si>
    <t>Fixed O&amp;M (cr. ₹/MW/year)</t>
  </si>
  <si>
    <t>Variable cost</t>
  </si>
  <si>
    <t>-</t>
  </si>
  <si>
    <t xml:space="preserve"> lifetime</t>
  </si>
  <si>
    <t>Discount rate/interest rate</t>
  </si>
  <si>
    <t>Capital recovery Factor (CRF)</t>
  </si>
  <si>
    <t>Annualized capital cost (cr. ₹/MW)</t>
  </si>
  <si>
    <t>Total annualized cost</t>
  </si>
  <si>
    <t>https://cercind.gov.in/2022/orders/14-SM-2022.pdf</t>
  </si>
  <si>
    <t>Discount rate</t>
  </si>
  <si>
    <t>Tottal AIC in Rs2024 millionRs/MW</t>
  </si>
  <si>
    <t>All in million rupees</t>
  </si>
  <si>
    <t>AIC(no fO&amp;M)</t>
  </si>
  <si>
    <t>CRP</t>
  </si>
  <si>
    <t>wacc</t>
  </si>
  <si>
    <t>CRF</t>
  </si>
  <si>
    <t>CAPEX</t>
  </si>
  <si>
    <t>electrticity consumption</t>
  </si>
  <si>
    <t>adj in availability</t>
  </si>
  <si>
    <t>adj in discharge efficiency</t>
  </si>
  <si>
    <t>COAL</t>
  </si>
  <si>
    <t>Fixed O&amp;M (PIER or assumed)</t>
  </si>
  <si>
    <t>adj</t>
  </si>
  <si>
    <t>Inflator for 2020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</si>
</sst>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0.00000"/>
    <numFmt numFmtId="167" formatCode="_ * #,##0.00_ ;_ * \-#,##0.00_ ;_ * &quot;-&quot;??_ ;_ @_ "/>
    <numFmt numFmtId="168" formatCode="_ * #,##0_ ;_ * \-#,##0_ ;_ * &quot;-&quot;??_ ;_ @_ "/>
    <numFmt numFmtId="169" formatCode="0.0%"/>
    <numFmt numFmtId="170" formatCode="0.000000"/>
    <numFmt numFmtId="171" formatCode="0.0000000"/>
    <numFmt numFmtId="172" formatCode="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FF0000"/>
      <name val="Arial"/>
      <family val="2"/>
    </font>
    <font>
      <sz val="12"/>
      <color theme="1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1" fillId="0" borderId="0" applyNumberFormat="0" applyFill="0" applyBorder="0" applyAlignment="0" applyProtection="0"/>
    <xf numFmtId="167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164" fontId="0" fillId="0" borderId="0" xfId="0" applyNumberFormat="1"/>
    <xf numFmtId="165" fontId="0" fillId="0" borderId="0" xfId="42" applyNumberFormat="1" applyFont="1"/>
    <xf numFmtId="0" fontId="0" fillId="33" borderId="0" xfId="0" applyFill="1"/>
    <xf numFmtId="2" fontId="0" fillId="0" borderId="0" xfId="0" applyNumberFormat="1"/>
    <xf numFmtId="0" fontId="16" fillId="0" borderId="10" xfId="0" applyFont="1" applyBorder="1"/>
    <xf numFmtId="166" fontId="0" fillId="0" borderId="0" xfId="0" applyNumberFormat="1"/>
    <xf numFmtId="166" fontId="0" fillId="33" borderId="0" xfId="0" applyNumberFormat="1" applyFill="1"/>
    <xf numFmtId="0" fontId="16" fillId="33" borderId="10" xfId="0" applyFont="1" applyFill="1" applyBorder="1"/>
    <xf numFmtId="0" fontId="16" fillId="0" borderId="11" xfId="0" applyFont="1" applyBorder="1"/>
    <xf numFmtId="0" fontId="18" fillId="0" borderId="0" xfId="0" applyFont="1"/>
    <xf numFmtId="0" fontId="19" fillId="0" borderId="0" xfId="43"/>
    <xf numFmtId="0" fontId="20" fillId="0" borderId="0" xfId="43" applyFont="1"/>
    <xf numFmtId="0" fontId="19" fillId="0" borderId="0" xfId="43" quotePrefix="1"/>
    <xf numFmtId="0" fontId="21" fillId="0" borderId="0" xfId="44"/>
    <xf numFmtId="0" fontId="19" fillId="0" borderId="0" xfId="43" applyAlignment="1">
      <alignment wrapText="1"/>
    </xf>
    <xf numFmtId="0" fontId="22" fillId="0" borderId="0" xfId="43" applyFont="1" applyAlignment="1">
      <alignment wrapText="1"/>
    </xf>
    <xf numFmtId="0" fontId="23" fillId="0" borderId="12" xfId="43" applyFont="1" applyBorder="1" applyAlignment="1">
      <alignment horizontal="center" wrapText="1"/>
    </xf>
    <xf numFmtId="0" fontId="23" fillId="0" borderId="0" xfId="43" applyFont="1" applyAlignment="1">
      <alignment horizontal="center" wrapText="1"/>
    </xf>
    <xf numFmtId="0" fontId="22" fillId="0" borderId="0" xfId="43" applyFont="1"/>
    <xf numFmtId="0" fontId="22" fillId="0" borderId="12" xfId="43" applyFont="1" applyBorder="1"/>
    <xf numFmtId="0" fontId="20" fillId="0" borderId="0" xfId="43" applyFont="1" applyAlignment="1">
      <alignment wrapText="1"/>
    </xf>
    <xf numFmtId="17" fontId="23" fillId="0" borderId="12" xfId="43" applyNumberFormat="1" applyFont="1" applyBorder="1" applyAlignment="1">
      <alignment horizontal="center" wrapText="1"/>
    </xf>
    <xf numFmtId="0" fontId="24" fillId="0" borderId="12" xfId="43" applyFont="1" applyBorder="1" applyAlignment="1">
      <alignment horizontal="left" vertical="center"/>
    </xf>
    <xf numFmtId="3" fontId="25" fillId="0" borderId="12" xfId="43" applyNumberFormat="1" applyFont="1" applyBorder="1" applyAlignment="1">
      <alignment horizontal="center"/>
    </xf>
    <xf numFmtId="3" fontId="25" fillId="0" borderId="0" xfId="43" applyNumberFormat="1" applyFont="1" applyAlignment="1">
      <alignment horizontal="center"/>
    </xf>
    <xf numFmtId="3" fontId="25" fillId="0" borderId="12" xfId="43" applyNumberFormat="1" applyFont="1" applyBorder="1" applyAlignment="1">
      <alignment horizontal="center" vertical="center"/>
    </xf>
    <xf numFmtId="3" fontId="25" fillId="0" borderId="0" xfId="43" applyNumberFormat="1" applyFont="1" applyAlignment="1">
      <alignment horizontal="center" vertical="center"/>
    </xf>
    <xf numFmtId="3" fontId="14" fillId="0" borderId="12" xfId="43" applyNumberFormat="1" applyFont="1" applyBorder="1" applyAlignment="1">
      <alignment horizontal="center" vertical="center"/>
    </xf>
    <xf numFmtId="3" fontId="1" fillId="0" borderId="12" xfId="43" applyNumberFormat="1" applyFont="1" applyBorder="1" applyAlignment="1">
      <alignment horizontal="center" vertical="center"/>
    </xf>
    <xf numFmtId="3" fontId="14" fillId="0" borderId="12" xfId="43" applyNumberFormat="1" applyFont="1" applyBorder="1" applyAlignment="1">
      <alignment horizontal="center"/>
    </xf>
    <xf numFmtId="3" fontId="24" fillId="0" borderId="12" xfId="43" applyNumberFormat="1" applyFont="1" applyBorder="1" applyAlignment="1">
      <alignment horizontal="center" vertical="center"/>
    </xf>
    <xf numFmtId="3" fontId="24" fillId="0" borderId="0" xfId="43" applyNumberFormat="1" applyFont="1" applyAlignment="1">
      <alignment horizontal="center" vertical="center"/>
    </xf>
    <xf numFmtId="0" fontId="24" fillId="0" borderId="0" xfId="43" applyFont="1" applyAlignment="1">
      <alignment horizontal="left" vertical="center"/>
    </xf>
    <xf numFmtId="0" fontId="24" fillId="34" borderId="12" xfId="43" applyFont="1" applyFill="1" applyBorder="1" applyAlignment="1">
      <alignment horizontal="left" vertical="center"/>
    </xf>
    <xf numFmtId="0" fontId="19" fillId="34" borderId="0" xfId="43" applyFill="1"/>
    <xf numFmtId="168" fontId="14" fillId="34" borderId="12" xfId="45" applyNumberFormat="1" applyFont="1" applyFill="1" applyBorder="1" applyAlignment="1">
      <alignment horizontal="left" vertical="center"/>
    </xf>
    <xf numFmtId="168" fontId="25" fillId="34" borderId="12" xfId="45" applyNumberFormat="1" applyFont="1" applyFill="1" applyBorder="1" applyAlignment="1">
      <alignment horizontal="left" vertical="center"/>
    </xf>
    <xf numFmtId="9" fontId="0" fillId="34" borderId="0" xfId="46" applyFont="1" applyFill="1" applyBorder="1"/>
    <xf numFmtId="0" fontId="24" fillId="34" borderId="0" xfId="43" applyFont="1" applyFill="1" applyAlignment="1">
      <alignment horizontal="left" vertical="center"/>
    </xf>
    <xf numFmtId="168" fontId="14" fillId="0" borderId="12" xfId="45" applyNumberFormat="1" applyFont="1" applyBorder="1" applyAlignment="1">
      <alignment horizontal="left" vertical="center"/>
    </xf>
    <xf numFmtId="168" fontId="25" fillId="0" borderId="12" xfId="45" applyNumberFormat="1" applyFont="1" applyBorder="1" applyAlignment="1">
      <alignment horizontal="left" vertical="center"/>
    </xf>
    <xf numFmtId="9" fontId="0" fillId="0" borderId="0" xfId="46" applyFont="1" applyBorder="1"/>
    <xf numFmtId="0" fontId="24" fillId="35" borderId="12" xfId="43" applyFont="1" applyFill="1" applyBorder="1" applyAlignment="1">
      <alignment horizontal="left" vertical="center"/>
    </xf>
    <xf numFmtId="0" fontId="19" fillId="35" borderId="0" xfId="43" applyFill="1"/>
    <xf numFmtId="168" fontId="14" fillId="35" borderId="12" xfId="45" applyNumberFormat="1" applyFont="1" applyFill="1" applyBorder="1" applyAlignment="1">
      <alignment horizontal="left" vertical="center"/>
    </xf>
    <xf numFmtId="168" fontId="1" fillId="35" borderId="12" xfId="45" applyNumberFormat="1" applyFont="1" applyFill="1" applyBorder="1" applyAlignment="1">
      <alignment horizontal="left" vertical="center"/>
    </xf>
    <xf numFmtId="9" fontId="0" fillId="35" borderId="0" xfId="46" applyFont="1" applyFill="1" applyBorder="1"/>
    <xf numFmtId="168" fontId="25" fillId="35" borderId="12" xfId="45" applyNumberFormat="1" applyFont="1" applyFill="1" applyBorder="1" applyAlignment="1">
      <alignment horizontal="left" vertical="center"/>
    </xf>
    <xf numFmtId="0" fontId="24" fillId="35" borderId="0" xfId="43" applyFont="1" applyFill="1" applyAlignment="1">
      <alignment horizontal="left" vertical="center"/>
    </xf>
    <xf numFmtId="0" fontId="24" fillId="36" borderId="12" xfId="43" applyFont="1" applyFill="1" applyBorder="1" applyAlignment="1">
      <alignment horizontal="left" vertical="center"/>
    </xf>
    <xf numFmtId="0" fontId="19" fillId="36" borderId="0" xfId="43" applyFill="1"/>
    <xf numFmtId="168" fontId="25" fillId="36" borderId="12" xfId="45" applyNumberFormat="1" applyFont="1" applyFill="1" applyBorder="1" applyAlignment="1">
      <alignment horizontal="left" vertical="center"/>
    </xf>
    <xf numFmtId="9" fontId="0" fillId="36" borderId="0" xfId="46" applyFont="1" applyFill="1" applyBorder="1"/>
    <xf numFmtId="0" fontId="24" fillId="36" borderId="0" xfId="43" applyFont="1" applyFill="1" applyAlignment="1">
      <alignment horizontal="left" vertical="center"/>
    </xf>
    <xf numFmtId="0" fontId="24" fillId="37" borderId="12" xfId="43" applyFont="1" applyFill="1" applyBorder="1" applyAlignment="1">
      <alignment horizontal="left" vertical="center"/>
    </xf>
    <xf numFmtId="0" fontId="19" fillId="37" borderId="0" xfId="43" applyFill="1"/>
    <xf numFmtId="168" fontId="14" fillId="37" borderId="12" xfId="45" applyNumberFormat="1" applyFont="1" applyFill="1" applyBorder="1" applyAlignment="1">
      <alignment horizontal="left" vertical="center"/>
    </xf>
    <xf numFmtId="168" fontId="25" fillId="37" borderId="12" xfId="45" applyNumberFormat="1" applyFont="1" applyFill="1" applyBorder="1" applyAlignment="1">
      <alignment horizontal="left" vertical="center"/>
    </xf>
    <xf numFmtId="9" fontId="0" fillId="37" borderId="0" xfId="46" applyFont="1" applyFill="1" applyBorder="1"/>
    <xf numFmtId="0" fontId="24" fillId="37" borderId="0" xfId="43" applyFont="1" applyFill="1" applyAlignment="1">
      <alignment horizontal="left" vertical="center"/>
    </xf>
    <xf numFmtId="168" fontId="0" fillId="0" borderId="0" xfId="45" applyNumberFormat="1" applyFont="1"/>
    <xf numFmtId="0" fontId="19" fillId="33" borderId="0" xfId="43" applyFill="1" applyAlignment="1">
      <alignment wrapText="1"/>
    </xf>
    <xf numFmtId="0" fontId="26" fillId="0" borderId="0" xfId="43" applyFont="1"/>
    <xf numFmtId="0" fontId="20" fillId="38" borderId="0" xfId="43" applyFont="1" applyFill="1"/>
    <xf numFmtId="0" fontId="20" fillId="39" borderId="0" xfId="43" applyFont="1" applyFill="1"/>
    <xf numFmtId="0" fontId="20" fillId="40" borderId="13" xfId="43" applyFont="1" applyFill="1" applyBorder="1"/>
    <xf numFmtId="0" fontId="19" fillId="40" borderId="14" xfId="43" applyFill="1" applyBorder="1"/>
    <xf numFmtId="0" fontId="19" fillId="40" borderId="15" xfId="43" applyFill="1" applyBorder="1"/>
    <xf numFmtId="1" fontId="24" fillId="0" borderId="12" xfId="45" applyNumberFormat="1" applyFont="1" applyBorder="1" applyAlignment="1">
      <alignment horizontal="left" vertical="center"/>
    </xf>
    <xf numFmtId="1" fontId="24" fillId="0" borderId="16" xfId="45" applyNumberFormat="1" applyFont="1" applyBorder="1" applyAlignment="1">
      <alignment horizontal="left" vertical="center"/>
    </xf>
    <xf numFmtId="1" fontId="24" fillId="0" borderId="17" xfId="45" applyNumberFormat="1" applyFont="1" applyBorder="1" applyAlignment="1">
      <alignment horizontal="left" vertical="center"/>
    </xf>
    <xf numFmtId="1" fontId="24" fillId="0" borderId="18" xfId="45" applyNumberFormat="1" applyFont="1" applyBorder="1" applyAlignment="1">
      <alignment horizontal="left" vertical="center"/>
    </xf>
    <xf numFmtId="168" fontId="25" fillId="34" borderId="16" xfId="45" applyNumberFormat="1" applyFont="1" applyFill="1" applyBorder="1" applyAlignment="1">
      <alignment horizontal="left" vertical="center"/>
    </xf>
    <xf numFmtId="168" fontId="25" fillId="34" borderId="17" xfId="45" applyNumberFormat="1" applyFont="1" applyFill="1" applyBorder="1" applyAlignment="1">
      <alignment horizontal="left" vertical="center"/>
    </xf>
    <xf numFmtId="168" fontId="25" fillId="34" borderId="18" xfId="45" applyNumberFormat="1" applyFont="1" applyFill="1" applyBorder="1" applyAlignment="1">
      <alignment horizontal="left" vertical="center"/>
    </xf>
    <xf numFmtId="168" fontId="24" fillId="34" borderId="19" xfId="45" applyNumberFormat="1" applyFont="1" applyFill="1" applyBorder="1" applyAlignment="1">
      <alignment horizontal="left" vertical="center"/>
    </xf>
    <xf numFmtId="168" fontId="24" fillId="34" borderId="20" xfId="45" applyNumberFormat="1" applyFont="1" applyFill="1" applyBorder="1" applyAlignment="1">
      <alignment horizontal="left" vertical="center"/>
    </xf>
    <xf numFmtId="169" fontId="0" fillId="0" borderId="0" xfId="46" applyNumberFormat="1" applyFont="1"/>
    <xf numFmtId="168" fontId="25" fillId="0" borderId="16" xfId="45" applyNumberFormat="1" applyFont="1" applyBorder="1" applyAlignment="1">
      <alignment horizontal="left" vertical="center"/>
    </xf>
    <xf numFmtId="168" fontId="25" fillId="0" borderId="17" xfId="45" applyNumberFormat="1" applyFont="1" applyBorder="1" applyAlignment="1">
      <alignment horizontal="left" vertical="center"/>
    </xf>
    <xf numFmtId="168" fontId="25" fillId="0" borderId="18" xfId="45" applyNumberFormat="1" applyFont="1" applyBorder="1" applyAlignment="1">
      <alignment horizontal="left" vertical="center"/>
    </xf>
    <xf numFmtId="168" fontId="25" fillId="35" borderId="16" xfId="45" applyNumberFormat="1" applyFont="1" applyFill="1" applyBorder="1" applyAlignment="1">
      <alignment horizontal="left" vertical="center"/>
    </xf>
    <xf numFmtId="168" fontId="25" fillId="35" borderId="17" xfId="45" applyNumberFormat="1" applyFont="1" applyFill="1" applyBorder="1" applyAlignment="1">
      <alignment horizontal="left" vertical="center"/>
    </xf>
    <xf numFmtId="168" fontId="25" fillId="35" borderId="18" xfId="45" applyNumberFormat="1" applyFont="1" applyFill="1" applyBorder="1" applyAlignment="1">
      <alignment horizontal="left" vertical="center"/>
    </xf>
    <xf numFmtId="169" fontId="0" fillId="33" borderId="0" xfId="46" applyNumberFormat="1" applyFont="1" applyFill="1"/>
    <xf numFmtId="168" fontId="25" fillId="36" borderId="16" xfId="45" applyNumberFormat="1" applyFont="1" applyFill="1" applyBorder="1" applyAlignment="1">
      <alignment horizontal="left" vertical="center"/>
    </xf>
    <xf numFmtId="168" fontId="25" fillId="36" borderId="17" xfId="45" applyNumberFormat="1" applyFont="1" applyFill="1" applyBorder="1" applyAlignment="1">
      <alignment horizontal="left" vertical="center"/>
    </xf>
    <xf numFmtId="168" fontId="25" fillId="36" borderId="18" xfId="45" applyNumberFormat="1" applyFont="1" applyFill="1" applyBorder="1" applyAlignment="1">
      <alignment horizontal="left" vertical="center"/>
    </xf>
    <xf numFmtId="168" fontId="25" fillId="37" borderId="16" xfId="45" applyNumberFormat="1" applyFont="1" applyFill="1" applyBorder="1" applyAlignment="1">
      <alignment horizontal="left" vertical="center"/>
    </xf>
    <xf numFmtId="168" fontId="25" fillId="37" borderId="17" xfId="45" applyNumberFormat="1" applyFont="1" applyFill="1" applyBorder="1" applyAlignment="1">
      <alignment horizontal="left" vertical="center"/>
    </xf>
    <xf numFmtId="168" fontId="25" fillId="37" borderId="18" xfId="45" applyNumberFormat="1" applyFont="1" applyFill="1" applyBorder="1" applyAlignment="1">
      <alignment horizontal="left" vertical="center"/>
    </xf>
    <xf numFmtId="168" fontId="25" fillId="37" borderId="21" xfId="45" applyNumberFormat="1" applyFont="1" applyFill="1" applyBorder="1" applyAlignment="1">
      <alignment horizontal="left" vertical="center"/>
    </xf>
    <xf numFmtId="168" fontId="25" fillId="37" borderId="22" xfId="45" applyNumberFormat="1" applyFont="1" applyFill="1" applyBorder="1" applyAlignment="1">
      <alignment horizontal="left" vertical="center"/>
    </xf>
    <xf numFmtId="168" fontId="25" fillId="37" borderId="23" xfId="45" applyNumberFormat="1" applyFont="1" applyFill="1" applyBorder="1" applyAlignment="1">
      <alignment horizontal="left" vertical="center"/>
    </xf>
    <xf numFmtId="168" fontId="19" fillId="0" borderId="0" xfId="45" applyNumberFormat="1" applyFont="1"/>
    <xf numFmtId="168" fontId="24" fillId="36" borderId="12" xfId="45" applyNumberFormat="1" applyFont="1" applyFill="1" applyBorder="1" applyAlignment="1">
      <alignment horizontal="left" vertical="center"/>
    </xf>
    <xf numFmtId="168" fontId="19" fillId="0" borderId="0" xfId="43" applyNumberFormat="1"/>
    <xf numFmtId="9" fontId="0" fillId="0" borderId="0" xfId="46" applyFont="1"/>
    <xf numFmtId="169" fontId="19" fillId="0" borderId="0" xfId="43" applyNumberFormat="1"/>
    <xf numFmtId="17" fontId="23" fillId="33" borderId="12" xfId="43" applyNumberFormat="1" applyFont="1" applyFill="1" applyBorder="1" applyAlignment="1">
      <alignment horizontal="center" wrapText="1"/>
    </xf>
    <xf numFmtId="3" fontId="25" fillId="33" borderId="12" xfId="43" applyNumberFormat="1" applyFont="1" applyFill="1" applyBorder="1" applyAlignment="1">
      <alignment horizontal="center"/>
    </xf>
    <xf numFmtId="3" fontId="25" fillId="33" borderId="12" xfId="43" applyNumberFormat="1" applyFont="1" applyFill="1" applyBorder="1" applyAlignment="1">
      <alignment horizontal="center" vertical="center"/>
    </xf>
    <xf numFmtId="0" fontId="16" fillId="0" borderId="24" xfId="0" applyFont="1" applyBorder="1"/>
    <xf numFmtId="170" fontId="0" fillId="0" borderId="0" xfId="0" applyNumberFormat="1"/>
    <xf numFmtId="10" fontId="0" fillId="0" borderId="0" xfId="47" applyNumberFormat="1" applyFont="1"/>
    <xf numFmtId="0" fontId="0" fillId="41" borderId="0" xfId="0" applyFill="1"/>
    <xf numFmtId="1" fontId="0" fillId="0" borderId="0" xfId="42" applyNumberFormat="1" applyFont="1"/>
    <xf numFmtId="1" fontId="0" fillId="0" borderId="0" xfId="0" applyNumberFormat="1"/>
    <xf numFmtId="171" fontId="0" fillId="0" borderId="0" xfId="0" applyNumberFormat="1"/>
    <xf numFmtId="43" fontId="0" fillId="0" borderId="0" xfId="42" applyFont="1"/>
    <xf numFmtId="0" fontId="16" fillId="0" borderId="12" xfId="0" applyFon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164" fontId="27" fillId="0" borderId="12" xfId="0" applyNumberFormat="1" applyFon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72" fontId="0" fillId="0" borderId="12" xfId="0" applyNumberFormat="1" applyBorder="1" applyAlignment="1">
      <alignment horizontal="center"/>
    </xf>
    <xf numFmtId="0" fontId="0" fillId="0" borderId="20" xfId="0" applyBorder="1"/>
    <xf numFmtId="172" fontId="0" fillId="0" borderId="0" xfId="0" applyNumberFormat="1"/>
    <xf numFmtId="164" fontId="0" fillId="33" borderId="0" xfId="0" applyNumberFormat="1" applyFill="1"/>
    <xf numFmtId="0" fontId="0" fillId="42" borderId="0" xfId="0" applyFill="1"/>
    <xf numFmtId="164" fontId="0" fillId="42" borderId="0" xfId="0" applyNumberFormat="1" applyFill="1"/>
    <xf numFmtId="2" fontId="0" fillId="43" borderId="0" xfId="0" applyNumberFormat="1" applyFill="1"/>
    <xf numFmtId="0" fontId="18" fillId="33" borderId="0" xfId="0" applyFont="1" applyFill="1"/>
    <xf numFmtId="0" fontId="16" fillId="0" borderId="0" xfId="0" applyFont="1"/>
    <xf numFmtId="0" fontId="23" fillId="0" borderId="12" xfId="43" applyFont="1" applyBorder="1" applyAlignment="1">
      <alignment horizontal="center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3" xfId="45" xr:uid="{CD5E97D1-B0D9-418B-994F-693EBA649B28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3" xfId="44" xr:uid="{D14775A9-315D-4D5D-BBBE-C266B326323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6" xfId="43" xr:uid="{85B4D17C-0BBE-428F-A9E4-15AE303E167D}"/>
    <cellStyle name="Note" xfId="15" builtinId="10" customBuiltin="1"/>
    <cellStyle name="Output" xfId="10" builtinId="21" customBuiltin="1"/>
    <cellStyle name="Percent" xfId="47" builtinId="5"/>
    <cellStyle name="Percent 4" xfId="46" xr:uid="{9B2842B9-E5BA-4071-8811-CE7469004D36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WORK\d1_PROJECTS\p2025_NZI\d0_5pier\PIER20_latest_Feb2026\Default%20Data\Supply\Source\EC_Transfers.xlsx" TargetMode="External"/><Relationship Id="rId1" Type="http://schemas.openxmlformats.org/officeDocument/2006/relationships/externalLinkPath" Target="file:///X:\WORK\d1_PROJECTS\p2025_NZI\d0_5pier\PIER20_latest_Feb2026\Default%20Data\Supply\Source\EC_Transf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Info"/>
      <sheetName val="Maps"/>
      <sheetName val="COAL"/>
      <sheetName val="CRUDE+PP+NATGAS-input"/>
      <sheetName val="GREEN HYDROGEN"/>
      <sheetName val="GREEN_H2-input"/>
      <sheetName val="CRUDE+PP+NATGAS+GH2"/>
      <sheetName val="CEA 2006-2023"/>
      <sheetName val="T&amp;DLoss projections"/>
      <sheetName val="Dist cost frcst"/>
      <sheetName val="Distr cost projns+Transmission"/>
      <sheetName val="Elec-input"/>
      <sheetName val="ELECTRICITY"/>
      <sheetName val="Tx-CTU-rollingplans"/>
      <sheetName val="Elec-input_reg"/>
      <sheetName val="ELECTRICITY_reg"/>
      <sheetName val="BIOMASS-BIOGAS-BIOMASS_WASTE"/>
      <sheetName val="EC_Transfers_reg"/>
      <sheetName val="EC_Transfers_Vikasit_reg"/>
      <sheetName val="EC_Transfers_Vichalit_reg"/>
      <sheetName val="EC_Transfers"/>
      <sheetName val="EC_Transfers_Vikasit"/>
      <sheetName val="EC_Transfers_Vichali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ctuil.in/annual-rolling-plan/reports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450C-8BC0-40C9-9D5F-F895D95E6BDB}">
  <dimension ref="A1:R15"/>
  <sheetViews>
    <sheetView workbookViewId="0">
      <selection activeCell="N28" sqref="N28"/>
    </sheetView>
  </sheetViews>
  <sheetFormatPr defaultRowHeight="15" x14ac:dyDescent="0.25"/>
  <cols>
    <col min="2" max="2" width="15.5703125" bestFit="1" customWidth="1"/>
    <col min="3" max="3" width="13.28515625" bestFit="1" customWidth="1"/>
    <col min="4" max="4" width="13.28515625" customWidth="1"/>
    <col min="5" max="5" width="15.5703125" bestFit="1" customWidth="1"/>
    <col min="6" max="6" width="13.28515625" bestFit="1" customWidth="1"/>
    <col min="7" max="7" width="12" bestFit="1" customWidth="1"/>
    <col min="14" max="14" width="27.85546875" bestFit="1" customWidth="1"/>
    <col min="17" max="17" width="16.42578125" bestFit="1" customWidth="1"/>
  </cols>
  <sheetData>
    <row r="1" spans="1:18" s="103" customFormat="1" x14ac:dyDescent="0.25">
      <c r="B1" s="103" t="s">
        <v>249</v>
      </c>
      <c r="C1" s="103" t="s">
        <v>249</v>
      </c>
      <c r="E1" s="103" t="s">
        <v>250</v>
      </c>
      <c r="F1" s="103" t="s">
        <v>250</v>
      </c>
      <c r="G1" s="103" t="s">
        <v>252</v>
      </c>
      <c r="I1" s="103" t="s">
        <v>254</v>
      </c>
    </row>
    <row r="2" spans="1:18" x14ac:dyDescent="0.25">
      <c r="B2" t="s">
        <v>248</v>
      </c>
      <c r="C2" t="s">
        <v>251</v>
      </c>
      <c r="D2" t="s">
        <v>252</v>
      </c>
      <c r="E2" t="s">
        <v>248</v>
      </c>
      <c r="F2" t="s">
        <v>251</v>
      </c>
    </row>
    <row r="3" spans="1:18" x14ac:dyDescent="0.25">
      <c r="A3" t="s">
        <v>246</v>
      </c>
      <c r="B3">
        <v>1176</v>
      </c>
      <c r="C3">
        <v>1848</v>
      </c>
      <c r="D3">
        <f>C3/B3</f>
        <v>1.5714285714285714</v>
      </c>
      <c r="E3">
        <v>1362</v>
      </c>
      <c r="F3">
        <v>1597</v>
      </c>
      <c r="G3">
        <f>F3/E3</f>
        <v>1.172540381791483</v>
      </c>
      <c r="I3">
        <f>G3/ECT_EfficiencyCostMaxAnnualUF!Y6</f>
        <v>0.41721835916563871</v>
      </c>
      <c r="J3">
        <f>I3*2.62</f>
        <v>1.0931121010139735</v>
      </c>
    </row>
    <row r="4" spans="1:18" x14ac:dyDescent="0.25">
      <c r="A4" t="s">
        <v>247</v>
      </c>
      <c r="B4">
        <v>15</v>
      </c>
      <c r="C4">
        <v>8.9999999999999998E-4</v>
      </c>
      <c r="D4" s="104">
        <f>C4/B4</f>
        <v>6.0000000000000002E-5</v>
      </c>
      <c r="E4">
        <v>33</v>
      </c>
      <c r="F4">
        <v>2.1000000000000001E-2</v>
      </c>
      <c r="G4" s="6">
        <f>F4/E4</f>
        <v>6.3636363636363641E-4</v>
      </c>
      <c r="I4">
        <f>G4/ECT_EfficiencyCostMaxAnnualUF!Y12*1000</f>
        <v>0.25222518844727276</v>
      </c>
    </row>
    <row r="6" spans="1:18" x14ac:dyDescent="0.25">
      <c r="D6">
        <f>D3/2.62</f>
        <v>0.59978189749182109</v>
      </c>
    </row>
    <row r="7" spans="1:18" x14ac:dyDescent="0.25">
      <c r="N7" t="s">
        <v>265</v>
      </c>
      <c r="O7" t="s">
        <v>273</v>
      </c>
      <c r="P7" t="s">
        <v>249</v>
      </c>
      <c r="Q7" t="s">
        <v>274</v>
      </c>
      <c r="R7" t="s">
        <v>277</v>
      </c>
    </row>
    <row r="8" spans="1:18" x14ac:dyDescent="0.25">
      <c r="N8" t="s">
        <v>246</v>
      </c>
      <c r="O8">
        <v>1362</v>
      </c>
      <c r="P8">
        <v>1314</v>
      </c>
      <c r="Q8" s="105">
        <f>P8/O8</f>
        <v>0.96475770925110127</v>
      </c>
      <c r="R8" s="10" t="s">
        <v>278</v>
      </c>
    </row>
    <row r="9" spans="1:18" x14ac:dyDescent="0.25">
      <c r="N9" t="s">
        <v>266</v>
      </c>
      <c r="O9">
        <v>52</v>
      </c>
      <c r="P9">
        <v>59</v>
      </c>
      <c r="Q9" s="105">
        <f t="shared" ref="Q9:Q15" si="0">P9/O9</f>
        <v>1.1346153846153846</v>
      </c>
      <c r="R9" t="s">
        <v>279</v>
      </c>
    </row>
    <row r="10" spans="1:18" x14ac:dyDescent="0.25">
      <c r="N10" t="s">
        <v>267</v>
      </c>
      <c r="O10">
        <v>147</v>
      </c>
      <c r="P10">
        <v>155</v>
      </c>
      <c r="Q10" s="105">
        <f t="shared" si="0"/>
        <v>1.0544217687074831</v>
      </c>
      <c r="R10" t="s">
        <v>279</v>
      </c>
    </row>
    <row r="11" spans="1:18" x14ac:dyDescent="0.25">
      <c r="N11" t="s">
        <v>268</v>
      </c>
      <c r="O11">
        <v>10</v>
      </c>
      <c r="P11">
        <v>11</v>
      </c>
      <c r="Q11" s="105">
        <f t="shared" si="0"/>
        <v>1.1000000000000001</v>
      </c>
      <c r="R11" t="s">
        <v>279</v>
      </c>
    </row>
    <row r="12" spans="1:18" x14ac:dyDescent="0.25">
      <c r="N12" t="s">
        <v>269</v>
      </c>
      <c r="O12">
        <v>33</v>
      </c>
      <c r="P12">
        <v>39</v>
      </c>
      <c r="Q12" s="105">
        <f t="shared" si="0"/>
        <v>1.1818181818181819</v>
      </c>
      <c r="R12" s="10" t="s">
        <v>278</v>
      </c>
    </row>
    <row r="13" spans="1:18" x14ac:dyDescent="0.25">
      <c r="N13" t="s">
        <v>270</v>
      </c>
      <c r="O13">
        <v>84</v>
      </c>
      <c r="P13">
        <v>117</v>
      </c>
      <c r="Q13" s="105">
        <f t="shared" si="0"/>
        <v>1.3928571428571428</v>
      </c>
      <c r="R13" t="s">
        <v>279</v>
      </c>
    </row>
    <row r="14" spans="1:18" x14ac:dyDescent="0.25">
      <c r="N14" t="s">
        <v>271</v>
      </c>
      <c r="O14">
        <v>109</v>
      </c>
      <c r="P14">
        <v>123</v>
      </c>
      <c r="Q14" s="105">
        <f t="shared" si="0"/>
        <v>1.128440366972477</v>
      </c>
      <c r="R14" t="s">
        <v>279</v>
      </c>
    </row>
    <row r="15" spans="1:18" x14ac:dyDescent="0.25">
      <c r="N15" t="s">
        <v>272</v>
      </c>
      <c r="O15">
        <v>17</v>
      </c>
      <c r="P15">
        <v>23</v>
      </c>
      <c r="Q15" s="105">
        <f t="shared" si="0"/>
        <v>1.3529411764705883</v>
      </c>
      <c r="R15" t="s">
        <v>279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0A1C-B760-4EAD-B5A2-8E53EC693E04}">
  <dimension ref="A1:AM64"/>
  <sheetViews>
    <sheetView tabSelected="1" workbookViewId="0">
      <pane xSplit="1" ySplit="4" topLeftCell="P5" activePane="bottomRight" state="frozen"/>
      <selection pane="topRight" activeCell="B1" sqref="B1"/>
      <selection pane="bottomLeft" activeCell="A3" sqref="A3"/>
      <selection pane="bottomRight" activeCell="AB6" sqref="AB6"/>
    </sheetView>
  </sheetViews>
  <sheetFormatPr defaultRowHeight="15" x14ac:dyDescent="0.25"/>
  <cols>
    <col min="1" max="1" width="16.5703125" bestFit="1" customWidth="1"/>
    <col min="2" max="2" width="16" bestFit="1" customWidth="1"/>
    <col min="3" max="3" width="12.140625" bestFit="1" customWidth="1"/>
    <col min="4" max="4" width="15.7109375" bestFit="1" customWidth="1"/>
    <col min="5" max="5" width="11.42578125" bestFit="1" customWidth="1"/>
    <col min="6" max="6" width="8.140625" customWidth="1"/>
    <col min="7" max="7" width="6" customWidth="1"/>
    <col min="8" max="8" width="8.28515625" bestFit="1" customWidth="1"/>
    <col min="9" max="9" width="8.5703125" bestFit="1" customWidth="1"/>
    <col min="10" max="10" width="9.28515625" bestFit="1" customWidth="1"/>
    <col min="11" max="11" width="11.42578125" customWidth="1"/>
    <col min="12" max="12" width="13.85546875" customWidth="1"/>
    <col min="13" max="13" width="13.140625" bestFit="1" customWidth="1"/>
    <col min="14" max="15" width="8.85546875" bestFit="1" customWidth="1"/>
    <col min="16" max="16" width="15.85546875" customWidth="1"/>
    <col min="17" max="17" width="14.7109375" customWidth="1"/>
    <col min="18" max="18" width="23.140625" customWidth="1"/>
    <col min="19" max="19" width="28" bestFit="1" customWidth="1"/>
    <col min="20" max="20" width="23.5703125" bestFit="1" customWidth="1"/>
    <col min="21" max="21" width="12.140625" bestFit="1" customWidth="1"/>
    <col min="22" max="22" width="10.85546875" bestFit="1" customWidth="1"/>
    <col min="23" max="23" width="18.7109375" bestFit="1" customWidth="1"/>
    <col min="24" max="24" width="19.42578125" bestFit="1" customWidth="1"/>
    <col min="25" max="25" width="17.42578125" bestFit="1" customWidth="1"/>
    <col min="26" max="26" width="10.5703125" bestFit="1" customWidth="1"/>
    <col min="27" max="27" width="11.5703125" bestFit="1" customWidth="1"/>
    <col min="28" max="28" width="16.140625" bestFit="1" customWidth="1"/>
    <col min="29" max="29" width="12" bestFit="1" customWidth="1"/>
  </cols>
  <sheetData>
    <row r="1" spans="1:39" s="10" customFormat="1" x14ac:dyDescent="0.25">
      <c r="A1" s="10" t="s">
        <v>88</v>
      </c>
    </row>
    <row r="2" spans="1:39" s="10" customFormat="1" x14ac:dyDescent="0.25">
      <c r="A2" s="10" t="s">
        <v>91</v>
      </c>
      <c r="H2" s="10" t="s">
        <v>92</v>
      </c>
      <c r="I2" s="10" t="s">
        <v>93</v>
      </c>
      <c r="J2" s="10" t="s">
        <v>94</v>
      </c>
      <c r="K2" s="10" t="s">
        <v>95</v>
      </c>
      <c r="L2" s="10" t="s">
        <v>96</v>
      </c>
      <c r="M2" s="10" t="s">
        <v>97</v>
      </c>
      <c r="N2" s="10" t="s">
        <v>98</v>
      </c>
      <c r="O2" s="10" t="s">
        <v>99</v>
      </c>
      <c r="P2" s="10" t="s">
        <v>100</v>
      </c>
      <c r="Q2" s="10" t="s">
        <v>114</v>
      </c>
      <c r="R2" s="10" t="s">
        <v>115</v>
      </c>
      <c r="S2" s="10" t="s">
        <v>116</v>
      </c>
      <c r="Y2" s="10" t="s">
        <v>101</v>
      </c>
      <c r="Z2" s="10" t="s">
        <v>102</v>
      </c>
      <c r="AA2" s="10" t="s">
        <v>103</v>
      </c>
      <c r="AB2" s="10" t="s">
        <v>104</v>
      </c>
      <c r="AC2" s="10" t="s">
        <v>105</v>
      </c>
    </row>
    <row r="3" spans="1:39" s="10" customFormat="1" x14ac:dyDescent="0.25">
      <c r="A3" s="10" t="s">
        <v>106</v>
      </c>
      <c r="H3" s="10" t="s">
        <v>112</v>
      </c>
      <c r="I3" s="10" t="s">
        <v>112</v>
      </c>
      <c r="J3" s="10" t="s">
        <v>112</v>
      </c>
      <c r="K3" s="10" t="s">
        <v>112</v>
      </c>
      <c r="L3" s="10" t="s">
        <v>112</v>
      </c>
      <c r="M3" s="10" t="s">
        <v>112</v>
      </c>
      <c r="N3" s="10" t="s">
        <v>112</v>
      </c>
      <c r="O3" s="10" t="s">
        <v>112</v>
      </c>
      <c r="P3" s="10" t="s">
        <v>113</v>
      </c>
      <c r="Q3" s="10" t="s">
        <v>113</v>
      </c>
      <c r="R3" s="10" t="s">
        <v>112</v>
      </c>
      <c r="Y3" s="10" t="s">
        <v>107</v>
      </c>
    </row>
    <row r="4" spans="1:39" s="5" customFormat="1" ht="15.75" thickBot="1" x14ac:dyDescent="0.3">
      <c r="A4" s="5" t="s">
        <v>0</v>
      </c>
      <c r="B4" s="5" t="s">
        <v>1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2</v>
      </c>
      <c r="H4" s="5" t="s">
        <v>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6</v>
      </c>
      <c r="N4" s="5" t="s">
        <v>117</v>
      </c>
      <c r="O4" s="5" t="s">
        <v>118</v>
      </c>
      <c r="P4" s="5" t="s">
        <v>294</v>
      </c>
      <c r="Q4" s="5" t="s">
        <v>90</v>
      </c>
      <c r="R4" s="5" t="s">
        <v>283</v>
      </c>
      <c r="S4" s="5" t="s">
        <v>285</v>
      </c>
      <c r="T4" s="5" t="s">
        <v>316</v>
      </c>
      <c r="U4" s="5" t="s">
        <v>65</v>
      </c>
      <c r="V4" s="5" t="s">
        <v>66</v>
      </c>
      <c r="W4" s="5" t="s">
        <v>67</v>
      </c>
      <c r="X4" s="5" t="s">
        <v>51</v>
      </c>
      <c r="Y4" s="5" t="s">
        <v>86</v>
      </c>
      <c r="Z4" s="5" t="s">
        <v>85</v>
      </c>
      <c r="AA4" s="5" t="s">
        <v>84</v>
      </c>
      <c r="AB4" s="5" t="s">
        <v>256</v>
      </c>
      <c r="AC4" s="5" t="s">
        <v>253</v>
      </c>
      <c r="AD4" s="124"/>
      <c r="AE4" s="124"/>
      <c r="AF4" s="124"/>
      <c r="AG4" s="124" t="s">
        <v>320</v>
      </c>
      <c r="AH4" s="124" t="s">
        <v>321</v>
      </c>
      <c r="AI4" s="124" t="s">
        <v>311</v>
      </c>
      <c r="AJ4" s="124" t="s">
        <v>312</v>
      </c>
      <c r="AK4" s="124" t="s">
        <v>313</v>
      </c>
      <c r="AL4" s="124" t="s">
        <v>314</v>
      </c>
      <c r="AM4" s="124" t="s">
        <v>315</v>
      </c>
    </row>
    <row r="5" spans="1:39" s="9" customFormat="1" ht="16.5" thickTop="1" thickBot="1" x14ac:dyDescent="0.3">
      <c r="A5" s="9" t="s">
        <v>108</v>
      </c>
      <c r="H5" s="9" t="s">
        <v>109</v>
      </c>
      <c r="I5" s="9" t="s">
        <v>110</v>
      </c>
      <c r="J5" s="9" t="s">
        <v>109</v>
      </c>
    </row>
    <row r="6" spans="1:39" ht="15.75" thickTop="1" x14ac:dyDescent="0.25">
      <c r="A6" t="s">
        <v>14</v>
      </c>
      <c r="B6" t="s">
        <v>7</v>
      </c>
      <c r="C6" t="s">
        <v>34</v>
      </c>
      <c r="D6" t="s">
        <v>35</v>
      </c>
      <c r="E6" t="s">
        <v>36</v>
      </c>
      <c r="F6">
        <v>8760</v>
      </c>
      <c r="G6" t="s">
        <v>13</v>
      </c>
      <c r="H6" s="6">
        <v>0.38096819999999998</v>
      </c>
      <c r="I6">
        <v>40</v>
      </c>
      <c r="J6" s="1">
        <v>6.6000000000000003E-2</v>
      </c>
      <c r="K6">
        <v>0.3</v>
      </c>
      <c r="L6">
        <v>0.3</v>
      </c>
      <c r="M6">
        <v>0.85</v>
      </c>
      <c r="P6" s="4">
        <f>11751.5992748699</f>
        <v>11751.599274869899</v>
      </c>
      <c r="Q6" s="4">
        <f>13721031.29/1000</f>
        <v>13721.031289999999</v>
      </c>
      <c r="R6">
        <v>133.5230182</v>
      </c>
      <c r="S6" s="109">
        <f>R6/Carriers!$G$3/Conversions!$D$2*Y6</f>
        <v>7.8507860294473842E-5</v>
      </c>
      <c r="T6" s="1">
        <f>J6/Y6</f>
        <v>2.3484403720799997E-2</v>
      </c>
      <c r="U6" t="s">
        <v>71</v>
      </c>
      <c r="V6" t="s">
        <v>72</v>
      </c>
      <c r="W6">
        <v>17.207187650000002</v>
      </c>
      <c r="X6">
        <v>1871.873679</v>
      </c>
      <c r="Y6" s="1">
        <f>1/H6/(1-J6)</f>
        <v>2.8103758044980376</v>
      </c>
      <c r="Z6" s="2">
        <f>Carriers!H$28*1000</f>
        <v>1942097.6230000001</v>
      </c>
      <c r="AA6" s="2">
        <f>Carriers!G$3*277800</f>
        <v>4780156.7291700002</v>
      </c>
      <c r="AB6">
        <f>Z6/AA6</f>
        <v>0.40628325241905094</v>
      </c>
      <c r="AC6">
        <f>AB6*Y6</f>
        <v>1.1418086223712696</v>
      </c>
      <c r="AD6" t="s">
        <v>319</v>
      </c>
      <c r="AE6" t="s">
        <v>13</v>
      </c>
      <c r="AF6" s="4">
        <f>11751.5992748699</f>
        <v>11751.599274869899</v>
      </c>
      <c r="AG6">
        <v>3</v>
      </c>
      <c r="AH6">
        <f>AG6*Conversions!$D$5*1000</f>
        <v>3716.7527444133725</v>
      </c>
      <c r="AI6" s="4">
        <f t="shared" ref="AI6:AI22" si="0">AF6-AH6</f>
        <v>8034.846530456527</v>
      </c>
      <c r="AJ6">
        <v>10</v>
      </c>
      <c r="AK6">
        <v>0.105</v>
      </c>
      <c r="AL6">
        <f t="shared" ref="AL6:AL22" si="1">AK6/(1-(1+AK6)^-AJ6)</f>
        <v>0.16625732062625342</v>
      </c>
      <c r="AM6" s="4">
        <f t="shared" ref="AM6:AM22" si="2">AI6/AL6</f>
        <v>48327.775884942042</v>
      </c>
    </row>
    <row r="7" spans="1:39" x14ac:dyDescent="0.25">
      <c r="A7" t="s">
        <v>14</v>
      </c>
      <c r="B7" t="s">
        <v>7</v>
      </c>
      <c r="C7" t="s">
        <v>34</v>
      </c>
      <c r="D7" t="s">
        <v>35</v>
      </c>
      <c r="E7" t="s">
        <v>36</v>
      </c>
      <c r="F7">
        <v>8760</v>
      </c>
      <c r="G7" t="s">
        <v>10</v>
      </c>
      <c r="H7" s="6">
        <v>0.38096819999999998</v>
      </c>
      <c r="I7">
        <v>40</v>
      </c>
      <c r="J7" s="1">
        <v>6.6000000000000003E-2</v>
      </c>
      <c r="K7">
        <v>0.3</v>
      </c>
      <c r="L7">
        <v>0.3</v>
      </c>
      <c r="M7">
        <v>0.85</v>
      </c>
      <c r="P7" s="4">
        <f>26148.8463751508</f>
        <v>26148.846375150799</v>
      </c>
      <c r="Q7" s="4">
        <f>13721031.29/1000</f>
        <v>13721.031289999999</v>
      </c>
      <c r="R7">
        <v>133.5230182</v>
      </c>
      <c r="S7" s="109">
        <f>R7/Carriers!$G$3/Conversions!$D$2*Y7</f>
        <v>7.8507860294473842E-5</v>
      </c>
      <c r="T7" s="1">
        <f t="shared" ref="T7:T22" si="3">J7/Y7</f>
        <v>2.3484403720799997E-2</v>
      </c>
      <c r="U7" t="s">
        <v>71</v>
      </c>
      <c r="V7" t="s">
        <v>72</v>
      </c>
      <c r="W7">
        <v>17.207187650000002</v>
      </c>
      <c r="X7">
        <v>1871.873679</v>
      </c>
      <c r="Y7" s="1">
        <f t="shared" ref="Y7:Y18" si="4">1/H7/(1-J7)</f>
        <v>2.8103758044980376</v>
      </c>
      <c r="Z7" s="2">
        <f>Carriers!H$28*1000</f>
        <v>1942097.6230000001</v>
      </c>
      <c r="AA7" s="2">
        <f>Carriers!G$3*277800</f>
        <v>4780156.7291700002</v>
      </c>
      <c r="AB7">
        <f>Z7/AA7</f>
        <v>0.40628325241905094</v>
      </c>
      <c r="AC7">
        <f t="shared" ref="AC7:AC13" si="5">AB7</f>
        <v>0.40628325241905094</v>
      </c>
      <c r="AD7" t="s">
        <v>319</v>
      </c>
      <c r="AE7" t="s">
        <v>10</v>
      </c>
      <c r="AF7" s="4">
        <f>26148.8463751508</f>
        <v>26148.846375150799</v>
      </c>
      <c r="AG7">
        <v>3</v>
      </c>
      <c r="AH7">
        <f>AG7*Conversions!$D$5*1000</f>
        <v>3716.7527444133725</v>
      </c>
      <c r="AI7" s="4">
        <f t="shared" si="0"/>
        <v>22432.093630737425</v>
      </c>
      <c r="AJ7">
        <v>10</v>
      </c>
      <c r="AK7">
        <v>0.105</v>
      </c>
      <c r="AL7">
        <f t="shared" si="1"/>
        <v>0.16625732062625342</v>
      </c>
      <c r="AM7" s="4">
        <f t="shared" si="2"/>
        <v>134923.94528097074</v>
      </c>
    </row>
    <row r="8" spans="1:39" x14ac:dyDescent="0.25">
      <c r="A8" t="s">
        <v>14</v>
      </c>
      <c r="B8" t="s">
        <v>7</v>
      </c>
      <c r="C8" t="s">
        <v>34</v>
      </c>
      <c r="D8" t="s">
        <v>35</v>
      </c>
      <c r="E8" t="s">
        <v>36</v>
      </c>
      <c r="F8">
        <v>8760</v>
      </c>
      <c r="G8" t="s">
        <v>11</v>
      </c>
      <c r="H8" s="6">
        <v>0.38096819999999998</v>
      </c>
      <c r="I8">
        <v>40</v>
      </c>
      <c r="J8" s="1">
        <v>6.6000000000000003E-2</v>
      </c>
      <c r="K8">
        <v>0.3</v>
      </c>
      <c r="L8">
        <v>0.3</v>
      </c>
      <c r="M8">
        <v>0.85</v>
      </c>
      <c r="P8" s="4">
        <f>6514.90571684157</f>
        <v>6514.9057168415702</v>
      </c>
      <c r="Q8" s="4">
        <f>13721031.29/1000</f>
        <v>13721.031289999999</v>
      </c>
      <c r="R8">
        <v>133.5230182</v>
      </c>
      <c r="S8" s="109">
        <f>R8/Carriers!$G$3/Conversions!$D$2*Y8</f>
        <v>7.8507860294473842E-5</v>
      </c>
      <c r="T8" s="1">
        <f t="shared" si="3"/>
        <v>2.3484403720799997E-2</v>
      </c>
      <c r="W8">
        <v>17.207187650000002</v>
      </c>
      <c r="X8">
        <v>1871.873679</v>
      </c>
      <c r="Y8" s="1">
        <f t="shared" si="4"/>
        <v>2.8103758044980376</v>
      </c>
      <c r="Z8" s="2">
        <f>Carriers!H$28*1000</f>
        <v>1942097.6230000001</v>
      </c>
      <c r="AA8" s="2">
        <f>Carriers!G$3*277800</f>
        <v>4780156.7291700002</v>
      </c>
      <c r="AB8">
        <f t="shared" ref="AB8:AB12" si="6">Z8/AA8</f>
        <v>0.40628325241905094</v>
      </c>
      <c r="AC8">
        <f t="shared" si="5"/>
        <v>0.40628325241905094</v>
      </c>
      <c r="AD8" t="s">
        <v>319</v>
      </c>
      <c r="AE8" t="s">
        <v>11</v>
      </c>
      <c r="AF8" s="4">
        <f>6514.90571684157</f>
        <v>6514.9057168415702</v>
      </c>
      <c r="AG8">
        <v>3</v>
      </c>
      <c r="AH8">
        <f>AG8*Conversions!$D$5*1000</f>
        <v>3716.7527444133725</v>
      </c>
      <c r="AI8" s="4">
        <f t="shared" si="0"/>
        <v>2798.1529724281977</v>
      </c>
      <c r="AJ8">
        <v>10</v>
      </c>
      <c r="AK8">
        <v>0.105</v>
      </c>
      <c r="AL8">
        <f t="shared" si="1"/>
        <v>0.16625732062625342</v>
      </c>
      <c r="AM8" s="4">
        <f t="shared" si="2"/>
        <v>16830.254222119023</v>
      </c>
    </row>
    <row r="9" spans="1:39" x14ac:dyDescent="0.25">
      <c r="A9" t="s">
        <v>14</v>
      </c>
      <c r="B9" t="s">
        <v>7</v>
      </c>
      <c r="C9" t="s">
        <v>34</v>
      </c>
      <c r="D9" t="s">
        <v>35</v>
      </c>
      <c r="E9" t="s">
        <v>36</v>
      </c>
      <c r="F9">
        <v>8760</v>
      </c>
      <c r="G9" t="s">
        <v>12</v>
      </c>
      <c r="H9" s="6">
        <v>0.38096819999999998</v>
      </c>
      <c r="I9">
        <v>40</v>
      </c>
      <c r="J9" s="1">
        <v>6.6000000000000003E-2</v>
      </c>
      <c r="K9">
        <v>0.3</v>
      </c>
      <c r="L9">
        <v>0.3</v>
      </c>
      <c r="M9">
        <v>0.85</v>
      </c>
      <c r="P9" s="4">
        <f>5794.65159561365</f>
        <v>5794.65159561365</v>
      </c>
      <c r="Q9" s="4">
        <f>13721031.29/1000</f>
        <v>13721.031289999999</v>
      </c>
      <c r="R9">
        <v>133.5230182</v>
      </c>
      <c r="S9" s="109">
        <f>R9/Carriers!$G$3/Conversions!$D$2*Y9</f>
        <v>7.8507860294473842E-5</v>
      </c>
      <c r="T9" s="1">
        <f t="shared" si="3"/>
        <v>2.3484403720799997E-2</v>
      </c>
      <c r="W9">
        <v>17.207187650000002</v>
      </c>
      <c r="X9">
        <v>1871.873679</v>
      </c>
      <c r="Y9" s="1">
        <f t="shared" si="4"/>
        <v>2.8103758044980376</v>
      </c>
      <c r="Z9" s="2">
        <f>Carriers!H$28*1000</f>
        <v>1942097.6230000001</v>
      </c>
      <c r="AA9" s="2">
        <f>Carriers!G$3*277800</f>
        <v>4780156.7291700002</v>
      </c>
      <c r="AB9">
        <f t="shared" si="6"/>
        <v>0.40628325241905094</v>
      </c>
      <c r="AC9">
        <f t="shared" si="5"/>
        <v>0.40628325241905094</v>
      </c>
      <c r="AD9" t="s">
        <v>319</v>
      </c>
      <c r="AE9" t="s">
        <v>12</v>
      </c>
      <c r="AF9" s="4">
        <f>5794.65159561365</f>
        <v>5794.65159561365</v>
      </c>
      <c r="AG9">
        <v>3</v>
      </c>
      <c r="AH9">
        <f>AG9*Conversions!$D$5*1000</f>
        <v>3716.7527444133725</v>
      </c>
      <c r="AI9" s="4">
        <f t="shared" si="0"/>
        <v>2077.8988512002775</v>
      </c>
      <c r="AJ9">
        <v>10</v>
      </c>
      <c r="AK9">
        <v>0.105</v>
      </c>
      <c r="AL9">
        <f t="shared" si="1"/>
        <v>0.16625732062625342</v>
      </c>
      <c r="AM9" s="4">
        <f t="shared" si="2"/>
        <v>12498.089367573748</v>
      </c>
    </row>
    <row r="10" spans="1:39" x14ac:dyDescent="0.25">
      <c r="A10" t="s">
        <v>14</v>
      </c>
      <c r="B10" t="s">
        <v>7</v>
      </c>
      <c r="C10" t="s">
        <v>34</v>
      </c>
      <c r="D10" t="s">
        <v>35</v>
      </c>
      <c r="E10" t="s">
        <v>36</v>
      </c>
      <c r="F10">
        <v>8760</v>
      </c>
      <c r="G10" t="s">
        <v>9</v>
      </c>
      <c r="H10" s="6">
        <v>0.38096819999999998</v>
      </c>
      <c r="I10">
        <v>40</v>
      </c>
      <c r="J10" s="1">
        <v>6.6000000000000003E-2</v>
      </c>
      <c r="K10">
        <v>0.3</v>
      </c>
      <c r="L10">
        <v>0.3</v>
      </c>
      <c r="M10">
        <v>0.85</v>
      </c>
      <c r="P10" s="4">
        <f>5822.44460147077</f>
        <v>5822.4446014707701</v>
      </c>
      <c r="Q10" s="4">
        <f>13721031.29/1000</f>
        <v>13721.031289999999</v>
      </c>
      <c r="R10">
        <v>133.5230182</v>
      </c>
      <c r="S10" s="109">
        <f>R10/Carriers!$G$3/Conversions!$D$2*Y10</f>
        <v>7.8507860294473842E-5</v>
      </c>
      <c r="T10" s="1">
        <f t="shared" si="3"/>
        <v>2.3484403720799997E-2</v>
      </c>
      <c r="W10">
        <v>17.207187650000002</v>
      </c>
      <c r="X10">
        <v>1871.873679</v>
      </c>
      <c r="Y10" s="1">
        <f t="shared" si="4"/>
        <v>2.8103758044980376</v>
      </c>
      <c r="Z10" s="2">
        <f>Carriers!H$28*1000</f>
        <v>1942097.6230000001</v>
      </c>
      <c r="AA10" s="2">
        <f>Carriers!G$3*277800</f>
        <v>4780156.7291700002</v>
      </c>
      <c r="AB10">
        <f t="shared" si="6"/>
        <v>0.40628325241905094</v>
      </c>
      <c r="AC10">
        <f t="shared" si="5"/>
        <v>0.40628325241905094</v>
      </c>
      <c r="AD10" t="s">
        <v>319</v>
      </c>
      <c r="AE10" t="s">
        <v>9</v>
      </c>
      <c r="AF10" s="4">
        <f>5822.44460147077</f>
        <v>5822.4446014707701</v>
      </c>
      <c r="AG10">
        <v>3</v>
      </c>
      <c r="AH10">
        <f>AG10*Conversions!$D$5*1000</f>
        <v>3716.7527444133725</v>
      </c>
      <c r="AI10" s="4">
        <f t="shared" si="0"/>
        <v>2105.6918570573976</v>
      </c>
      <c r="AJ10">
        <v>10</v>
      </c>
      <c r="AK10">
        <v>0.105</v>
      </c>
      <c r="AL10">
        <f t="shared" si="1"/>
        <v>0.16625732062625342</v>
      </c>
      <c r="AM10" s="4">
        <f t="shared" si="2"/>
        <v>12665.257981577812</v>
      </c>
    </row>
    <row r="11" spans="1:39" x14ac:dyDescent="0.25">
      <c r="H11" s="6"/>
      <c r="J11" s="1"/>
      <c r="P11" s="4"/>
      <c r="Q11" s="4"/>
      <c r="S11" s="109"/>
      <c r="T11" s="1"/>
      <c r="Y11" s="1"/>
      <c r="Z11" s="2"/>
      <c r="AA11" s="2"/>
      <c r="AD11" t="s">
        <v>319</v>
      </c>
      <c r="AF11" s="4">
        <f>13721031.29/1000</f>
        <v>13721.031289999999</v>
      </c>
      <c r="AG11" s="123">
        <v>3</v>
      </c>
      <c r="AH11">
        <f>AG11*Conversions!$D$5*1000</f>
        <v>3716.7527444133725</v>
      </c>
      <c r="AI11" s="4">
        <f t="shared" si="0"/>
        <v>10004.278545586627</v>
      </c>
      <c r="AJ11">
        <v>40</v>
      </c>
      <c r="AK11">
        <v>0.105</v>
      </c>
      <c r="AL11">
        <f t="shared" si="1"/>
        <v>0.10697140835497033</v>
      </c>
      <c r="AM11" s="4">
        <f t="shared" si="2"/>
        <v>93522.920745221607</v>
      </c>
    </row>
    <row r="12" spans="1:39" x14ac:dyDescent="0.25">
      <c r="A12" t="s">
        <v>15</v>
      </c>
      <c r="B12" t="s">
        <v>7</v>
      </c>
      <c r="C12" t="s">
        <v>34</v>
      </c>
      <c r="D12" t="s">
        <v>37</v>
      </c>
      <c r="E12" t="s">
        <v>36</v>
      </c>
      <c r="F12">
        <v>8760</v>
      </c>
      <c r="G12" t="s">
        <v>89</v>
      </c>
      <c r="H12" s="6">
        <v>0.40444272199999998</v>
      </c>
      <c r="I12">
        <v>25</v>
      </c>
      <c r="J12" s="1">
        <v>0.02</v>
      </c>
      <c r="K12">
        <v>0.9</v>
      </c>
      <c r="L12">
        <v>0.9</v>
      </c>
      <c r="M12">
        <v>0.85</v>
      </c>
      <c r="P12" s="4">
        <f>8512.22780274884</f>
        <v>8512.2278027488392</v>
      </c>
      <c r="Q12" s="4">
        <f>8512227.803/1000</f>
        <v>8512.2278029999998</v>
      </c>
      <c r="R12">
        <v>0</v>
      </c>
      <c r="S12">
        <v>0</v>
      </c>
      <c r="T12" s="1">
        <f t="shared" si="3"/>
        <v>7.9270773512000008E-3</v>
      </c>
      <c r="Y12" s="1">
        <f t="shared" si="4"/>
        <v>2.5229979617863072</v>
      </c>
      <c r="Z12" s="2">
        <f>Carriers!H4*1000</f>
        <v>3025024.5490000001</v>
      </c>
      <c r="AA12" s="2">
        <f>Carriers!G4*277800/0.829</f>
        <v>12627065.572979493</v>
      </c>
      <c r="AB12">
        <f t="shared" si="6"/>
        <v>0.23956670942401803</v>
      </c>
      <c r="AC12">
        <f t="shared" si="5"/>
        <v>0.23956670942401803</v>
      </c>
      <c r="AD12" t="str">
        <f>ECT_EfficiencyCostMaxAnnualUF!A12</f>
        <v>EG_CCGT</v>
      </c>
      <c r="AF12" s="4">
        <f>ECT_EfficiencyCostMaxAnnualUF!Q12</f>
        <v>8512.2278029999998</v>
      </c>
      <c r="AG12">
        <v>2.9</v>
      </c>
      <c r="AH12">
        <f>AG12*Conversions!$D$5*1000</f>
        <v>3592.8609862662602</v>
      </c>
      <c r="AI12" s="4">
        <f t="shared" si="0"/>
        <v>4919.3668167337401</v>
      </c>
      <c r="AJ12">
        <v>25</v>
      </c>
      <c r="AK12">
        <v>0.105</v>
      </c>
      <c r="AL12">
        <f t="shared" si="1"/>
        <v>0.11442931981310331</v>
      </c>
      <c r="AM12" s="4">
        <f t="shared" si="2"/>
        <v>42990.440079242901</v>
      </c>
    </row>
    <row r="13" spans="1:39" x14ac:dyDescent="0.25">
      <c r="A13" t="s">
        <v>17</v>
      </c>
      <c r="B13" t="s">
        <v>7</v>
      </c>
      <c r="C13" t="s">
        <v>34</v>
      </c>
      <c r="D13" t="s">
        <v>37</v>
      </c>
      <c r="E13" t="s">
        <v>36</v>
      </c>
      <c r="F13">
        <v>8760</v>
      </c>
      <c r="G13" t="s">
        <v>89</v>
      </c>
      <c r="H13" s="6">
        <v>0.28070162799999998</v>
      </c>
      <c r="I13">
        <v>25</v>
      </c>
      <c r="J13" s="1">
        <v>0.01</v>
      </c>
      <c r="K13">
        <v>1</v>
      </c>
      <c r="L13">
        <v>1</v>
      </c>
      <c r="M13">
        <v>0.85</v>
      </c>
      <c r="P13" s="4">
        <f>6679.75064927145</f>
        <v>6679.7506492714501</v>
      </c>
      <c r="Q13" s="4">
        <f>6679750.649/1000</f>
        <v>6679.7506490000005</v>
      </c>
      <c r="R13">
        <v>0</v>
      </c>
      <c r="S13">
        <v>0</v>
      </c>
      <c r="T13" s="1">
        <f t="shared" si="3"/>
        <v>2.7789461171999997E-3</v>
      </c>
      <c r="Y13" s="1">
        <f t="shared" si="4"/>
        <v>3.5984864687033813</v>
      </c>
      <c r="Z13" s="2">
        <f>Carriers!H4*1000</f>
        <v>3025024.5490000001</v>
      </c>
      <c r="AA13" s="2">
        <f>Carriers!G4*277800/0.829</f>
        <v>12627065.572979493</v>
      </c>
      <c r="AB13">
        <f t="shared" ref="AB13" si="7">Z13/AA13</f>
        <v>0.23956670942401803</v>
      </c>
      <c r="AC13">
        <f t="shared" si="5"/>
        <v>0.23956670942401803</v>
      </c>
      <c r="AD13" t="str">
        <f>ECT_EfficiencyCostMaxAnnualUF!A13</f>
        <v>EG_OCGT</v>
      </c>
      <c r="AF13" s="4">
        <f>ECT_EfficiencyCostMaxAnnualUF!Q13</f>
        <v>6679.7506490000005</v>
      </c>
      <c r="AG13">
        <v>0.7</v>
      </c>
      <c r="AH13">
        <f>AG13*Conversions!$D$5*1000</f>
        <v>867.24230702978684</v>
      </c>
      <c r="AI13" s="4">
        <f t="shared" si="0"/>
        <v>5812.5083419702132</v>
      </c>
      <c r="AJ13">
        <v>25</v>
      </c>
      <c r="AK13">
        <v>0.105</v>
      </c>
      <c r="AL13">
        <f t="shared" si="1"/>
        <v>0.11442931981310331</v>
      </c>
      <c r="AM13" s="4">
        <f t="shared" si="2"/>
        <v>50795.620837943869</v>
      </c>
    </row>
    <row r="14" spans="1:39" x14ac:dyDescent="0.25">
      <c r="A14" t="s">
        <v>18</v>
      </c>
      <c r="B14" t="s">
        <v>7</v>
      </c>
      <c r="C14" t="s">
        <v>34</v>
      </c>
      <c r="D14" t="s">
        <v>38</v>
      </c>
      <c r="E14" t="s">
        <v>36</v>
      </c>
      <c r="F14">
        <v>8760</v>
      </c>
      <c r="G14" t="s">
        <v>89</v>
      </c>
      <c r="H14" s="7">
        <v>1</v>
      </c>
      <c r="I14">
        <v>40</v>
      </c>
      <c r="J14" s="1">
        <v>0.10780000000000001</v>
      </c>
      <c r="K14">
        <v>0.01</v>
      </c>
      <c r="L14">
        <v>0.01</v>
      </c>
      <c r="M14">
        <v>0.70916666699999997</v>
      </c>
      <c r="P14" s="4">
        <f>20833.2103478327</f>
        <v>20833.210347832701</v>
      </c>
      <c r="Q14" s="4">
        <f>20833210.35/1000</f>
        <v>20833.210350000001</v>
      </c>
      <c r="R14">
        <v>0</v>
      </c>
      <c r="S14">
        <v>0</v>
      </c>
      <c r="T14" s="1">
        <f t="shared" si="3"/>
        <v>9.6179160000000014E-2</v>
      </c>
      <c r="Y14" s="1">
        <f t="shared" si="4"/>
        <v>1.1208249271463797</v>
      </c>
      <c r="AD14" t="str">
        <f>ECT_EfficiencyCostMaxAnnualUF!A14</f>
        <v>EG_PHWR</v>
      </c>
      <c r="AF14" s="4">
        <f>ECT_EfficiencyCostMaxAnnualUF!Q14</f>
        <v>20833.210350000001</v>
      </c>
      <c r="AG14">
        <v>4.3</v>
      </c>
      <c r="AH14">
        <f>AG14*Conversions!$D$5*1000</f>
        <v>5327.3456003258334</v>
      </c>
      <c r="AI14" s="4">
        <f t="shared" si="0"/>
        <v>15505.864749674169</v>
      </c>
      <c r="AJ14">
        <v>40</v>
      </c>
      <c r="AK14">
        <v>0.105</v>
      </c>
      <c r="AL14">
        <f t="shared" si="1"/>
        <v>0.10697140835497033</v>
      </c>
      <c r="AM14" s="4">
        <f t="shared" si="2"/>
        <v>144953.35705238194</v>
      </c>
    </row>
    <row r="15" spans="1:39" x14ac:dyDescent="0.25">
      <c r="A15" t="s">
        <v>23</v>
      </c>
      <c r="B15" t="s">
        <v>7</v>
      </c>
      <c r="C15" t="s">
        <v>34</v>
      </c>
      <c r="D15" t="s">
        <v>38</v>
      </c>
      <c r="E15" t="s">
        <v>36</v>
      </c>
      <c r="F15">
        <v>8760</v>
      </c>
      <c r="G15" t="s">
        <v>89</v>
      </c>
      <c r="H15" s="7">
        <v>1</v>
      </c>
      <c r="I15">
        <v>30</v>
      </c>
      <c r="J15" s="1">
        <v>0.05</v>
      </c>
      <c r="K15">
        <v>0.01</v>
      </c>
      <c r="L15">
        <v>0.01</v>
      </c>
      <c r="M15">
        <v>0.70916666699999997</v>
      </c>
      <c r="P15" s="122"/>
      <c r="Q15" s="4">
        <f>35289429.39/1000</f>
        <v>35289.429389999998</v>
      </c>
      <c r="R15">
        <v>0</v>
      </c>
      <c r="S15">
        <v>0</v>
      </c>
      <c r="T15" s="1">
        <f t="shared" si="3"/>
        <v>4.7500000000000007E-2</v>
      </c>
      <c r="Y15" s="1">
        <f t="shared" si="4"/>
        <v>1.0526315789473684</v>
      </c>
      <c r="AD15" t="str">
        <f>ECT_EfficiencyCostMaxAnnualUF!A15</f>
        <v>EG_SMR</v>
      </c>
      <c r="AF15" s="4">
        <f>ECT_EfficiencyCostMaxAnnualUF!Q15</f>
        <v>35289.429389999998</v>
      </c>
      <c r="AG15">
        <v>5</v>
      </c>
      <c r="AH15">
        <f>AG15*Conversions!$D$5*1000</f>
        <v>6194.5879073556207</v>
      </c>
      <c r="AI15" s="4">
        <f t="shared" si="0"/>
        <v>29094.841482644377</v>
      </c>
      <c r="AJ15">
        <v>30</v>
      </c>
      <c r="AK15">
        <v>0.105</v>
      </c>
      <c r="AL15">
        <f t="shared" si="1"/>
        <v>0.11052848152960514</v>
      </c>
      <c r="AM15" s="4">
        <f t="shared" si="2"/>
        <v>263233.88397271431</v>
      </c>
    </row>
    <row r="16" spans="1:39" x14ac:dyDescent="0.25">
      <c r="A16" t="s">
        <v>16</v>
      </c>
      <c r="B16" t="s">
        <v>7</v>
      </c>
      <c r="C16" t="s">
        <v>34</v>
      </c>
      <c r="D16" t="s">
        <v>39</v>
      </c>
      <c r="E16" t="s">
        <v>36</v>
      </c>
      <c r="F16">
        <v>8760</v>
      </c>
      <c r="G16" t="s">
        <v>89</v>
      </c>
      <c r="H16" s="6">
        <v>1</v>
      </c>
      <c r="I16">
        <v>40</v>
      </c>
      <c r="J16" s="1">
        <v>6.0000000000000001E-3</v>
      </c>
      <c r="K16">
        <v>1</v>
      </c>
      <c r="L16">
        <v>1</v>
      </c>
      <c r="M16">
        <v>1</v>
      </c>
      <c r="P16" s="4">
        <f>19631.8145207228</f>
        <v>19631.814520722801</v>
      </c>
      <c r="Q16" s="4">
        <f>19631814.52/1000</f>
        <v>19631.81452</v>
      </c>
      <c r="R16">
        <v>0</v>
      </c>
      <c r="S16">
        <v>0</v>
      </c>
      <c r="T16" s="1">
        <f t="shared" si="3"/>
        <v>6.0362173038229381E-3</v>
      </c>
      <c r="Y16" s="121">
        <f>H16-J16</f>
        <v>0.99399999999999999</v>
      </c>
      <c r="AD16" t="str">
        <f>ECT_EfficiencyCostMaxAnnualUF!A16</f>
        <v>EG_LH</v>
      </c>
      <c r="AF16" s="4">
        <f>ECT_EfficiencyCostMaxAnnualUF!Q16</f>
        <v>19631.81452</v>
      </c>
      <c r="AG16">
        <v>4.4000000000000004</v>
      </c>
      <c r="AH16">
        <f>AG16*Conversions!$D$5*1000</f>
        <v>5451.2373584729476</v>
      </c>
      <c r="AI16" s="4">
        <f t="shared" si="0"/>
        <v>14180.577161527053</v>
      </c>
      <c r="AJ16">
        <v>40</v>
      </c>
      <c r="AK16">
        <v>0.105</v>
      </c>
      <c r="AL16">
        <f t="shared" si="1"/>
        <v>0.10697140835497033</v>
      </c>
      <c r="AM16" s="4">
        <f t="shared" si="2"/>
        <v>132564.18121065304</v>
      </c>
    </row>
    <row r="17" spans="1:39" x14ac:dyDescent="0.25">
      <c r="A17" t="s">
        <v>19</v>
      </c>
      <c r="B17" t="s">
        <v>7</v>
      </c>
      <c r="C17" t="s">
        <v>34</v>
      </c>
      <c r="D17" t="s">
        <v>39</v>
      </c>
      <c r="E17" t="s">
        <v>36</v>
      </c>
      <c r="F17">
        <v>8760</v>
      </c>
      <c r="G17" t="s">
        <v>89</v>
      </c>
      <c r="H17" s="6">
        <v>1</v>
      </c>
      <c r="I17">
        <v>35</v>
      </c>
      <c r="J17" s="1">
        <v>0.01</v>
      </c>
      <c r="K17">
        <v>1</v>
      </c>
      <c r="L17">
        <v>1</v>
      </c>
      <c r="M17">
        <v>1</v>
      </c>
      <c r="P17" s="4">
        <f>11825.3487554956</f>
        <v>11825.348755495599</v>
      </c>
      <c r="Q17" s="4">
        <f>11825348.76/1000</f>
        <v>11825.348759999999</v>
      </c>
      <c r="R17">
        <v>0</v>
      </c>
      <c r="S17">
        <v>0</v>
      </c>
      <c r="T17" s="1">
        <f t="shared" si="3"/>
        <v>1.0101010101010102E-2</v>
      </c>
      <c r="Y17" s="121">
        <f>H17-J17</f>
        <v>0.99</v>
      </c>
      <c r="AD17" t="str">
        <f>ECT_EfficiencyCostMaxAnnualUF!A17</f>
        <v>EG_SH</v>
      </c>
      <c r="AF17" s="4">
        <f>ECT_EfficiencyCostMaxAnnualUF!Q17</f>
        <v>11825.348759999999</v>
      </c>
      <c r="AG17">
        <f>2.4</f>
        <v>2.4</v>
      </c>
      <c r="AH17">
        <f>AG17*Conversions!$D$5*1000</f>
        <v>2973.402195530698</v>
      </c>
      <c r="AI17" s="4">
        <f t="shared" si="0"/>
        <v>8851.9465644693009</v>
      </c>
      <c r="AJ17">
        <v>35</v>
      </c>
      <c r="AK17">
        <v>8.3500000000000005E-2</v>
      </c>
      <c r="AL17">
        <f t="shared" si="1"/>
        <v>8.8866958914066166E-2</v>
      </c>
      <c r="AM17" s="4">
        <f t="shared" si="2"/>
        <v>99608.973600965488</v>
      </c>
    </row>
    <row r="18" spans="1:39" x14ac:dyDescent="0.25">
      <c r="A18" t="s">
        <v>8</v>
      </c>
      <c r="B18" t="s">
        <v>7</v>
      </c>
      <c r="C18" t="s">
        <v>34</v>
      </c>
      <c r="D18" t="s">
        <v>40</v>
      </c>
      <c r="E18" t="s">
        <v>36</v>
      </c>
      <c r="F18">
        <v>8760</v>
      </c>
      <c r="G18" t="s">
        <v>89</v>
      </c>
      <c r="H18" s="6">
        <v>0.238845897</v>
      </c>
      <c r="I18">
        <v>20</v>
      </c>
      <c r="J18" s="1">
        <v>0.1</v>
      </c>
      <c r="K18">
        <v>0.06</v>
      </c>
      <c r="L18">
        <v>0.06</v>
      </c>
      <c r="M18">
        <v>1</v>
      </c>
      <c r="P18" s="4">
        <f>7713.45723965334</f>
        <v>7713.4572396533404</v>
      </c>
      <c r="Q18" s="4">
        <f>7713457.24/1000</f>
        <v>7713.4572400000006</v>
      </c>
      <c r="R18">
        <v>0</v>
      </c>
      <c r="S18">
        <v>0</v>
      </c>
      <c r="T18" s="1">
        <f t="shared" si="3"/>
        <v>2.1496130730000004E-2</v>
      </c>
      <c r="Y18" s="1">
        <f t="shared" si="4"/>
        <v>4.6519999927447406</v>
      </c>
      <c r="Z18" s="2">
        <f>Carriers!H6*1000</f>
        <v>1656436.6880000001</v>
      </c>
      <c r="AA18" s="2">
        <f>Carriers!G8*277800</f>
        <v>3791683.3103999998</v>
      </c>
      <c r="AB18">
        <f t="shared" ref="AB18" si="8">Z18/AA18</f>
        <v>0.43686050558511857</v>
      </c>
      <c r="AC18">
        <f>AB18</f>
        <v>0.43686050558511857</v>
      </c>
      <c r="AD18" t="str">
        <f>ECT_EfficiencyCostMaxAnnualUF!A18</f>
        <v>EG_BIOMASS</v>
      </c>
      <c r="AF18" s="4">
        <f>ECT_EfficiencyCostMaxAnnualUF!Q18</f>
        <v>7713.4572400000006</v>
      </c>
      <c r="AG18" s="118">
        <v>1</v>
      </c>
      <c r="AH18">
        <f>AG18*Conversions!$D$5*1000</f>
        <v>1238.9175814711241</v>
      </c>
      <c r="AI18" s="4">
        <f t="shared" si="0"/>
        <v>6474.5396585288763</v>
      </c>
      <c r="AJ18">
        <v>20</v>
      </c>
      <c r="AK18">
        <v>8.3500000000000005E-2</v>
      </c>
      <c r="AL18">
        <f t="shared" si="1"/>
        <v>0.10451929579519206</v>
      </c>
      <c r="AM18" s="4">
        <f t="shared" si="2"/>
        <v>61945.879076872887</v>
      </c>
    </row>
    <row r="19" spans="1:39" x14ac:dyDescent="0.25">
      <c r="A19" t="s">
        <v>20</v>
      </c>
      <c r="B19" t="s">
        <v>7</v>
      </c>
      <c r="C19" t="s">
        <v>34</v>
      </c>
      <c r="D19" t="s">
        <v>41</v>
      </c>
      <c r="E19" t="s">
        <v>36</v>
      </c>
      <c r="F19">
        <v>8760</v>
      </c>
      <c r="G19" t="s">
        <v>89</v>
      </c>
      <c r="H19" s="6">
        <v>1</v>
      </c>
      <c r="I19">
        <v>25</v>
      </c>
      <c r="J19" s="1">
        <v>0.01</v>
      </c>
      <c r="K19">
        <v>1</v>
      </c>
      <c r="L19">
        <v>1</v>
      </c>
      <c r="M19">
        <v>1</v>
      </c>
      <c r="P19" s="4">
        <f>5630.98419436319</f>
        <v>5630.98419436319</v>
      </c>
      <c r="Q19" s="4">
        <f>5439705.856/1000</f>
        <v>5439.7058559999996</v>
      </c>
      <c r="R19">
        <v>0</v>
      </c>
      <c r="S19">
        <v>0</v>
      </c>
      <c r="T19" s="1">
        <f t="shared" si="3"/>
        <v>0.01</v>
      </c>
      <c r="Y19" s="119">
        <v>1</v>
      </c>
      <c r="AD19" t="str">
        <f>ECT_EfficiencyCostMaxAnnualUF!A19</f>
        <v>EG_SOLARGM</v>
      </c>
      <c r="AF19" s="4">
        <f>ECT_EfficiencyCostMaxAnnualUF!Q19</f>
        <v>5439.7058559999996</v>
      </c>
      <c r="AG19">
        <v>0.35</v>
      </c>
      <c r="AH19">
        <f>AG19*Conversions!$D$5*1000</f>
        <v>433.62115351489342</v>
      </c>
      <c r="AI19" s="4">
        <f t="shared" si="0"/>
        <v>5006.0847024851064</v>
      </c>
      <c r="AJ19">
        <v>25</v>
      </c>
      <c r="AK19">
        <v>0.105</v>
      </c>
      <c r="AL19">
        <f t="shared" si="1"/>
        <v>0.11442931981310331</v>
      </c>
      <c r="AM19" s="4">
        <f t="shared" si="2"/>
        <v>43748.269330461051</v>
      </c>
    </row>
    <row r="20" spans="1:39" x14ac:dyDescent="0.25">
      <c r="A20" t="s">
        <v>21</v>
      </c>
      <c r="B20" t="s">
        <v>7</v>
      </c>
      <c r="C20" t="s">
        <v>34</v>
      </c>
      <c r="D20" t="s">
        <v>41</v>
      </c>
      <c r="E20" t="s">
        <v>36</v>
      </c>
      <c r="F20">
        <v>8760</v>
      </c>
      <c r="G20" t="s">
        <v>89</v>
      </c>
      <c r="H20" s="6">
        <v>1</v>
      </c>
      <c r="I20">
        <v>25</v>
      </c>
      <c r="J20" s="1">
        <v>6.0000000000000001E-3</v>
      </c>
      <c r="K20">
        <v>1</v>
      </c>
      <c r="L20">
        <v>1</v>
      </c>
      <c r="M20">
        <v>1</v>
      </c>
      <c r="P20" s="4">
        <f>5542.18769541597</f>
        <v>5542.1876954159698</v>
      </c>
      <c r="Q20" s="4">
        <f>5362133.837/1000</f>
        <v>5362.1338370000003</v>
      </c>
      <c r="R20">
        <v>0</v>
      </c>
      <c r="S20">
        <v>0</v>
      </c>
      <c r="T20" s="1">
        <f t="shared" si="3"/>
        <v>6.0000000000000001E-3</v>
      </c>
      <c r="Y20" s="119">
        <v>1</v>
      </c>
      <c r="AD20" t="str">
        <f>ECT_EfficiencyCostMaxAnnualUF!A20</f>
        <v>EG_SOLARRF</v>
      </c>
      <c r="AF20" s="4">
        <f>ECT_EfficiencyCostMaxAnnualUF!Q20</f>
        <v>5362.1338370000003</v>
      </c>
      <c r="AG20">
        <v>0.51</v>
      </c>
      <c r="AH20">
        <f>AG20*Conversions!$D$5*1000</f>
        <v>631.84796655027333</v>
      </c>
      <c r="AI20" s="4">
        <f t="shared" si="0"/>
        <v>4730.2858704497266</v>
      </c>
      <c r="AJ20">
        <v>25</v>
      </c>
      <c r="AK20">
        <v>0.104</v>
      </c>
      <c r="AL20">
        <f t="shared" si="1"/>
        <v>0.11357300490974749</v>
      </c>
      <c r="AM20" s="4">
        <f t="shared" si="2"/>
        <v>41649.737754220027</v>
      </c>
    </row>
    <row r="21" spans="1:39" x14ac:dyDescent="0.25">
      <c r="A21" t="s">
        <v>22</v>
      </c>
      <c r="B21" t="s">
        <v>7</v>
      </c>
      <c r="C21" t="s">
        <v>34</v>
      </c>
      <c r="D21" t="s">
        <v>42</v>
      </c>
      <c r="E21" t="s">
        <v>36</v>
      </c>
      <c r="F21">
        <v>8760</v>
      </c>
      <c r="G21" t="s">
        <v>89</v>
      </c>
      <c r="H21" s="6">
        <v>1</v>
      </c>
      <c r="I21">
        <v>25</v>
      </c>
      <c r="J21" s="1">
        <v>5.0000000000000001E-3</v>
      </c>
      <c r="K21">
        <v>1</v>
      </c>
      <c r="L21">
        <v>1</v>
      </c>
      <c r="M21">
        <v>1</v>
      </c>
      <c r="P21" s="4">
        <f>10659.4302732183</f>
        <v>10659.4302732183</v>
      </c>
      <c r="Q21" s="4">
        <f>10586964.46/1000</f>
        <v>10586.964460000001</v>
      </c>
      <c r="R21">
        <v>0</v>
      </c>
      <c r="S21">
        <v>0</v>
      </c>
      <c r="T21" s="1">
        <f t="shared" si="3"/>
        <v>5.0000000000000001E-3</v>
      </c>
      <c r="Y21" s="119">
        <v>1</v>
      </c>
      <c r="AD21" t="str">
        <f>ECT_EfficiencyCostMaxAnnualUF!A21</f>
        <v>EG_WINDON</v>
      </c>
      <c r="AF21" s="4">
        <f>ECT_EfficiencyCostMaxAnnualUF!Q21</f>
        <v>10586.964460000001</v>
      </c>
      <c r="AG21">
        <v>0.68</v>
      </c>
      <c r="AH21">
        <f>AG21*Conversions!$D$5*1000</f>
        <v>842.46395540036451</v>
      </c>
      <c r="AI21" s="4">
        <f t="shared" si="0"/>
        <v>9744.5005045996368</v>
      </c>
      <c r="AJ21">
        <v>25</v>
      </c>
      <c r="AK21">
        <v>0.105</v>
      </c>
      <c r="AL21">
        <f t="shared" si="1"/>
        <v>0.11442931981310331</v>
      </c>
      <c r="AM21" s="4">
        <f t="shared" si="2"/>
        <v>85157.375054883392</v>
      </c>
    </row>
    <row r="22" spans="1:39" x14ac:dyDescent="0.25">
      <c r="A22" t="s">
        <v>24</v>
      </c>
      <c r="B22" t="s">
        <v>7</v>
      </c>
      <c r="C22" t="s">
        <v>34</v>
      </c>
      <c r="D22" t="s">
        <v>42</v>
      </c>
      <c r="E22" t="s">
        <v>36</v>
      </c>
      <c r="F22">
        <v>8760</v>
      </c>
      <c r="G22" t="s">
        <v>89</v>
      </c>
      <c r="H22" s="6">
        <v>1</v>
      </c>
      <c r="I22">
        <v>25</v>
      </c>
      <c r="J22" s="1">
        <v>5.0000000000000001E-3</v>
      </c>
      <c r="K22">
        <v>1</v>
      </c>
      <c r="L22">
        <v>1</v>
      </c>
      <c r="M22">
        <v>1</v>
      </c>
      <c r="P22" s="122"/>
      <c r="Q22" s="4">
        <f>34540361.67/1000</f>
        <v>34540.361669999998</v>
      </c>
      <c r="R22">
        <v>0</v>
      </c>
      <c r="S22">
        <v>0</v>
      </c>
      <c r="T22" s="1">
        <f t="shared" si="3"/>
        <v>5.0000000000000001E-3</v>
      </c>
      <c r="Y22" s="119">
        <v>1</v>
      </c>
      <c r="AD22" t="str">
        <f>ECT_EfficiencyCostMaxAnnualUF!A22</f>
        <v>EG_WINDOFF</v>
      </c>
      <c r="AF22" s="4">
        <f>ECT_EfficiencyCostMaxAnnualUF!Q22</f>
        <v>34540.361669999998</v>
      </c>
      <c r="AG22">
        <v>6.7</v>
      </c>
      <c r="AH22">
        <f>AG22*Conversions!$D$5*1000</f>
        <v>8300.7477958565323</v>
      </c>
      <c r="AI22" s="4">
        <f t="shared" si="0"/>
        <v>26239.613874143466</v>
      </c>
      <c r="AJ22">
        <v>25</v>
      </c>
      <c r="AK22">
        <v>0.112</v>
      </c>
      <c r="AL22">
        <f t="shared" si="1"/>
        <v>0.12047788778229078</v>
      </c>
      <c r="AM22" s="4">
        <f t="shared" si="2"/>
        <v>217796.09816499843</v>
      </c>
    </row>
    <row r="25" spans="1:39" x14ac:dyDescent="0.25">
      <c r="M25" t="s">
        <v>286</v>
      </c>
    </row>
    <row r="26" spans="1:39" x14ac:dyDescent="0.25">
      <c r="M26">
        <v>0.95</v>
      </c>
      <c r="O26">
        <f>AVERAGE(M26:M38)</f>
        <v>0.84999999999999976</v>
      </c>
      <c r="Y26" s="3" t="s">
        <v>317</v>
      </c>
    </row>
    <row r="27" spans="1:39" x14ac:dyDescent="0.25">
      <c r="M27">
        <f>$M$26</f>
        <v>0.95</v>
      </c>
      <c r="Y27" s="120" t="s">
        <v>318</v>
      </c>
    </row>
    <row r="28" spans="1:39" x14ac:dyDescent="0.25">
      <c r="M28">
        <f>$M$26</f>
        <v>0.95</v>
      </c>
    </row>
    <row r="29" spans="1:39" x14ac:dyDescent="0.25">
      <c r="M29">
        <v>0.75</v>
      </c>
    </row>
    <row r="30" spans="1:39" x14ac:dyDescent="0.25">
      <c r="L30" s="1"/>
      <c r="M30">
        <v>0.5</v>
      </c>
    </row>
    <row r="31" spans="1:39" x14ac:dyDescent="0.25">
      <c r="M31">
        <v>0.5</v>
      </c>
    </row>
    <row r="32" spans="1:39" x14ac:dyDescent="0.25">
      <c r="M32">
        <v>0.75</v>
      </c>
    </row>
    <row r="33" spans="4:13" x14ac:dyDescent="0.25">
      <c r="M33">
        <f t="shared" ref="M33:M38" si="9">$M$26</f>
        <v>0.95</v>
      </c>
    </row>
    <row r="34" spans="4:13" x14ac:dyDescent="0.25">
      <c r="M34">
        <f t="shared" si="9"/>
        <v>0.95</v>
      </c>
    </row>
    <row r="35" spans="4:13" x14ac:dyDescent="0.25">
      <c r="M35">
        <f t="shared" si="9"/>
        <v>0.95</v>
      </c>
    </row>
    <row r="36" spans="4:13" x14ac:dyDescent="0.25">
      <c r="M36">
        <f t="shared" si="9"/>
        <v>0.95</v>
      </c>
    </row>
    <row r="37" spans="4:13" x14ac:dyDescent="0.25">
      <c r="M37">
        <f t="shared" si="9"/>
        <v>0.95</v>
      </c>
    </row>
    <row r="38" spans="4:13" x14ac:dyDescent="0.25">
      <c r="M38">
        <f t="shared" si="9"/>
        <v>0.95</v>
      </c>
    </row>
    <row r="46" spans="4:13" x14ac:dyDescent="0.25">
      <c r="D46" s="1"/>
    </row>
    <row r="47" spans="4:13" x14ac:dyDescent="0.25">
      <c r="D47" s="1"/>
    </row>
    <row r="48" spans="4:13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2F9A-810A-4C8E-915E-BDC56D8F52B6}">
  <dimension ref="A1:S103"/>
  <sheetViews>
    <sheetView topLeftCell="A6" workbookViewId="0">
      <selection activeCell="A22" sqref="A22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7109375" bestFit="1" customWidth="1"/>
    <col min="4" max="4" width="14.7109375" bestFit="1" customWidth="1"/>
    <col min="5" max="5" width="17.5703125" bestFit="1" customWidth="1"/>
    <col min="6" max="6" width="13.85546875" bestFit="1" customWidth="1"/>
    <col min="8" max="8" width="8.140625" bestFit="1" customWidth="1"/>
    <col min="9" max="9" width="16.140625" bestFit="1" customWidth="1"/>
    <col min="10" max="10" width="17.28515625" bestFit="1" customWidth="1"/>
    <col min="11" max="11" width="12" bestFit="1" customWidth="1"/>
    <col min="12" max="12" width="9.28515625" bestFit="1" customWidth="1"/>
  </cols>
  <sheetData>
    <row r="1" spans="1:19" x14ac:dyDescent="0.25">
      <c r="A1" s="10" t="s">
        <v>88</v>
      </c>
      <c r="B1" t="s">
        <v>148</v>
      </c>
      <c r="C1" t="s">
        <v>148</v>
      </c>
      <c r="D1" t="s">
        <v>148</v>
      </c>
      <c r="E1" t="s">
        <v>148</v>
      </c>
      <c r="F1" t="s">
        <v>148</v>
      </c>
      <c r="G1" t="s">
        <v>148</v>
      </c>
      <c r="H1" t="s">
        <v>148</v>
      </c>
      <c r="I1" t="s">
        <v>148</v>
      </c>
      <c r="J1" t="s">
        <v>148</v>
      </c>
      <c r="K1" t="s">
        <v>148</v>
      </c>
      <c r="L1" t="s">
        <v>148</v>
      </c>
      <c r="M1" t="s">
        <v>148</v>
      </c>
      <c r="N1" t="s">
        <v>148</v>
      </c>
    </row>
    <row r="2" spans="1:19" x14ac:dyDescent="0.25">
      <c r="A2" s="10" t="s">
        <v>147</v>
      </c>
      <c r="B2" t="s">
        <v>146</v>
      </c>
      <c r="C2" t="s">
        <v>146</v>
      </c>
      <c r="D2" t="s">
        <v>146</v>
      </c>
      <c r="E2" t="s">
        <v>146</v>
      </c>
      <c r="F2" t="s">
        <v>146</v>
      </c>
      <c r="G2" t="s">
        <v>146</v>
      </c>
      <c r="H2" t="s">
        <v>145</v>
      </c>
      <c r="I2" t="s">
        <v>145</v>
      </c>
      <c r="J2" t="s">
        <v>145</v>
      </c>
      <c r="K2" t="s">
        <v>144</v>
      </c>
      <c r="L2" t="s">
        <v>144</v>
      </c>
      <c r="M2" t="s">
        <v>142</v>
      </c>
      <c r="N2" t="s">
        <v>142</v>
      </c>
    </row>
    <row r="6" spans="1:19" s="5" customFormat="1" ht="15.75" thickBot="1" x14ac:dyDescent="0.3">
      <c r="A6" s="5" t="s">
        <v>119</v>
      </c>
      <c r="B6" s="5" t="s">
        <v>120</v>
      </c>
      <c r="C6" s="5" t="s">
        <v>121</v>
      </c>
      <c r="D6" s="5" t="s">
        <v>122</v>
      </c>
      <c r="E6" s="5" t="s">
        <v>123</v>
      </c>
      <c r="F6" s="5" t="s">
        <v>124</v>
      </c>
      <c r="G6" s="5" t="s">
        <v>125</v>
      </c>
      <c r="H6" s="5" t="s">
        <v>3</v>
      </c>
      <c r="I6" s="5" t="s">
        <v>134</v>
      </c>
      <c r="J6" s="5" t="s">
        <v>135</v>
      </c>
      <c r="K6" s="5" t="s">
        <v>151</v>
      </c>
      <c r="L6" s="5" t="s">
        <v>136</v>
      </c>
      <c r="M6" s="5" t="s">
        <v>140</v>
      </c>
      <c r="N6" s="5" t="s">
        <v>141</v>
      </c>
      <c r="P6" s="5" t="s">
        <v>150</v>
      </c>
      <c r="Q6" s="5" t="s">
        <v>149</v>
      </c>
      <c r="S6" s="5" t="s">
        <v>243</v>
      </c>
    </row>
    <row r="7" spans="1:19" ht="15.75" thickTop="1" x14ac:dyDescent="0.25">
      <c r="A7" t="s">
        <v>126</v>
      </c>
      <c r="B7" t="s">
        <v>36</v>
      </c>
      <c r="C7" t="s">
        <v>127</v>
      </c>
      <c r="D7">
        <v>0.5</v>
      </c>
      <c r="E7">
        <v>0.5</v>
      </c>
      <c r="F7" t="s">
        <v>128</v>
      </c>
      <c r="G7" t="s">
        <v>129</v>
      </c>
      <c r="H7">
        <v>2024</v>
      </c>
      <c r="I7">
        <v>0</v>
      </c>
      <c r="J7">
        <v>0.9</v>
      </c>
      <c r="K7">
        <f>2247.515108*1000</f>
        <v>2247515.108</v>
      </c>
      <c r="L7">
        <v>0.8</v>
      </c>
      <c r="M7">
        <v>10</v>
      </c>
      <c r="N7">
        <v>3873.4092000000001</v>
      </c>
      <c r="P7">
        <f>SQRT(L7)</f>
        <v>0.89442719099991586</v>
      </c>
      <c r="Q7">
        <f>SQRT(L7)</f>
        <v>0.89442719099991586</v>
      </c>
    </row>
    <row r="8" spans="1:19" x14ac:dyDescent="0.25">
      <c r="A8" t="s">
        <v>130</v>
      </c>
      <c r="B8" t="s">
        <v>36</v>
      </c>
      <c r="C8" t="s">
        <v>127</v>
      </c>
      <c r="D8">
        <v>0.25</v>
      </c>
      <c r="E8">
        <v>0.25</v>
      </c>
      <c r="F8" t="s">
        <v>128</v>
      </c>
      <c r="H8">
        <v>2024</v>
      </c>
      <c r="I8">
        <v>0</v>
      </c>
      <c r="J8">
        <v>0.9</v>
      </c>
      <c r="K8">
        <f>1912.359346*1000</f>
        <v>1912359.3459999999</v>
      </c>
      <c r="L8">
        <v>0.8</v>
      </c>
      <c r="M8">
        <v>10</v>
      </c>
      <c r="N8">
        <v>3873.4092000000001</v>
      </c>
      <c r="P8">
        <f>SQRT(L8)</f>
        <v>0.89442719099991586</v>
      </c>
      <c r="Q8">
        <f>SQRT(L8)</f>
        <v>0.89442719099991586</v>
      </c>
    </row>
    <row r="9" spans="1:19" x14ac:dyDescent="0.25">
      <c r="A9" t="s">
        <v>131</v>
      </c>
      <c r="B9" t="s">
        <v>36</v>
      </c>
      <c r="C9" t="s">
        <v>127</v>
      </c>
      <c r="D9">
        <v>0.16666700000000001</v>
      </c>
      <c r="E9">
        <v>0.16666700000000001</v>
      </c>
      <c r="F9" t="s">
        <v>128</v>
      </c>
      <c r="H9">
        <v>2024</v>
      </c>
      <c r="I9">
        <v>0</v>
      </c>
      <c r="J9">
        <v>0.9</v>
      </c>
      <c r="K9">
        <f>1800.640759*1000</f>
        <v>1800640.7589999998</v>
      </c>
      <c r="L9">
        <v>0.8</v>
      </c>
      <c r="M9">
        <v>10</v>
      </c>
      <c r="N9">
        <v>3873.4092000000001</v>
      </c>
      <c r="P9">
        <f>SQRT(L9)</f>
        <v>0.89442719099991586</v>
      </c>
      <c r="Q9">
        <f>SQRT(L9)</f>
        <v>0.89442719099991586</v>
      </c>
    </row>
    <row r="10" spans="1:19" x14ac:dyDescent="0.25">
      <c r="A10" t="s">
        <v>132</v>
      </c>
      <c r="B10" t="s">
        <v>36</v>
      </c>
      <c r="C10" t="s">
        <v>127</v>
      </c>
      <c r="D10">
        <v>0.16666666699999999</v>
      </c>
      <c r="E10">
        <v>0.16666666699999999</v>
      </c>
      <c r="F10" t="s">
        <v>128</v>
      </c>
      <c r="G10" t="s">
        <v>133</v>
      </c>
      <c r="H10">
        <v>2024</v>
      </c>
      <c r="I10">
        <v>0</v>
      </c>
      <c r="J10">
        <v>0.9</v>
      </c>
      <c r="K10">
        <f>1900.130322*1000</f>
        <v>1900130.3219999999</v>
      </c>
      <c r="L10">
        <v>0.75</v>
      </c>
      <c r="M10">
        <v>40</v>
      </c>
      <c r="N10">
        <v>50000</v>
      </c>
      <c r="P10">
        <f>SQRT(L10)</f>
        <v>0.8660254037844386</v>
      </c>
      <c r="Q10">
        <f>SQRT(L10)</f>
        <v>0.8660254037844386</v>
      </c>
    </row>
    <row r="14" spans="1:19" x14ac:dyDescent="0.25">
      <c r="A14" t="s">
        <v>143</v>
      </c>
    </row>
    <row r="15" spans="1:19" x14ac:dyDescent="0.25">
      <c r="A15" t="s">
        <v>119</v>
      </c>
      <c r="B15" t="s">
        <v>1</v>
      </c>
      <c r="C15" t="s">
        <v>2</v>
      </c>
      <c r="D15" t="s">
        <v>137</v>
      </c>
      <c r="E15" t="s">
        <v>138</v>
      </c>
      <c r="F15" t="s">
        <v>139</v>
      </c>
      <c r="G15" t="s">
        <v>239</v>
      </c>
    </row>
    <row r="16" spans="1:19" x14ac:dyDescent="0.25">
      <c r="A16" t="s">
        <v>132</v>
      </c>
      <c r="B16" t="s">
        <v>7</v>
      </c>
      <c r="C16" t="s">
        <v>11</v>
      </c>
      <c r="D16">
        <v>5.4</v>
      </c>
      <c r="E16">
        <v>20</v>
      </c>
      <c r="F16">
        <v>50000</v>
      </c>
      <c r="G16">
        <v>0</v>
      </c>
    </row>
    <row r="17" spans="1:7" x14ac:dyDescent="0.25">
      <c r="A17" t="s">
        <v>132</v>
      </c>
      <c r="B17" t="s">
        <v>7</v>
      </c>
      <c r="C17" t="s">
        <v>12</v>
      </c>
      <c r="D17">
        <v>11.04</v>
      </c>
      <c r="E17">
        <v>20</v>
      </c>
      <c r="F17">
        <v>50000</v>
      </c>
      <c r="G17">
        <v>0</v>
      </c>
    </row>
    <row r="18" spans="1:7" x14ac:dyDescent="0.25">
      <c r="A18" t="s">
        <v>132</v>
      </c>
      <c r="B18" t="s">
        <v>7</v>
      </c>
      <c r="C18" t="s">
        <v>10</v>
      </c>
      <c r="D18">
        <v>0</v>
      </c>
      <c r="E18">
        <v>20</v>
      </c>
      <c r="F18">
        <v>50000</v>
      </c>
      <c r="G18">
        <v>0</v>
      </c>
    </row>
    <row r="19" spans="1:7" x14ac:dyDescent="0.25">
      <c r="A19" t="s">
        <v>132</v>
      </c>
      <c r="B19" t="s">
        <v>7</v>
      </c>
      <c r="C19" t="s">
        <v>9</v>
      </c>
      <c r="D19">
        <v>12.0336</v>
      </c>
      <c r="E19">
        <v>20</v>
      </c>
      <c r="F19">
        <v>50000</v>
      </c>
      <c r="G19">
        <v>0</v>
      </c>
    </row>
    <row r="20" spans="1:7" x14ac:dyDescent="0.25">
      <c r="A20" t="s">
        <v>132</v>
      </c>
      <c r="B20" t="s">
        <v>7</v>
      </c>
      <c r="C20" t="s">
        <v>13</v>
      </c>
      <c r="D20">
        <v>0</v>
      </c>
      <c r="E20">
        <v>20</v>
      </c>
      <c r="F20">
        <v>50000</v>
      </c>
      <c r="G20">
        <v>0</v>
      </c>
    </row>
    <row r="21" spans="1:7" x14ac:dyDescent="0.25">
      <c r="A21" t="s">
        <v>245</v>
      </c>
      <c r="D21" t="s">
        <v>241</v>
      </c>
      <c r="E21" t="s">
        <v>240</v>
      </c>
      <c r="F21" t="s">
        <v>242</v>
      </c>
    </row>
    <row r="22" spans="1:7" x14ac:dyDescent="0.25">
      <c r="A22" t="s">
        <v>244</v>
      </c>
      <c r="B22" t="s">
        <v>7</v>
      </c>
      <c r="C22" t="s">
        <v>13</v>
      </c>
      <c r="D22" s="1">
        <f>SUM(G29:G35)*1000</f>
        <v>89.334402566158786</v>
      </c>
      <c r="E22" s="1">
        <f>SUM(G54:G61)*1000</f>
        <v>179.7647687784015</v>
      </c>
      <c r="F22" s="1">
        <f>SUM(G79:G86)*1000</f>
        <v>269.64715316760226</v>
      </c>
    </row>
    <row r="23" spans="1:7" x14ac:dyDescent="0.25">
      <c r="B23" t="s">
        <v>7</v>
      </c>
      <c r="C23" t="s">
        <v>10</v>
      </c>
      <c r="D23" s="1">
        <f>SUM(G36:G37)*1000</f>
        <v>15.33279871692061</v>
      </c>
      <c r="E23" s="1">
        <f>SUM(G62:G63)*1000</f>
        <v>30.665597433841221</v>
      </c>
      <c r="F23" s="1">
        <f>SUM(G87:G88)*1000</f>
        <v>45.998396150761828</v>
      </c>
    </row>
    <row r="24" spans="1:7" x14ac:dyDescent="0.25">
      <c r="B24" t="s">
        <v>7</v>
      </c>
      <c r="C24" t="s">
        <v>11</v>
      </c>
      <c r="D24" s="1">
        <f>SUM(G39:G43)*1000</f>
        <v>17.738572574178026</v>
      </c>
      <c r="E24" s="1">
        <f>SUM(G64:G68)*1000</f>
        <v>35.477145148356051</v>
      </c>
      <c r="F24" s="1">
        <f>SUM(G89:G93)*1000</f>
        <v>53.21571772253408</v>
      </c>
    </row>
    <row r="25" spans="1:7" x14ac:dyDescent="0.25">
      <c r="B25" t="s">
        <v>7</v>
      </c>
      <c r="C25" t="s">
        <v>12</v>
      </c>
      <c r="D25" s="1">
        <f>SUM(G44:G48)*1000</f>
        <v>48.356054530874104</v>
      </c>
      <c r="E25" s="1">
        <f>SUM(G69:G73)*1000</f>
        <v>96.712109061748208</v>
      </c>
      <c r="F25" s="1">
        <f>SUM(G94:G98)*1000</f>
        <v>145.06816359262231</v>
      </c>
    </row>
    <row r="26" spans="1:7" x14ac:dyDescent="0.25">
      <c r="B26" t="s">
        <v>7</v>
      </c>
      <c r="C26" t="s">
        <v>9</v>
      </c>
      <c r="D26" s="1">
        <f>SUM(G49:G53)*1000</f>
        <v>28.690189788826515</v>
      </c>
      <c r="E26" s="1">
        <f>SUM(G74:G78)*1000</f>
        <v>57.380379577653031</v>
      </c>
      <c r="F26" s="1">
        <f>SUM(G99:G103)*1000</f>
        <v>86.07056936647956</v>
      </c>
    </row>
    <row r="28" spans="1:7" x14ac:dyDescent="0.25">
      <c r="A28" t="s">
        <v>119</v>
      </c>
      <c r="B28" t="s">
        <v>1</v>
      </c>
      <c r="C28" t="s">
        <v>2</v>
      </c>
      <c r="D28" t="s">
        <v>211</v>
      </c>
      <c r="E28" t="s">
        <v>4</v>
      </c>
      <c r="F28" t="s">
        <v>212</v>
      </c>
      <c r="G28" t="s">
        <v>213</v>
      </c>
    </row>
    <row r="29" spans="1:7" x14ac:dyDescent="0.25">
      <c r="A29" t="s">
        <v>126</v>
      </c>
      <c r="B29" t="s">
        <v>7</v>
      </c>
      <c r="C29" t="s">
        <v>13</v>
      </c>
      <c r="D29" t="s">
        <v>232</v>
      </c>
      <c r="E29">
        <v>2024</v>
      </c>
      <c r="F29">
        <v>0</v>
      </c>
      <c r="G29">
        <v>1.2189254210104249E-3</v>
      </c>
    </row>
    <row r="30" spans="1:7" x14ac:dyDescent="0.25">
      <c r="A30" t="s">
        <v>126</v>
      </c>
      <c r="B30" t="s">
        <v>7</v>
      </c>
      <c r="C30" t="s">
        <v>13</v>
      </c>
      <c r="D30" t="s">
        <v>233</v>
      </c>
      <c r="E30">
        <v>2024</v>
      </c>
      <c r="F30">
        <v>0</v>
      </c>
      <c r="G30">
        <v>9.0457097032878905E-3</v>
      </c>
    </row>
    <row r="31" spans="1:7" x14ac:dyDescent="0.25">
      <c r="A31" t="s">
        <v>126</v>
      </c>
      <c r="B31" t="s">
        <v>7</v>
      </c>
      <c r="C31" t="s">
        <v>13</v>
      </c>
      <c r="D31" t="s">
        <v>234</v>
      </c>
      <c r="E31">
        <v>2024</v>
      </c>
      <c r="F31">
        <v>0</v>
      </c>
      <c r="G31">
        <v>2.9684576316492916E-2</v>
      </c>
    </row>
    <row r="32" spans="1:7" x14ac:dyDescent="0.25">
      <c r="A32" t="s">
        <v>126</v>
      </c>
      <c r="B32" t="s">
        <v>7</v>
      </c>
      <c r="C32" t="s">
        <v>13</v>
      </c>
      <c r="D32" t="s">
        <v>235</v>
      </c>
      <c r="E32">
        <v>2024</v>
      </c>
      <c r="F32">
        <v>0</v>
      </c>
      <c r="G32">
        <v>7.5113605987703824E-4</v>
      </c>
    </row>
    <row r="33" spans="1:7" x14ac:dyDescent="0.25">
      <c r="A33" t="s">
        <v>126</v>
      </c>
      <c r="B33" t="s">
        <v>7</v>
      </c>
      <c r="C33" t="s">
        <v>13</v>
      </c>
      <c r="D33" t="s">
        <v>236</v>
      </c>
      <c r="E33">
        <v>2024</v>
      </c>
      <c r="F33">
        <v>0</v>
      </c>
      <c r="G33">
        <v>3.8040630847367016E-2</v>
      </c>
    </row>
    <row r="34" spans="1:7" x14ac:dyDescent="0.25">
      <c r="A34" t="s">
        <v>126</v>
      </c>
      <c r="B34" t="s">
        <v>7</v>
      </c>
      <c r="C34" t="s">
        <v>13</v>
      </c>
      <c r="D34" t="s">
        <v>237</v>
      </c>
      <c r="E34">
        <v>2024</v>
      </c>
      <c r="F34">
        <v>0</v>
      </c>
      <c r="G34">
        <v>6.1026463512429832E-3</v>
      </c>
    </row>
    <row r="35" spans="1:7" x14ac:dyDescent="0.25">
      <c r="A35" t="s">
        <v>126</v>
      </c>
      <c r="B35" t="s">
        <v>7</v>
      </c>
      <c r="C35" t="s">
        <v>13</v>
      </c>
      <c r="D35" t="s">
        <v>238</v>
      </c>
      <c r="E35">
        <v>2024</v>
      </c>
      <c r="F35">
        <v>0</v>
      </c>
      <c r="G35">
        <v>4.490777866880514E-3</v>
      </c>
    </row>
    <row r="36" spans="1:7" x14ac:dyDescent="0.25">
      <c r="A36" t="s">
        <v>126</v>
      </c>
      <c r="B36" t="s">
        <v>7</v>
      </c>
      <c r="C36" t="s">
        <v>10</v>
      </c>
      <c r="D36" t="s">
        <v>224</v>
      </c>
      <c r="E36">
        <v>2024</v>
      </c>
      <c r="F36">
        <v>0</v>
      </c>
      <c r="G36">
        <v>3.6781609195402297E-3</v>
      </c>
    </row>
    <row r="37" spans="1:7" x14ac:dyDescent="0.25">
      <c r="A37" t="s">
        <v>126</v>
      </c>
      <c r="B37" t="s">
        <v>7</v>
      </c>
      <c r="C37" t="s">
        <v>10</v>
      </c>
      <c r="D37" t="s">
        <v>225</v>
      </c>
      <c r="E37">
        <v>2024</v>
      </c>
      <c r="F37">
        <v>0</v>
      </c>
      <c r="G37">
        <v>1.1654637797380379E-2</v>
      </c>
    </row>
    <row r="38" spans="1:7" x14ac:dyDescent="0.25">
      <c r="A38" t="s">
        <v>126</v>
      </c>
      <c r="B38" t="s">
        <v>7</v>
      </c>
      <c r="C38" t="s">
        <v>13</v>
      </c>
      <c r="D38" t="s">
        <v>231</v>
      </c>
      <c r="E38">
        <v>2024</v>
      </c>
      <c r="F38">
        <v>0</v>
      </c>
      <c r="G38">
        <v>5.4798182304196738E-4</v>
      </c>
    </row>
    <row r="39" spans="1:7" x14ac:dyDescent="0.25">
      <c r="A39" t="s">
        <v>126</v>
      </c>
      <c r="B39" t="s">
        <v>7</v>
      </c>
      <c r="C39" t="s">
        <v>11</v>
      </c>
      <c r="D39" t="s">
        <v>214</v>
      </c>
      <c r="E39">
        <v>2024</v>
      </c>
      <c r="F39">
        <v>0</v>
      </c>
      <c r="G39">
        <v>2.9938519112536754E-3</v>
      </c>
    </row>
    <row r="40" spans="1:7" x14ac:dyDescent="0.25">
      <c r="A40" t="s">
        <v>126</v>
      </c>
      <c r="B40" t="s">
        <v>7</v>
      </c>
      <c r="C40" t="s">
        <v>11</v>
      </c>
      <c r="D40" t="s">
        <v>215</v>
      </c>
      <c r="E40">
        <v>2024</v>
      </c>
      <c r="F40">
        <v>0</v>
      </c>
      <c r="G40">
        <v>4.8596631916599841E-3</v>
      </c>
    </row>
    <row r="41" spans="1:7" x14ac:dyDescent="0.25">
      <c r="A41" t="s">
        <v>126</v>
      </c>
      <c r="B41" t="s">
        <v>7</v>
      </c>
      <c r="C41" t="s">
        <v>11</v>
      </c>
      <c r="D41" t="s">
        <v>216</v>
      </c>
      <c r="E41">
        <v>2024</v>
      </c>
      <c r="F41">
        <v>0</v>
      </c>
      <c r="G41">
        <v>6.8912055600106924E-3</v>
      </c>
    </row>
    <row r="42" spans="1:7" x14ac:dyDescent="0.25">
      <c r="A42" t="s">
        <v>126</v>
      </c>
      <c r="B42" t="s">
        <v>7</v>
      </c>
      <c r="C42" t="s">
        <v>11</v>
      </c>
      <c r="D42" t="s">
        <v>217</v>
      </c>
      <c r="E42">
        <v>2024</v>
      </c>
      <c r="F42">
        <v>0</v>
      </c>
      <c r="G42">
        <v>1.6733493718257152E-3</v>
      </c>
    </row>
    <row r="43" spans="1:7" x14ac:dyDescent="0.25">
      <c r="A43" t="s">
        <v>126</v>
      </c>
      <c r="B43" t="s">
        <v>7</v>
      </c>
      <c r="C43" t="s">
        <v>11</v>
      </c>
      <c r="D43" t="s">
        <v>223</v>
      </c>
      <c r="E43">
        <v>2024</v>
      </c>
      <c r="F43">
        <v>0</v>
      </c>
      <c r="G43">
        <v>1.3205025394279603E-3</v>
      </c>
    </row>
    <row r="44" spans="1:7" x14ac:dyDescent="0.25">
      <c r="A44" t="s">
        <v>126</v>
      </c>
      <c r="B44" t="s">
        <v>7</v>
      </c>
      <c r="C44" t="s">
        <v>12</v>
      </c>
      <c r="D44" t="s">
        <v>218</v>
      </c>
      <c r="E44">
        <v>2024</v>
      </c>
      <c r="F44">
        <v>0</v>
      </c>
      <c r="G44">
        <v>4.8837209302325579E-3</v>
      </c>
    </row>
    <row r="45" spans="1:7" x14ac:dyDescent="0.25">
      <c r="A45" t="s">
        <v>126</v>
      </c>
      <c r="B45" t="s">
        <v>7</v>
      </c>
      <c r="C45" t="s">
        <v>12</v>
      </c>
      <c r="D45" t="s">
        <v>219</v>
      </c>
      <c r="E45">
        <v>2024</v>
      </c>
      <c r="F45">
        <v>0</v>
      </c>
      <c r="G45">
        <v>9.5616145415664267E-3</v>
      </c>
    </row>
    <row r="46" spans="1:7" x14ac:dyDescent="0.25">
      <c r="A46" t="s">
        <v>126</v>
      </c>
      <c r="B46" t="s">
        <v>7</v>
      </c>
      <c r="C46" t="s">
        <v>12</v>
      </c>
      <c r="D46" t="s">
        <v>220</v>
      </c>
      <c r="E46">
        <v>2024</v>
      </c>
      <c r="F46">
        <v>0</v>
      </c>
      <c r="G46">
        <v>1.6482224004276933E-2</v>
      </c>
    </row>
    <row r="47" spans="1:7" x14ac:dyDescent="0.25">
      <c r="A47" t="s">
        <v>126</v>
      </c>
      <c r="B47" t="s">
        <v>7</v>
      </c>
      <c r="C47" t="s">
        <v>12</v>
      </c>
      <c r="D47" t="s">
        <v>221</v>
      </c>
      <c r="E47">
        <v>2024</v>
      </c>
      <c r="F47">
        <v>0</v>
      </c>
      <c r="G47">
        <v>1.719326383319968E-2</v>
      </c>
    </row>
    <row r="48" spans="1:7" x14ac:dyDescent="0.25">
      <c r="A48" t="s">
        <v>126</v>
      </c>
      <c r="B48" t="s">
        <v>7</v>
      </c>
      <c r="C48" t="s">
        <v>12</v>
      </c>
      <c r="D48" t="s">
        <v>222</v>
      </c>
      <c r="E48">
        <v>2024</v>
      </c>
      <c r="F48">
        <v>0</v>
      </c>
      <c r="G48">
        <v>2.3523122159850308E-4</v>
      </c>
    </row>
    <row r="49" spans="1:7" x14ac:dyDescent="0.25">
      <c r="A49" t="s">
        <v>126</v>
      </c>
      <c r="B49" t="s">
        <v>7</v>
      </c>
      <c r="C49" t="s">
        <v>9</v>
      </c>
      <c r="D49" t="s">
        <v>226</v>
      </c>
      <c r="E49">
        <v>2024</v>
      </c>
      <c r="F49">
        <v>0</v>
      </c>
      <c r="G49">
        <v>1.0275327452552793E-2</v>
      </c>
    </row>
    <row r="50" spans="1:7" x14ac:dyDescent="0.25">
      <c r="A50" t="s">
        <v>126</v>
      </c>
      <c r="B50" t="s">
        <v>7</v>
      </c>
      <c r="C50" t="s">
        <v>9</v>
      </c>
      <c r="D50" t="s">
        <v>227</v>
      </c>
      <c r="E50">
        <v>2024</v>
      </c>
      <c r="F50">
        <v>0</v>
      </c>
      <c r="G50">
        <v>6.6025126971398021E-3</v>
      </c>
    </row>
    <row r="51" spans="1:7" x14ac:dyDescent="0.25">
      <c r="A51" t="s">
        <v>126</v>
      </c>
      <c r="B51" t="s">
        <v>7</v>
      </c>
      <c r="C51" t="s">
        <v>9</v>
      </c>
      <c r="D51" t="s">
        <v>228</v>
      </c>
      <c r="E51">
        <v>2024</v>
      </c>
      <c r="F51">
        <v>0</v>
      </c>
      <c r="G51">
        <v>1.6332531408714249E-3</v>
      </c>
    </row>
    <row r="52" spans="1:7" x14ac:dyDescent="0.25">
      <c r="A52" t="s">
        <v>126</v>
      </c>
      <c r="B52" t="s">
        <v>7</v>
      </c>
      <c r="C52" t="s">
        <v>9</v>
      </c>
      <c r="D52" t="s">
        <v>229</v>
      </c>
      <c r="E52">
        <v>2024</v>
      </c>
      <c r="F52">
        <v>0</v>
      </c>
      <c r="G52">
        <v>4.7233360064153967E-3</v>
      </c>
    </row>
    <row r="53" spans="1:7" x14ac:dyDescent="0.25">
      <c r="A53" t="s">
        <v>126</v>
      </c>
      <c r="B53" t="s">
        <v>7</v>
      </c>
      <c r="C53" t="s">
        <v>9</v>
      </c>
      <c r="D53" t="s">
        <v>230</v>
      </c>
      <c r="E53">
        <v>2024</v>
      </c>
      <c r="F53">
        <v>0</v>
      </c>
      <c r="G53">
        <v>5.4557604918471E-3</v>
      </c>
    </row>
    <row r="54" spans="1:7" x14ac:dyDescent="0.25">
      <c r="A54" t="s">
        <v>130</v>
      </c>
      <c r="B54" t="s">
        <v>7</v>
      </c>
      <c r="C54" t="s">
        <v>13</v>
      </c>
      <c r="D54" t="s">
        <v>231</v>
      </c>
      <c r="E54">
        <v>2024</v>
      </c>
      <c r="F54">
        <v>0</v>
      </c>
      <c r="G54">
        <v>1.0959636460839348E-3</v>
      </c>
    </row>
    <row r="55" spans="1:7" x14ac:dyDescent="0.25">
      <c r="A55" t="s">
        <v>130</v>
      </c>
      <c r="B55" t="s">
        <v>7</v>
      </c>
      <c r="C55" t="s">
        <v>13</v>
      </c>
      <c r="D55" t="s">
        <v>232</v>
      </c>
      <c r="E55">
        <v>2024</v>
      </c>
      <c r="F55">
        <v>0</v>
      </c>
      <c r="G55">
        <v>2.4378508420208498E-3</v>
      </c>
    </row>
    <row r="56" spans="1:7" x14ac:dyDescent="0.25">
      <c r="A56" t="s">
        <v>130</v>
      </c>
      <c r="B56" t="s">
        <v>7</v>
      </c>
      <c r="C56" t="s">
        <v>13</v>
      </c>
      <c r="D56" t="s">
        <v>233</v>
      </c>
      <c r="E56">
        <v>2024</v>
      </c>
      <c r="F56">
        <v>0</v>
      </c>
      <c r="G56">
        <v>1.8091419406575781E-2</v>
      </c>
    </row>
    <row r="57" spans="1:7" x14ac:dyDescent="0.25">
      <c r="A57" t="s">
        <v>130</v>
      </c>
      <c r="B57" t="s">
        <v>7</v>
      </c>
      <c r="C57" t="s">
        <v>13</v>
      </c>
      <c r="D57" t="s">
        <v>234</v>
      </c>
      <c r="E57">
        <v>2024</v>
      </c>
      <c r="F57">
        <v>0</v>
      </c>
      <c r="G57">
        <v>5.9369152632985832E-2</v>
      </c>
    </row>
    <row r="58" spans="1:7" x14ac:dyDescent="0.25">
      <c r="A58" t="s">
        <v>130</v>
      </c>
      <c r="B58" t="s">
        <v>7</v>
      </c>
      <c r="C58" t="s">
        <v>13</v>
      </c>
      <c r="D58" t="s">
        <v>235</v>
      </c>
      <c r="E58">
        <v>2024</v>
      </c>
      <c r="F58">
        <v>0</v>
      </c>
      <c r="G58">
        <v>1.5022721197540765E-3</v>
      </c>
    </row>
    <row r="59" spans="1:7" x14ac:dyDescent="0.25">
      <c r="A59" t="s">
        <v>130</v>
      </c>
      <c r="B59" t="s">
        <v>7</v>
      </c>
      <c r="C59" t="s">
        <v>13</v>
      </c>
      <c r="D59" t="s">
        <v>236</v>
      </c>
      <c r="E59">
        <v>2024</v>
      </c>
      <c r="F59">
        <v>0</v>
      </c>
      <c r="G59">
        <v>7.6081261694734031E-2</v>
      </c>
    </row>
    <row r="60" spans="1:7" x14ac:dyDescent="0.25">
      <c r="A60" t="s">
        <v>130</v>
      </c>
      <c r="B60" t="s">
        <v>7</v>
      </c>
      <c r="C60" t="s">
        <v>13</v>
      </c>
      <c r="D60" t="s">
        <v>237</v>
      </c>
      <c r="E60">
        <v>2024</v>
      </c>
      <c r="F60">
        <v>0</v>
      </c>
      <c r="G60">
        <v>1.2205292702485966E-2</v>
      </c>
    </row>
    <row r="61" spans="1:7" x14ac:dyDescent="0.25">
      <c r="A61" t="s">
        <v>130</v>
      </c>
      <c r="B61" t="s">
        <v>7</v>
      </c>
      <c r="C61" t="s">
        <v>13</v>
      </c>
      <c r="D61" t="s">
        <v>238</v>
      </c>
      <c r="E61">
        <v>2024</v>
      </c>
      <c r="F61">
        <v>0</v>
      </c>
      <c r="G61">
        <v>8.9815557337610281E-3</v>
      </c>
    </row>
    <row r="62" spans="1:7" x14ac:dyDescent="0.25">
      <c r="A62" t="s">
        <v>130</v>
      </c>
      <c r="B62" t="s">
        <v>7</v>
      </c>
      <c r="C62" t="s">
        <v>10</v>
      </c>
      <c r="D62" t="s">
        <v>224</v>
      </c>
      <c r="E62">
        <v>2024</v>
      </c>
      <c r="F62">
        <v>0</v>
      </c>
      <c r="G62">
        <v>7.3563218390804595E-3</v>
      </c>
    </row>
    <row r="63" spans="1:7" x14ac:dyDescent="0.25">
      <c r="A63" t="s">
        <v>130</v>
      </c>
      <c r="B63" t="s">
        <v>7</v>
      </c>
      <c r="C63" t="s">
        <v>10</v>
      </c>
      <c r="D63" t="s">
        <v>225</v>
      </c>
      <c r="E63">
        <v>2024</v>
      </c>
      <c r="F63">
        <v>0</v>
      </c>
      <c r="G63">
        <v>2.3309275594760759E-2</v>
      </c>
    </row>
    <row r="64" spans="1:7" x14ac:dyDescent="0.25">
      <c r="A64" t="s">
        <v>130</v>
      </c>
      <c r="B64" t="s">
        <v>7</v>
      </c>
      <c r="C64" t="s">
        <v>11</v>
      </c>
      <c r="D64" t="s">
        <v>214</v>
      </c>
      <c r="E64">
        <v>2024</v>
      </c>
      <c r="F64">
        <v>0</v>
      </c>
      <c r="G64">
        <v>5.9877038225073509E-3</v>
      </c>
    </row>
    <row r="65" spans="1:7" x14ac:dyDescent="0.25">
      <c r="A65" t="s">
        <v>130</v>
      </c>
      <c r="B65" t="s">
        <v>7</v>
      </c>
      <c r="C65" t="s">
        <v>11</v>
      </c>
      <c r="D65" t="s">
        <v>215</v>
      </c>
      <c r="E65">
        <v>2024</v>
      </c>
      <c r="F65">
        <v>0</v>
      </c>
      <c r="G65">
        <v>9.7193263833199681E-3</v>
      </c>
    </row>
    <row r="66" spans="1:7" x14ac:dyDescent="0.25">
      <c r="A66" t="s">
        <v>130</v>
      </c>
      <c r="B66" t="s">
        <v>7</v>
      </c>
      <c r="C66" t="s">
        <v>11</v>
      </c>
      <c r="D66" t="s">
        <v>216</v>
      </c>
      <c r="E66">
        <v>2024</v>
      </c>
      <c r="F66">
        <v>0</v>
      </c>
      <c r="G66">
        <v>1.3782411120021385E-2</v>
      </c>
    </row>
    <row r="67" spans="1:7" x14ac:dyDescent="0.25">
      <c r="A67" t="s">
        <v>130</v>
      </c>
      <c r="B67" t="s">
        <v>7</v>
      </c>
      <c r="C67" t="s">
        <v>11</v>
      </c>
      <c r="D67" t="s">
        <v>217</v>
      </c>
      <c r="E67">
        <v>2024</v>
      </c>
      <c r="F67">
        <v>0</v>
      </c>
      <c r="G67">
        <v>3.3466987436514303E-3</v>
      </c>
    </row>
    <row r="68" spans="1:7" x14ac:dyDescent="0.25">
      <c r="A68" t="s">
        <v>130</v>
      </c>
      <c r="B68" t="s">
        <v>7</v>
      </c>
      <c r="C68" t="s">
        <v>11</v>
      </c>
      <c r="D68" t="s">
        <v>223</v>
      </c>
      <c r="E68">
        <v>2024</v>
      </c>
      <c r="F68">
        <v>0</v>
      </c>
      <c r="G68">
        <v>2.6410050788559206E-3</v>
      </c>
    </row>
    <row r="69" spans="1:7" x14ac:dyDescent="0.25">
      <c r="A69" t="s">
        <v>130</v>
      </c>
      <c r="B69" t="s">
        <v>7</v>
      </c>
      <c r="C69" t="s">
        <v>12</v>
      </c>
      <c r="D69" t="s">
        <v>218</v>
      </c>
      <c r="E69">
        <v>2024</v>
      </c>
      <c r="F69">
        <v>0</v>
      </c>
      <c r="G69">
        <v>9.7674418604651158E-3</v>
      </c>
    </row>
    <row r="70" spans="1:7" x14ac:dyDescent="0.25">
      <c r="A70" t="s">
        <v>130</v>
      </c>
      <c r="B70" t="s">
        <v>7</v>
      </c>
      <c r="C70" t="s">
        <v>12</v>
      </c>
      <c r="D70" t="s">
        <v>219</v>
      </c>
      <c r="E70">
        <v>2024</v>
      </c>
      <c r="F70">
        <v>0</v>
      </c>
      <c r="G70">
        <v>1.9123229083132853E-2</v>
      </c>
    </row>
    <row r="71" spans="1:7" x14ac:dyDescent="0.25">
      <c r="A71" t="s">
        <v>130</v>
      </c>
      <c r="B71" t="s">
        <v>7</v>
      </c>
      <c r="C71" t="s">
        <v>12</v>
      </c>
      <c r="D71" t="s">
        <v>220</v>
      </c>
      <c r="E71">
        <v>2024</v>
      </c>
      <c r="F71">
        <v>0</v>
      </c>
      <c r="G71">
        <v>3.2964448008553866E-2</v>
      </c>
    </row>
    <row r="72" spans="1:7" x14ac:dyDescent="0.25">
      <c r="A72" t="s">
        <v>130</v>
      </c>
      <c r="B72" t="s">
        <v>7</v>
      </c>
      <c r="C72" t="s">
        <v>12</v>
      </c>
      <c r="D72" t="s">
        <v>221</v>
      </c>
      <c r="E72">
        <v>2024</v>
      </c>
      <c r="F72">
        <v>0</v>
      </c>
      <c r="G72">
        <v>3.4386527666399359E-2</v>
      </c>
    </row>
    <row r="73" spans="1:7" x14ac:dyDescent="0.25">
      <c r="A73" t="s">
        <v>130</v>
      </c>
      <c r="B73" t="s">
        <v>7</v>
      </c>
      <c r="C73" t="s">
        <v>12</v>
      </c>
      <c r="D73" t="s">
        <v>222</v>
      </c>
      <c r="E73">
        <v>2024</v>
      </c>
      <c r="F73">
        <v>0</v>
      </c>
      <c r="G73">
        <v>4.7046244319700616E-4</v>
      </c>
    </row>
    <row r="74" spans="1:7" x14ac:dyDescent="0.25">
      <c r="A74" t="s">
        <v>130</v>
      </c>
      <c r="B74" t="s">
        <v>7</v>
      </c>
      <c r="C74" t="s">
        <v>9</v>
      </c>
      <c r="D74" t="s">
        <v>226</v>
      </c>
      <c r="E74">
        <v>2024</v>
      </c>
      <c r="F74">
        <v>0</v>
      </c>
      <c r="G74">
        <v>2.0550654905105586E-2</v>
      </c>
    </row>
    <row r="75" spans="1:7" x14ac:dyDescent="0.25">
      <c r="A75" t="s">
        <v>130</v>
      </c>
      <c r="B75" t="s">
        <v>7</v>
      </c>
      <c r="C75" t="s">
        <v>9</v>
      </c>
      <c r="D75" t="s">
        <v>227</v>
      </c>
      <c r="E75">
        <v>2024</v>
      </c>
      <c r="F75">
        <v>0</v>
      </c>
      <c r="G75">
        <v>1.3205025394279604E-2</v>
      </c>
    </row>
    <row r="76" spans="1:7" x14ac:dyDescent="0.25">
      <c r="A76" t="s">
        <v>130</v>
      </c>
      <c r="B76" t="s">
        <v>7</v>
      </c>
      <c r="C76" t="s">
        <v>9</v>
      </c>
      <c r="D76" t="s">
        <v>228</v>
      </c>
      <c r="E76">
        <v>2024</v>
      </c>
      <c r="F76">
        <v>0</v>
      </c>
      <c r="G76">
        <v>3.2665062817428497E-3</v>
      </c>
    </row>
    <row r="77" spans="1:7" x14ac:dyDescent="0.25">
      <c r="A77" t="s">
        <v>130</v>
      </c>
      <c r="B77" t="s">
        <v>7</v>
      </c>
      <c r="C77" t="s">
        <v>9</v>
      </c>
      <c r="D77" t="s">
        <v>229</v>
      </c>
      <c r="E77">
        <v>2024</v>
      </c>
      <c r="F77">
        <v>0</v>
      </c>
      <c r="G77">
        <v>9.4466720128307934E-3</v>
      </c>
    </row>
    <row r="78" spans="1:7" x14ac:dyDescent="0.25">
      <c r="A78" t="s">
        <v>130</v>
      </c>
      <c r="B78" t="s">
        <v>7</v>
      </c>
      <c r="C78" t="s">
        <v>9</v>
      </c>
      <c r="D78" t="s">
        <v>230</v>
      </c>
      <c r="E78">
        <v>2024</v>
      </c>
      <c r="F78">
        <v>0</v>
      </c>
      <c r="G78">
        <v>1.09115209836942E-2</v>
      </c>
    </row>
    <row r="79" spans="1:7" x14ac:dyDescent="0.25">
      <c r="A79" t="s">
        <v>131</v>
      </c>
      <c r="B79" t="s">
        <v>7</v>
      </c>
      <c r="C79" t="s">
        <v>13</v>
      </c>
      <c r="D79" t="s">
        <v>231</v>
      </c>
      <c r="E79">
        <v>2024</v>
      </c>
      <c r="F79">
        <v>0</v>
      </c>
      <c r="G79">
        <v>1.6439454691259021E-3</v>
      </c>
    </row>
    <row r="80" spans="1:7" x14ac:dyDescent="0.25">
      <c r="A80" t="s">
        <v>131</v>
      </c>
      <c r="B80" t="s">
        <v>7</v>
      </c>
      <c r="C80" t="s">
        <v>13</v>
      </c>
      <c r="D80" t="s">
        <v>232</v>
      </c>
      <c r="E80">
        <v>2024</v>
      </c>
      <c r="F80">
        <v>0</v>
      </c>
      <c r="G80">
        <v>3.6567762630312747E-3</v>
      </c>
    </row>
    <row r="81" spans="1:7" x14ac:dyDescent="0.25">
      <c r="A81" t="s">
        <v>131</v>
      </c>
      <c r="B81" t="s">
        <v>7</v>
      </c>
      <c r="C81" t="s">
        <v>13</v>
      </c>
      <c r="D81" t="s">
        <v>233</v>
      </c>
      <c r="E81">
        <v>2024</v>
      </c>
      <c r="F81">
        <v>0</v>
      </c>
      <c r="G81">
        <v>2.7137129109863673E-2</v>
      </c>
    </row>
    <row r="82" spans="1:7" x14ac:dyDescent="0.25">
      <c r="A82" t="s">
        <v>131</v>
      </c>
      <c r="B82" t="s">
        <v>7</v>
      </c>
      <c r="C82" t="s">
        <v>13</v>
      </c>
      <c r="D82" t="s">
        <v>234</v>
      </c>
      <c r="E82">
        <v>2024</v>
      </c>
      <c r="F82">
        <v>0</v>
      </c>
      <c r="G82">
        <v>8.9053728949478758E-2</v>
      </c>
    </row>
    <row r="83" spans="1:7" x14ac:dyDescent="0.25">
      <c r="A83" t="s">
        <v>131</v>
      </c>
      <c r="B83" t="s">
        <v>7</v>
      </c>
      <c r="C83" t="s">
        <v>13</v>
      </c>
      <c r="D83" t="s">
        <v>235</v>
      </c>
      <c r="E83">
        <v>2024</v>
      </c>
      <c r="F83">
        <v>0</v>
      </c>
      <c r="G83">
        <v>2.2534081796311148E-3</v>
      </c>
    </row>
    <row r="84" spans="1:7" x14ac:dyDescent="0.25">
      <c r="A84" t="s">
        <v>131</v>
      </c>
      <c r="B84" t="s">
        <v>7</v>
      </c>
      <c r="C84" t="s">
        <v>13</v>
      </c>
      <c r="D84" t="s">
        <v>236</v>
      </c>
      <c r="E84">
        <v>2024</v>
      </c>
      <c r="F84">
        <v>0</v>
      </c>
      <c r="G84">
        <v>0.11412189254210103</v>
      </c>
    </row>
    <row r="85" spans="1:7" x14ac:dyDescent="0.25">
      <c r="A85" t="s">
        <v>131</v>
      </c>
      <c r="B85" t="s">
        <v>7</v>
      </c>
      <c r="C85" t="s">
        <v>13</v>
      </c>
      <c r="D85" t="s">
        <v>237</v>
      </c>
      <c r="E85">
        <v>2024</v>
      </c>
      <c r="F85">
        <v>0</v>
      </c>
      <c r="G85">
        <v>1.8307939053728947E-2</v>
      </c>
    </row>
    <row r="86" spans="1:7" x14ac:dyDescent="0.25">
      <c r="A86" t="s">
        <v>131</v>
      </c>
      <c r="B86" t="s">
        <v>7</v>
      </c>
      <c r="C86" t="s">
        <v>13</v>
      </c>
      <c r="D86" t="s">
        <v>238</v>
      </c>
      <c r="E86">
        <v>2024</v>
      </c>
      <c r="F86">
        <v>0</v>
      </c>
      <c r="G86">
        <v>1.347233360064154E-2</v>
      </c>
    </row>
    <row r="87" spans="1:7" x14ac:dyDescent="0.25">
      <c r="A87" t="s">
        <v>131</v>
      </c>
      <c r="B87" t="s">
        <v>7</v>
      </c>
      <c r="C87" t="s">
        <v>10</v>
      </c>
      <c r="D87" t="s">
        <v>224</v>
      </c>
      <c r="E87">
        <v>2024</v>
      </c>
      <c r="F87">
        <v>0</v>
      </c>
      <c r="G87">
        <v>1.1034482758620691E-2</v>
      </c>
    </row>
    <row r="88" spans="1:7" x14ac:dyDescent="0.25">
      <c r="A88" t="s">
        <v>131</v>
      </c>
      <c r="B88" t="s">
        <v>7</v>
      </c>
      <c r="C88" t="s">
        <v>10</v>
      </c>
      <c r="D88" t="s">
        <v>225</v>
      </c>
      <c r="E88">
        <v>2024</v>
      </c>
      <c r="F88">
        <v>0</v>
      </c>
      <c r="G88">
        <v>3.4963913392141138E-2</v>
      </c>
    </row>
    <row r="89" spans="1:7" x14ac:dyDescent="0.25">
      <c r="A89" t="s">
        <v>131</v>
      </c>
      <c r="B89" t="s">
        <v>7</v>
      </c>
      <c r="C89" t="s">
        <v>11</v>
      </c>
      <c r="D89" t="s">
        <v>214</v>
      </c>
      <c r="E89">
        <v>2024</v>
      </c>
      <c r="F89">
        <v>0</v>
      </c>
      <c r="G89">
        <v>8.9815557337610281E-3</v>
      </c>
    </row>
    <row r="90" spans="1:7" x14ac:dyDescent="0.25">
      <c r="A90" t="s">
        <v>131</v>
      </c>
      <c r="B90" t="s">
        <v>7</v>
      </c>
      <c r="C90" t="s">
        <v>11</v>
      </c>
      <c r="D90" t="s">
        <v>215</v>
      </c>
      <c r="E90">
        <v>2024</v>
      </c>
      <c r="F90">
        <v>0</v>
      </c>
      <c r="G90">
        <v>1.4578989574979951E-2</v>
      </c>
    </row>
    <row r="91" spans="1:7" x14ac:dyDescent="0.25">
      <c r="A91" t="s">
        <v>131</v>
      </c>
      <c r="B91" t="s">
        <v>7</v>
      </c>
      <c r="C91" t="s">
        <v>11</v>
      </c>
      <c r="D91" t="s">
        <v>216</v>
      </c>
      <c r="E91">
        <v>2024</v>
      </c>
      <c r="F91">
        <v>0</v>
      </c>
      <c r="G91">
        <v>2.0673616680032075E-2</v>
      </c>
    </row>
    <row r="92" spans="1:7" x14ac:dyDescent="0.25">
      <c r="A92" t="s">
        <v>131</v>
      </c>
      <c r="B92" t="s">
        <v>7</v>
      </c>
      <c r="C92" t="s">
        <v>11</v>
      </c>
      <c r="D92" t="s">
        <v>217</v>
      </c>
      <c r="E92">
        <v>2024</v>
      </c>
      <c r="F92">
        <v>0</v>
      </c>
      <c r="G92">
        <v>5.0200481154771453E-3</v>
      </c>
    </row>
    <row r="93" spans="1:7" x14ac:dyDescent="0.25">
      <c r="A93" t="s">
        <v>131</v>
      </c>
      <c r="B93" t="s">
        <v>7</v>
      </c>
      <c r="C93" t="s">
        <v>11</v>
      </c>
      <c r="D93" t="s">
        <v>223</v>
      </c>
      <c r="E93">
        <v>2024</v>
      </c>
      <c r="F93">
        <v>0</v>
      </c>
      <c r="G93">
        <v>3.9615076182838811E-3</v>
      </c>
    </row>
    <row r="94" spans="1:7" x14ac:dyDescent="0.25">
      <c r="A94" t="s">
        <v>131</v>
      </c>
      <c r="B94" t="s">
        <v>7</v>
      </c>
      <c r="C94" t="s">
        <v>12</v>
      </c>
      <c r="D94" t="s">
        <v>218</v>
      </c>
      <c r="E94">
        <v>2024</v>
      </c>
      <c r="F94">
        <v>0</v>
      </c>
      <c r="G94">
        <v>1.4651162790697675E-2</v>
      </c>
    </row>
    <row r="95" spans="1:7" x14ac:dyDescent="0.25">
      <c r="A95" t="s">
        <v>131</v>
      </c>
      <c r="B95" t="s">
        <v>7</v>
      </c>
      <c r="C95" t="s">
        <v>12</v>
      </c>
      <c r="D95" t="s">
        <v>219</v>
      </c>
      <c r="E95">
        <v>2024</v>
      </c>
      <c r="F95">
        <v>0</v>
      </c>
      <c r="G95">
        <v>2.868484362469928E-2</v>
      </c>
    </row>
    <row r="96" spans="1:7" x14ac:dyDescent="0.25">
      <c r="A96" t="s">
        <v>131</v>
      </c>
      <c r="B96" t="s">
        <v>7</v>
      </c>
      <c r="C96" t="s">
        <v>12</v>
      </c>
      <c r="D96" t="s">
        <v>220</v>
      </c>
      <c r="E96">
        <v>2024</v>
      </c>
      <c r="F96">
        <v>0</v>
      </c>
      <c r="G96">
        <v>4.9446672012830796E-2</v>
      </c>
    </row>
    <row r="97" spans="1:7" x14ac:dyDescent="0.25">
      <c r="A97" t="s">
        <v>131</v>
      </c>
      <c r="B97" t="s">
        <v>7</v>
      </c>
      <c r="C97" t="s">
        <v>12</v>
      </c>
      <c r="D97" t="s">
        <v>221</v>
      </c>
      <c r="E97">
        <v>2024</v>
      </c>
      <c r="F97">
        <v>0</v>
      </c>
      <c r="G97">
        <v>5.1579791499599043E-2</v>
      </c>
    </row>
    <row r="98" spans="1:7" x14ac:dyDescent="0.25">
      <c r="A98" t="s">
        <v>131</v>
      </c>
      <c r="B98" t="s">
        <v>7</v>
      </c>
      <c r="C98" t="s">
        <v>12</v>
      </c>
      <c r="D98" t="s">
        <v>222</v>
      </c>
      <c r="E98">
        <v>2024</v>
      </c>
      <c r="F98">
        <v>0</v>
      </c>
      <c r="G98">
        <v>7.0569366479550919E-4</v>
      </c>
    </row>
    <row r="99" spans="1:7" x14ac:dyDescent="0.25">
      <c r="A99" t="s">
        <v>131</v>
      </c>
      <c r="B99" t="s">
        <v>7</v>
      </c>
      <c r="C99" t="s">
        <v>9</v>
      </c>
      <c r="D99" t="s">
        <v>226</v>
      </c>
      <c r="E99">
        <v>2024</v>
      </c>
      <c r="F99">
        <v>0</v>
      </c>
      <c r="G99">
        <v>3.082598235765838E-2</v>
      </c>
    </row>
    <row r="100" spans="1:7" x14ac:dyDescent="0.25">
      <c r="A100" t="s">
        <v>131</v>
      </c>
      <c r="B100" t="s">
        <v>7</v>
      </c>
      <c r="C100" t="s">
        <v>9</v>
      </c>
      <c r="D100" t="s">
        <v>227</v>
      </c>
      <c r="E100">
        <v>2024</v>
      </c>
      <c r="F100">
        <v>0</v>
      </c>
      <c r="G100">
        <v>1.9807538091419406E-2</v>
      </c>
    </row>
    <row r="101" spans="1:7" x14ac:dyDescent="0.25">
      <c r="A101" t="s">
        <v>131</v>
      </c>
      <c r="B101" t="s">
        <v>7</v>
      </c>
      <c r="C101" t="s">
        <v>9</v>
      </c>
      <c r="D101" t="s">
        <v>228</v>
      </c>
      <c r="E101">
        <v>2024</v>
      </c>
      <c r="F101">
        <v>0</v>
      </c>
      <c r="G101">
        <v>4.8997594226142735E-3</v>
      </c>
    </row>
    <row r="102" spans="1:7" x14ac:dyDescent="0.25">
      <c r="A102" t="s">
        <v>131</v>
      </c>
      <c r="B102" t="s">
        <v>7</v>
      </c>
      <c r="C102" t="s">
        <v>9</v>
      </c>
      <c r="D102" t="s">
        <v>229</v>
      </c>
      <c r="E102">
        <v>2024</v>
      </c>
      <c r="F102">
        <v>0</v>
      </c>
      <c r="G102">
        <v>1.4170008019246191E-2</v>
      </c>
    </row>
    <row r="103" spans="1:7" x14ac:dyDescent="0.25">
      <c r="A103" t="s">
        <v>131</v>
      </c>
      <c r="B103" t="s">
        <v>7</v>
      </c>
      <c r="C103" t="s">
        <v>9</v>
      </c>
      <c r="D103" t="s">
        <v>230</v>
      </c>
      <c r="E103">
        <v>2024</v>
      </c>
      <c r="F103">
        <v>0</v>
      </c>
      <c r="G103">
        <v>1.6367281475541298E-2</v>
      </c>
    </row>
  </sheetData>
  <sortState xmlns:xlrd2="http://schemas.microsoft.com/office/spreadsheetml/2017/richdata2" ref="A62:G98">
    <sortCondition ref="A28:A98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47AC-1326-4512-A875-EA2269A8F204}">
  <dimension ref="A1:L28"/>
  <sheetViews>
    <sheetView workbookViewId="0">
      <selection activeCell="G3" sqref="G3"/>
    </sheetView>
  </sheetViews>
  <sheetFormatPr defaultRowHeight="15" x14ac:dyDescent="0.25"/>
  <cols>
    <col min="1" max="1" width="5" bestFit="1" customWidth="1"/>
    <col min="2" max="2" width="15.7109375" bestFit="1" customWidth="1"/>
    <col min="3" max="3" width="18.140625" bestFit="1" customWidth="1"/>
    <col min="4" max="4" width="14.28515625" bestFit="1" customWidth="1"/>
    <col min="5" max="5" width="12" bestFit="1" customWidth="1"/>
    <col min="6" max="6" width="10.28515625" bestFit="1" customWidth="1"/>
    <col min="7" max="7" width="17.5703125" bestFit="1" customWidth="1"/>
    <col min="8" max="8" width="19.140625" bestFit="1" customWidth="1"/>
    <col min="9" max="9" width="12" bestFit="1" customWidth="1"/>
    <col min="10" max="10" width="16.7109375" bestFit="1" customWidth="1"/>
    <col min="11" max="11" width="17.5703125" bestFit="1" customWidth="1"/>
    <col min="12" max="12" width="110.42578125" bestFit="1" customWidth="1"/>
  </cols>
  <sheetData>
    <row r="1" spans="1:12" x14ac:dyDescent="0.25">
      <c r="A1" t="s">
        <v>4</v>
      </c>
      <c r="B1" t="s">
        <v>54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51</v>
      </c>
      <c r="I1" t="s">
        <v>50</v>
      </c>
      <c r="J1" t="s">
        <v>68</v>
      </c>
      <c r="K1" t="s">
        <v>52</v>
      </c>
      <c r="L1" t="s">
        <v>55</v>
      </c>
    </row>
    <row r="2" spans="1:12" x14ac:dyDescent="0.25">
      <c r="A2">
        <v>2024</v>
      </c>
      <c r="B2" t="s">
        <v>56</v>
      </c>
      <c r="C2" t="s">
        <v>69</v>
      </c>
      <c r="D2" t="s">
        <v>70</v>
      </c>
      <c r="E2" t="s">
        <v>71</v>
      </c>
      <c r="F2" t="s">
        <v>72</v>
      </c>
      <c r="G2">
        <v>20.555669309999999</v>
      </c>
      <c r="H2">
        <v>2257.6805100000001</v>
      </c>
      <c r="I2" t="s">
        <v>53</v>
      </c>
      <c r="J2">
        <v>24.17925129</v>
      </c>
      <c r="K2">
        <v>2760.9</v>
      </c>
    </row>
    <row r="3" spans="1:12" x14ac:dyDescent="0.25">
      <c r="A3">
        <v>2024</v>
      </c>
      <c r="B3" t="s">
        <v>35</v>
      </c>
      <c r="C3" t="s">
        <v>69</v>
      </c>
      <c r="D3" t="s">
        <v>70</v>
      </c>
      <c r="E3" t="s">
        <v>71</v>
      </c>
      <c r="F3" t="s">
        <v>72</v>
      </c>
      <c r="G3">
        <v>17.207187650000002</v>
      </c>
      <c r="H3">
        <v>1871.873679</v>
      </c>
      <c r="I3" t="s">
        <v>53</v>
      </c>
      <c r="J3">
        <v>22.608720000000002</v>
      </c>
      <c r="K3">
        <v>1982.1860300000001</v>
      </c>
    </row>
    <row r="4" spans="1:12" x14ac:dyDescent="0.25">
      <c r="A4">
        <v>2024</v>
      </c>
      <c r="B4" t="s">
        <v>37</v>
      </c>
      <c r="C4" t="s">
        <v>73</v>
      </c>
      <c r="D4" t="s">
        <v>70</v>
      </c>
      <c r="E4" t="s">
        <v>74</v>
      </c>
      <c r="F4" t="s">
        <v>72</v>
      </c>
      <c r="G4">
        <v>37.681199999999997</v>
      </c>
      <c r="H4">
        <v>3025.0245490000002</v>
      </c>
      <c r="I4" t="s">
        <v>53</v>
      </c>
      <c r="J4">
        <v>37.681199999999997</v>
      </c>
      <c r="K4">
        <v>2048.5161600000001</v>
      </c>
    </row>
    <row r="5" spans="1:12" x14ac:dyDescent="0.25">
      <c r="A5">
        <v>2024</v>
      </c>
      <c r="B5" t="s">
        <v>59</v>
      </c>
      <c r="C5" t="s">
        <v>73</v>
      </c>
      <c r="D5" t="s">
        <v>70</v>
      </c>
      <c r="E5" t="s">
        <v>74</v>
      </c>
      <c r="F5" t="s">
        <v>72</v>
      </c>
      <c r="G5">
        <v>22.8</v>
      </c>
      <c r="H5">
        <v>2001.5626</v>
      </c>
      <c r="I5" t="s">
        <v>53</v>
      </c>
      <c r="J5">
        <v>22.8</v>
      </c>
      <c r="K5">
        <v>1246.1225999999999</v>
      </c>
      <c r="L5" t="s">
        <v>60</v>
      </c>
    </row>
    <row r="6" spans="1:12" x14ac:dyDescent="0.25">
      <c r="A6">
        <v>2024</v>
      </c>
      <c r="B6" t="s">
        <v>61</v>
      </c>
      <c r="C6" t="s">
        <v>73</v>
      </c>
      <c r="D6" t="s">
        <v>70</v>
      </c>
      <c r="E6" t="s">
        <v>71</v>
      </c>
      <c r="F6" t="s">
        <v>72</v>
      </c>
      <c r="G6">
        <v>15.56</v>
      </c>
      <c r="H6">
        <v>1656.436688</v>
      </c>
      <c r="I6" t="s">
        <v>53</v>
      </c>
      <c r="J6">
        <v>15.56</v>
      </c>
      <c r="K6">
        <v>1656.436688</v>
      </c>
    </row>
    <row r="7" spans="1:12" x14ac:dyDescent="0.25">
      <c r="A7">
        <v>2024</v>
      </c>
      <c r="B7" t="s">
        <v>43</v>
      </c>
      <c r="C7" t="s">
        <v>73</v>
      </c>
      <c r="D7" t="s">
        <v>70</v>
      </c>
      <c r="E7" t="s">
        <v>71</v>
      </c>
      <c r="F7" t="s">
        <v>72</v>
      </c>
      <c r="G7">
        <v>43.124040000000001</v>
      </c>
      <c r="H7">
        <v>54.232192410000003</v>
      </c>
      <c r="I7" t="s">
        <v>53</v>
      </c>
      <c r="J7">
        <v>43.124040000000001</v>
      </c>
      <c r="K7">
        <v>0</v>
      </c>
      <c r="L7" t="s">
        <v>62</v>
      </c>
    </row>
    <row r="8" spans="1:12" x14ac:dyDescent="0.25">
      <c r="A8">
        <v>2024</v>
      </c>
      <c r="B8" t="s">
        <v>40</v>
      </c>
      <c r="C8" t="s">
        <v>73</v>
      </c>
      <c r="D8" t="s">
        <v>70</v>
      </c>
      <c r="E8" t="s">
        <v>71</v>
      </c>
      <c r="F8" t="s">
        <v>72</v>
      </c>
      <c r="G8">
        <v>13.648968</v>
      </c>
      <c r="H8">
        <v>1292.306701</v>
      </c>
      <c r="I8" t="s">
        <v>53</v>
      </c>
      <c r="J8">
        <v>13.648968</v>
      </c>
      <c r="K8">
        <v>1292.306701</v>
      </c>
    </row>
    <row r="9" spans="1:12" x14ac:dyDescent="0.25">
      <c r="A9">
        <v>2024</v>
      </c>
      <c r="B9" t="s">
        <v>49</v>
      </c>
      <c r="H9">
        <v>3176.6475</v>
      </c>
      <c r="I9" t="s">
        <v>53</v>
      </c>
      <c r="K9">
        <v>3176.6475</v>
      </c>
    </row>
    <row r="10" spans="1:12" x14ac:dyDescent="0.25">
      <c r="A10">
        <v>2024</v>
      </c>
      <c r="B10" t="s">
        <v>48</v>
      </c>
      <c r="H10">
        <v>3141.2837930000001</v>
      </c>
      <c r="I10" t="s">
        <v>53</v>
      </c>
      <c r="K10">
        <v>3141.2837930000001</v>
      </c>
    </row>
    <row r="11" spans="1:12" x14ac:dyDescent="0.25">
      <c r="A11">
        <v>2024</v>
      </c>
      <c r="B11" t="s">
        <v>44</v>
      </c>
      <c r="H11">
        <v>3080.7548999999999</v>
      </c>
      <c r="I11" t="s">
        <v>53</v>
      </c>
      <c r="K11">
        <v>3080.7548999999999</v>
      </c>
    </row>
    <row r="12" spans="1:12" x14ac:dyDescent="0.25">
      <c r="A12">
        <v>2025</v>
      </c>
      <c r="B12" t="s">
        <v>44</v>
      </c>
      <c r="H12">
        <v>2464.60392</v>
      </c>
      <c r="I12" t="s">
        <v>53</v>
      </c>
      <c r="K12">
        <v>2464.60392</v>
      </c>
      <c r="L12" t="s">
        <v>57</v>
      </c>
    </row>
    <row r="13" spans="1:12" x14ac:dyDescent="0.25">
      <c r="A13">
        <v>2024</v>
      </c>
      <c r="B13" t="s">
        <v>45</v>
      </c>
      <c r="H13">
        <v>3196.7489999999998</v>
      </c>
      <c r="I13" t="s">
        <v>53</v>
      </c>
      <c r="K13">
        <v>3196.7489999999998</v>
      </c>
    </row>
    <row r="14" spans="1:12" x14ac:dyDescent="0.25">
      <c r="A14">
        <v>2024</v>
      </c>
      <c r="B14" t="s">
        <v>46</v>
      </c>
      <c r="H14">
        <v>3080.7548999999999</v>
      </c>
      <c r="I14" t="s">
        <v>53</v>
      </c>
      <c r="K14">
        <v>3080.7548999999999</v>
      </c>
    </row>
    <row r="15" spans="1:12" x14ac:dyDescent="0.25">
      <c r="A15">
        <v>2035</v>
      </c>
      <c r="B15" t="s">
        <v>46</v>
      </c>
      <c r="H15">
        <v>3058.2628260000001</v>
      </c>
      <c r="I15" t="s">
        <v>53</v>
      </c>
      <c r="K15">
        <v>3058.2628260000001</v>
      </c>
    </row>
    <row r="16" spans="1:12" x14ac:dyDescent="0.25">
      <c r="A16">
        <v>2036</v>
      </c>
      <c r="B16" t="s">
        <v>46</v>
      </c>
      <c r="H16">
        <v>3035.9349630000002</v>
      </c>
      <c r="I16" t="s">
        <v>53</v>
      </c>
      <c r="K16">
        <v>3035.9349630000002</v>
      </c>
    </row>
    <row r="17" spans="1:12" x14ac:dyDescent="0.25">
      <c r="A17">
        <v>2037</v>
      </c>
      <c r="B17" t="s">
        <v>46</v>
      </c>
      <c r="H17">
        <v>3013.7701120000002</v>
      </c>
      <c r="I17" t="s">
        <v>53</v>
      </c>
      <c r="K17">
        <v>3013.7701120000002</v>
      </c>
    </row>
    <row r="18" spans="1:12" x14ac:dyDescent="0.25">
      <c r="A18">
        <v>2038</v>
      </c>
      <c r="B18" t="s">
        <v>46</v>
      </c>
      <c r="H18">
        <v>2991.7670830000002</v>
      </c>
      <c r="I18" t="s">
        <v>53</v>
      </c>
      <c r="K18">
        <v>2991.7670830000002</v>
      </c>
    </row>
    <row r="19" spans="1:12" x14ac:dyDescent="0.25">
      <c r="A19">
        <v>2039</v>
      </c>
      <c r="B19" t="s">
        <v>46</v>
      </c>
      <c r="H19">
        <v>2969.9246939999998</v>
      </c>
      <c r="I19" t="s">
        <v>53</v>
      </c>
      <c r="K19">
        <v>2969.9246939999998</v>
      </c>
    </row>
    <row r="20" spans="1:12" x14ac:dyDescent="0.25">
      <c r="A20">
        <v>2040</v>
      </c>
      <c r="B20" t="s">
        <v>46</v>
      </c>
      <c r="H20">
        <v>2948.2417730000002</v>
      </c>
      <c r="I20" t="s">
        <v>53</v>
      </c>
      <c r="K20">
        <v>2948.2417730000002</v>
      </c>
    </row>
    <row r="21" spans="1:12" x14ac:dyDescent="0.25">
      <c r="A21">
        <v>2041</v>
      </c>
      <c r="B21" t="s">
        <v>46</v>
      </c>
      <c r="H21">
        <v>2926.7171549999998</v>
      </c>
      <c r="I21" t="s">
        <v>53</v>
      </c>
      <c r="K21">
        <v>2926.7171549999998</v>
      </c>
      <c r="L21" t="s">
        <v>58</v>
      </c>
    </row>
    <row r="22" spans="1:12" x14ac:dyDescent="0.25">
      <c r="A22">
        <v>2024</v>
      </c>
      <c r="B22" t="s">
        <v>47</v>
      </c>
      <c r="H22">
        <v>2987.2078499999998</v>
      </c>
      <c r="I22" t="s">
        <v>53</v>
      </c>
      <c r="K22">
        <v>2987.2078499999998</v>
      </c>
    </row>
    <row r="27" spans="1:12" x14ac:dyDescent="0.25">
      <c r="A27" t="s">
        <v>0</v>
      </c>
      <c r="C27" t="s">
        <v>3</v>
      </c>
      <c r="H27" t="s">
        <v>51</v>
      </c>
      <c r="I27" t="s">
        <v>50</v>
      </c>
      <c r="K27" t="s">
        <v>52</v>
      </c>
    </row>
    <row r="28" spans="1:12" x14ac:dyDescent="0.25">
      <c r="A28" t="s">
        <v>14</v>
      </c>
      <c r="C28">
        <v>2023</v>
      </c>
      <c r="H28">
        <v>1942.0976230000001</v>
      </c>
      <c r="I28" t="s">
        <v>53</v>
      </c>
      <c r="K28">
        <v>2057.8978219999999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FB83-8CC9-450C-9FA7-1916DC382669}">
  <dimension ref="A2:E5"/>
  <sheetViews>
    <sheetView workbookViewId="0">
      <selection activeCell="B11" sqref="B11"/>
    </sheetView>
  </sheetViews>
  <sheetFormatPr defaultRowHeight="15" x14ac:dyDescent="0.25"/>
  <sheetData>
    <row r="2" spans="1:5" x14ac:dyDescent="0.25">
      <c r="A2">
        <v>1</v>
      </c>
      <c r="B2" t="s">
        <v>72</v>
      </c>
      <c r="C2" t="s">
        <v>284</v>
      </c>
      <c r="D2">
        <v>277777.78000000003</v>
      </c>
      <c r="E2" t="s">
        <v>111</v>
      </c>
    </row>
    <row r="5" spans="1:5" x14ac:dyDescent="0.25">
      <c r="A5" t="s">
        <v>322</v>
      </c>
      <c r="D5">
        <v>1.2389175814711242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979-01CA-4530-A3AC-4E09B913C2CA}">
  <dimension ref="A1:K26"/>
  <sheetViews>
    <sheetView workbookViewId="0">
      <selection activeCell="K2" sqref="K2"/>
    </sheetView>
  </sheetViews>
  <sheetFormatPr defaultRowHeight="15" x14ac:dyDescent="0.25"/>
  <cols>
    <col min="7" max="8" width="12" bestFit="1" customWidth="1"/>
  </cols>
  <sheetData>
    <row r="1" spans="1:11" x14ac:dyDescent="0.25">
      <c r="A1" t="s">
        <v>54</v>
      </c>
      <c r="B1" t="s">
        <v>77</v>
      </c>
      <c r="C1" t="s">
        <v>78</v>
      </c>
      <c r="D1" t="s">
        <v>79</v>
      </c>
      <c r="E1" t="s">
        <v>80</v>
      </c>
      <c r="F1" t="s">
        <v>4</v>
      </c>
      <c r="G1" t="s">
        <v>81</v>
      </c>
      <c r="H1" t="s">
        <v>82</v>
      </c>
      <c r="I1" t="s">
        <v>83</v>
      </c>
      <c r="K1" t="s">
        <v>255</v>
      </c>
    </row>
    <row r="2" spans="1:11" x14ac:dyDescent="0.25">
      <c r="A2" t="s">
        <v>36</v>
      </c>
      <c r="B2" t="s">
        <v>7</v>
      </c>
      <c r="C2" t="s">
        <v>13</v>
      </c>
      <c r="D2" t="s">
        <v>7</v>
      </c>
      <c r="E2" t="s">
        <v>13</v>
      </c>
      <c r="F2">
        <v>2024</v>
      </c>
      <c r="G2">
        <v>2.6248298320000001</v>
      </c>
      <c r="H2">
        <v>0.14930632299999999</v>
      </c>
      <c r="I2">
        <v>-1</v>
      </c>
      <c r="K2">
        <f>H2/2</f>
        <v>7.4653161499999995E-2</v>
      </c>
    </row>
    <row r="3" spans="1:11" x14ac:dyDescent="0.25">
      <c r="A3" t="s">
        <v>36</v>
      </c>
      <c r="B3" t="s">
        <v>7</v>
      </c>
      <c r="C3" t="s">
        <v>12</v>
      </c>
      <c r="D3" t="s">
        <v>7</v>
      </c>
      <c r="E3" t="s">
        <v>12</v>
      </c>
      <c r="F3">
        <v>2024</v>
      </c>
      <c r="G3">
        <v>1.8783627890000001</v>
      </c>
      <c r="H3">
        <v>0.12258155699999999</v>
      </c>
      <c r="I3">
        <v>-1</v>
      </c>
      <c r="K3">
        <f t="shared" ref="K3:K6" si="0">H3/2</f>
        <v>6.1290778499999997E-2</v>
      </c>
    </row>
    <row r="4" spans="1:11" x14ac:dyDescent="0.25">
      <c r="A4" t="s">
        <v>36</v>
      </c>
      <c r="B4" t="s">
        <v>7</v>
      </c>
      <c r="C4" t="s">
        <v>9</v>
      </c>
      <c r="D4" t="s">
        <v>7</v>
      </c>
      <c r="E4" t="s">
        <v>9</v>
      </c>
      <c r="F4">
        <v>2024</v>
      </c>
      <c r="G4">
        <v>2.8361182519999999</v>
      </c>
      <c r="H4">
        <v>0.106457711</v>
      </c>
      <c r="I4">
        <v>-1</v>
      </c>
      <c r="K4">
        <f t="shared" si="0"/>
        <v>5.3228855499999998E-2</v>
      </c>
    </row>
    <row r="5" spans="1:11" x14ac:dyDescent="0.25">
      <c r="A5" t="s">
        <v>36</v>
      </c>
      <c r="B5" t="s">
        <v>7</v>
      </c>
      <c r="C5" t="s">
        <v>11</v>
      </c>
      <c r="D5" t="s">
        <v>7</v>
      </c>
      <c r="E5" t="s">
        <v>11</v>
      </c>
      <c r="F5">
        <v>2024</v>
      </c>
      <c r="G5">
        <v>1.827294889</v>
      </c>
      <c r="H5">
        <v>0.17367141</v>
      </c>
      <c r="I5">
        <v>-1</v>
      </c>
      <c r="K5">
        <f t="shared" si="0"/>
        <v>8.6835704999999999E-2</v>
      </c>
    </row>
    <row r="6" spans="1:11" x14ac:dyDescent="0.25">
      <c r="A6" t="s">
        <v>36</v>
      </c>
      <c r="B6" t="s">
        <v>7</v>
      </c>
      <c r="C6" t="s">
        <v>10</v>
      </c>
      <c r="D6" t="s">
        <v>7</v>
      </c>
      <c r="E6" t="s">
        <v>10</v>
      </c>
      <c r="F6">
        <v>2024</v>
      </c>
      <c r="G6">
        <v>4.6461250850000004</v>
      </c>
      <c r="H6">
        <v>0.15154467499999999</v>
      </c>
      <c r="I6">
        <v>-1</v>
      </c>
      <c r="K6">
        <f t="shared" si="0"/>
        <v>7.5772337499999995E-2</v>
      </c>
    </row>
    <row r="7" spans="1:11" x14ac:dyDescent="0.25">
      <c r="A7" t="s">
        <v>36</v>
      </c>
      <c r="B7" t="s">
        <v>7</v>
      </c>
      <c r="C7" t="s">
        <v>13</v>
      </c>
      <c r="D7" t="s">
        <v>7</v>
      </c>
      <c r="E7" t="s">
        <v>12</v>
      </c>
      <c r="F7">
        <v>2024</v>
      </c>
      <c r="G7">
        <v>0.50994571399999999</v>
      </c>
      <c r="H7">
        <v>3.5000000000000003E-2</v>
      </c>
      <c r="I7">
        <v>36.72</v>
      </c>
    </row>
    <row r="8" spans="1:11" x14ac:dyDescent="0.25">
      <c r="A8" t="s">
        <v>36</v>
      </c>
      <c r="B8" t="s">
        <v>7</v>
      </c>
      <c r="C8" t="s">
        <v>12</v>
      </c>
      <c r="D8" t="s">
        <v>7</v>
      </c>
      <c r="E8" t="s">
        <v>9</v>
      </c>
      <c r="F8">
        <v>2024</v>
      </c>
      <c r="G8">
        <v>0.50994571399999999</v>
      </c>
      <c r="H8">
        <v>3.5000000000000003E-2</v>
      </c>
      <c r="I8">
        <v>22.32</v>
      </c>
    </row>
    <row r="9" spans="1:11" x14ac:dyDescent="0.25">
      <c r="A9" t="s">
        <v>36</v>
      </c>
      <c r="B9" t="s">
        <v>7</v>
      </c>
      <c r="C9" t="s">
        <v>9</v>
      </c>
      <c r="D9" t="s">
        <v>7</v>
      </c>
      <c r="E9" t="s">
        <v>11</v>
      </c>
      <c r="F9">
        <v>2024</v>
      </c>
      <c r="G9">
        <v>0.50994571399999999</v>
      </c>
      <c r="H9">
        <v>3.5000000000000003E-2</v>
      </c>
      <c r="I9">
        <v>5.83</v>
      </c>
    </row>
    <row r="10" spans="1:11" x14ac:dyDescent="0.25">
      <c r="A10" t="s">
        <v>36</v>
      </c>
      <c r="B10" t="s">
        <v>7</v>
      </c>
      <c r="C10" t="s">
        <v>11</v>
      </c>
      <c r="D10" t="s">
        <v>7</v>
      </c>
      <c r="E10" t="s">
        <v>10</v>
      </c>
      <c r="F10">
        <v>2024</v>
      </c>
      <c r="G10">
        <v>0.50994571399999999</v>
      </c>
      <c r="H10">
        <v>3.5000000000000003E-2</v>
      </c>
      <c r="I10">
        <v>2.95</v>
      </c>
    </row>
    <row r="11" spans="1:11" x14ac:dyDescent="0.25">
      <c r="A11" t="s">
        <v>36</v>
      </c>
      <c r="B11" t="s">
        <v>7</v>
      </c>
      <c r="C11" t="s">
        <v>10</v>
      </c>
      <c r="D11" t="s">
        <v>7</v>
      </c>
      <c r="E11" t="s">
        <v>13</v>
      </c>
      <c r="F11">
        <v>2024</v>
      </c>
      <c r="G11">
        <v>0.50994571399999999</v>
      </c>
      <c r="H11">
        <v>3.5000000000000003E-2</v>
      </c>
      <c r="I11">
        <v>3</v>
      </c>
    </row>
    <row r="12" spans="1:11" x14ac:dyDescent="0.25">
      <c r="A12" t="s">
        <v>36</v>
      </c>
      <c r="B12" t="s">
        <v>7</v>
      </c>
      <c r="C12" t="s">
        <v>13</v>
      </c>
      <c r="D12" t="s">
        <v>7</v>
      </c>
      <c r="E12" t="s">
        <v>9</v>
      </c>
      <c r="F12">
        <v>2024</v>
      </c>
      <c r="G12">
        <v>0.50994571399999999</v>
      </c>
      <c r="H12">
        <v>3.5000000000000003E-2</v>
      </c>
      <c r="I12">
        <v>0</v>
      </c>
    </row>
    <row r="13" spans="1:11" x14ac:dyDescent="0.25">
      <c r="A13" t="s">
        <v>36</v>
      </c>
      <c r="B13" t="s">
        <v>7</v>
      </c>
      <c r="C13" t="s">
        <v>12</v>
      </c>
      <c r="D13" t="s">
        <v>7</v>
      </c>
      <c r="E13" t="s">
        <v>11</v>
      </c>
      <c r="F13">
        <v>2024</v>
      </c>
      <c r="G13">
        <v>0.50994571399999999</v>
      </c>
      <c r="H13">
        <v>3.5000000000000003E-2</v>
      </c>
      <c r="I13">
        <v>21.19</v>
      </c>
    </row>
    <row r="14" spans="1:11" x14ac:dyDescent="0.25">
      <c r="A14" t="s">
        <v>36</v>
      </c>
      <c r="B14" t="s">
        <v>7</v>
      </c>
      <c r="C14" t="s">
        <v>9</v>
      </c>
      <c r="D14" t="s">
        <v>7</v>
      </c>
      <c r="E14" t="s">
        <v>10</v>
      </c>
      <c r="F14">
        <v>2024</v>
      </c>
      <c r="G14">
        <v>0.50994571399999999</v>
      </c>
      <c r="H14">
        <v>3.5000000000000003E-2</v>
      </c>
      <c r="I14">
        <v>0</v>
      </c>
    </row>
    <row r="15" spans="1:11" x14ac:dyDescent="0.25">
      <c r="A15" t="s">
        <v>36</v>
      </c>
      <c r="B15" t="s">
        <v>7</v>
      </c>
      <c r="C15" t="s">
        <v>11</v>
      </c>
      <c r="D15" t="s">
        <v>7</v>
      </c>
      <c r="E15" t="s">
        <v>13</v>
      </c>
      <c r="F15">
        <v>2024</v>
      </c>
      <c r="G15">
        <v>0.50994571399999999</v>
      </c>
      <c r="H15">
        <v>3.5000000000000003E-2</v>
      </c>
      <c r="I15">
        <v>22.53</v>
      </c>
    </row>
    <row r="16" spans="1:11" x14ac:dyDescent="0.25">
      <c r="A16" t="s">
        <v>36</v>
      </c>
      <c r="B16" t="s">
        <v>7</v>
      </c>
      <c r="C16" t="s">
        <v>10</v>
      </c>
      <c r="D16" t="s">
        <v>7</v>
      </c>
      <c r="E16" t="s">
        <v>12</v>
      </c>
      <c r="F16">
        <v>2024</v>
      </c>
      <c r="G16">
        <v>0.50994571399999999</v>
      </c>
      <c r="H16">
        <v>3.5000000000000003E-2</v>
      </c>
      <c r="I16">
        <v>0</v>
      </c>
    </row>
    <row r="17" spans="1:9" x14ac:dyDescent="0.25">
      <c r="A17" t="s">
        <v>36</v>
      </c>
      <c r="B17" t="s">
        <v>7</v>
      </c>
      <c r="C17" t="s">
        <v>13</v>
      </c>
      <c r="D17" t="s">
        <v>7</v>
      </c>
      <c r="E17" t="s">
        <v>11</v>
      </c>
      <c r="F17">
        <v>2024</v>
      </c>
      <c r="G17">
        <v>0.50994571399999999</v>
      </c>
      <c r="H17">
        <v>3.5000000000000003E-2</v>
      </c>
      <c r="I17">
        <v>19.53</v>
      </c>
    </row>
    <row r="18" spans="1:9" x14ac:dyDescent="0.25">
      <c r="A18" t="s">
        <v>36</v>
      </c>
      <c r="B18" t="s">
        <v>7</v>
      </c>
      <c r="C18" t="s">
        <v>12</v>
      </c>
      <c r="D18" t="s">
        <v>7</v>
      </c>
      <c r="E18" t="s">
        <v>10</v>
      </c>
      <c r="F18">
        <v>2024</v>
      </c>
      <c r="G18">
        <v>0.50994571399999999</v>
      </c>
      <c r="H18">
        <v>3.5000000000000003E-2</v>
      </c>
      <c r="I18">
        <v>0</v>
      </c>
    </row>
    <row r="19" spans="1:9" x14ac:dyDescent="0.25">
      <c r="A19" t="s">
        <v>36</v>
      </c>
      <c r="B19" t="s">
        <v>7</v>
      </c>
      <c r="C19" t="s">
        <v>9</v>
      </c>
      <c r="D19" t="s">
        <v>7</v>
      </c>
      <c r="E19" t="s">
        <v>13</v>
      </c>
      <c r="F19">
        <v>2024</v>
      </c>
      <c r="G19">
        <v>0.50994571399999999</v>
      </c>
      <c r="H19">
        <v>3.5000000000000003E-2</v>
      </c>
      <c r="I19">
        <v>0</v>
      </c>
    </row>
    <row r="20" spans="1:9" x14ac:dyDescent="0.25">
      <c r="A20" t="s">
        <v>36</v>
      </c>
      <c r="B20" t="s">
        <v>7</v>
      </c>
      <c r="C20" t="s">
        <v>11</v>
      </c>
      <c r="D20" t="s">
        <v>7</v>
      </c>
      <c r="E20" t="s">
        <v>12</v>
      </c>
      <c r="F20">
        <v>2024</v>
      </c>
      <c r="G20">
        <v>0.50994571399999999</v>
      </c>
      <c r="H20">
        <v>3.5000000000000003E-2</v>
      </c>
      <c r="I20">
        <v>21.19</v>
      </c>
    </row>
    <row r="21" spans="1:9" x14ac:dyDescent="0.25">
      <c r="A21" t="s">
        <v>36</v>
      </c>
      <c r="B21" t="s">
        <v>7</v>
      </c>
      <c r="C21" t="s">
        <v>10</v>
      </c>
      <c r="D21" t="s">
        <v>7</v>
      </c>
      <c r="E21" t="s">
        <v>9</v>
      </c>
      <c r="F21">
        <v>2024</v>
      </c>
      <c r="G21">
        <v>0.50994571399999999</v>
      </c>
      <c r="H21">
        <v>3.5000000000000003E-2</v>
      </c>
      <c r="I21">
        <v>0</v>
      </c>
    </row>
    <row r="22" spans="1:9" x14ac:dyDescent="0.25">
      <c r="A22" t="s">
        <v>36</v>
      </c>
      <c r="B22" t="s">
        <v>7</v>
      </c>
      <c r="C22" t="s">
        <v>13</v>
      </c>
      <c r="D22" t="s">
        <v>7</v>
      </c>
      <c r="E22" t="s">
        <v>10</v>
      </c>
      <c r="F22">
        <v>2024</v>
      </c>
      <c r="G22">
        <v>0.50994571399999999</v>
      </c>
      <c r="H22">
        <v>3.5000000000000003E-2</v>
      </c>
      <c r="I22">
        <v>1.5</v>
      </c>
    </row>
    <row r="23" spans="1:9" x14ac:dyDescent="0.25">
      <c r="A23" t="s">
        <v>36</v>
      </c>
      <c r="B23" t="s">
        <v>7</v>
      </c>
      <c r="C23" t="s">
        <v>12</v>
      </c>
      <c r="D23" t="s">
        <v>7</v>
      </c>
      <c r="E23" t="s">
        <v>13</v>
      </c>
      <c r="F23">
        <v>2024</v>
      </c>
      <c r="G23">
        <v>0.50994571399999999</v>
      </c>
      <c r="H23">
        <v>3.5000000000000003E-2</v>
      </c>
      <c r="I23">
        <v>32.57</v>
      </c>
    </row>
    <row r="24" spans="1:9" x14ac:dyDescent="0.25">
      <c r="A24" t="s">
        <v>36</v>
      </c>
      <c r="B24" t="s">
        <v>7</v>
      </c>
      <c r="C24" t="s">
        <v>9</v>
      </c>
      <c r="D24" t="s">
        <v>7</v>
      </c>
      <c r="E24" t="s">
        <v>12</v>
      </c>
      <c r="F24">
        <v>2024</v>
      </c>
      <c r="G24">
        <v>0.50994571399999999</v>
      </c>
      <c r="H24">
        <v>3.5000000000000003E-2</v>
      </c>
      <c r="I24">
        <v>19.93</v>
      </c>
    </row>
    <row r="25" spans="1:9" x14ac:dyDescent="0.25">
      <c r="A25" t="s">
        <v>36</v>
      </c>
      <c r="B25" t="s">
        <v>7</v>
      </c>
      <c r="C25" t="s">
        <v>11</v>
      </c>
      <c r="D25" t="s">
        <v>7</v>
      </c>
      <c r="E25" t="s">
        <v>9</v>
      </c>
      <c r="F25">
        <v>2024</v>
      </c>
      <c r="G25">
        <v>0.50994571399999999</v>
      </c>
      <c r="H25">
        <v>3.5000000000000003E-2</v>
      </c>
      <c r="I25">
        <v>7.83</v>
      </c>
    </row>
    <row r="26" spans="1:9" x14ac:dyDescent="0.25">
      <c r="A26" t="s">
        <v>36</v>
      </c>
      <c r="B26" t="s">
        <v>7</v>
      </c>
      <c r="C26" t="s">
        <v>10</v>
      </c>
      <c r="D26" t="s">
        <v>7</v>
      </c>
      <c r="E26" t="s">
        <v>11</v>
      </c>
      <c r="F26">
        <v>2024</v>
      </c>
      <c r="G26">
        <v>0.50994571399999999</v>
      </c>
      <c r="H26">
        <v>3.5000000000000003E-2</v>
      </c>
      <c r="I26">
        <v>2.95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D7C8-51B8-4892-8EBE-6420C14CA6BA}">
  <sheetPr>
    <tabColor theme="7" tint="0.39997558519241921"/>
  </sheetPr>
  <dimension ref="A1:AI81"/>
  <sheetViews>
    <sheetView zoomScaleNormal="100" workbookViewId="0">
      <selection activeCell="R4" sqref="R4"/>
    </sheetView>
  </sheetViews>
  <sheetFormatPr defaultColWidth="8.85546875" defaultRowHeight="12.75" x14ac:dyDescent="0.2"/>
  <cols>
    <col min="1" max="1" width="10.7109375" style="11" bestFit="1" customWidth="1"/>
    <col min="2" max="2" width="12.28515625" style="11" customWidth="1"/>
    <col min="3" max="3" width="11.5703125" style="11" customWidth="1"/>
    <col min="4" max="6" width="8.85546875" style="11"/>
    <col min="7" max="7" width="23.140625" style="11" bestFit="1" customWidth="1"/>
    <col min="8" max="24" width="12.7109375" style="11" customWidth="1"/>
    <col min="25" max="27" width="11.7109375" style="11" customWidth="1"/>
    <col min="28" max="28" width="11.5703125" style="11" bestFit="1" customWidth="1"/>
    <col min="29" max="33" width="8.85546875" style="11"/>
    <col min="34" max="34" width="43.85546875" style="11" customWidth="1"/>
    <col min="35" max="16384" width="8.85546875" style="11"/>
  </cols>
  <sheetData>
    <row r="1" spans="1:24" x14ac:dyDescent="0.2">
      <c r="A1" s="11" t="s">
        <v>152</v>
      </c>
    </row>
    <row r="2" spans="1:24" x14ac:dyDescent="0.2">
      <c r="A2" s="11" t="s">
        <v>153</v>
      </c>
    </row>
    <row r="3" spans="1:24" x14ac:dyDescent="0.2">
      <c r="A3" s="11" t="s">
        <v>154</v>
      </c>
    </row>
    <row r="6" spans="1:24" x14ac:dyDescent="0.2">
      <c r="A6" s="12" t="s">
        <v>155</v>
      </c>
      <c r="H6" s="13" t="s">
        <v>156</v>
      </c>
    </row>
    <row r="7" spans="1:24" s="15" customFormat="1" ht="56.45" customHeight="1" x14ac:dyDescent="0.25">
      <c r="A7" s="14" t="s">
        <v>157</v>
      </c>
      <c r="G7" s="16"/>
      <c r="H7" s="125" t="s">
        <v>158</v>
      </c>
      <c r="I7" s="125"/>
      <c r="J7" s="125" t="s">
        <v>159</v>
      </c>
      <c r="K7" s="125"/>
      <c r="L7" s="125" t="s">
        <v>160</v>
      </c>
      <c r="M7" s="125"/>
      <c r="N7" s="125" t="s">
        <v>161</v>
      </c>
      <c r="O7" s="125"/>
      <c r="P7" s="125" t="s">
        <v>162</v>
      </c>
      <c r="Q7" s="125"/>
      <c r="R7" s="125" t="s">
        <v>163</v>
      </c>
      <c r="S7" s="125"/>
      <c r="T7" s="125" t="s">
        <v>164</v>
      </c>
      <c r="U7" s="125"/>
      <c r="V7" s="18"/>
      <c r="W7" s="18"/>
      <c r="X7" s="18"/>
    </row>
    <row r="8" spans="1:24" ht="13.5" x14ac:dyDescent="0.25">
      <c r="G8" s="19" t="s">
        <v>165</v>
      </c>
      <c r="H8" s="20">
        <v>2022</v>
      </c>
      <c r="I8" s="20">
        <v>2027</v>
      </c>
      <c r="J8" s="20">
        <v>2023</v>
      </c>
      <c r="K8" s="20">
        <v>2028</v>
      </c>
      <c r="L8" s="20">
        <v>2023</v>
      </c>
      <c r="M8" s="20">
        <v>2028</v>
      </c>
      <c r="N8" s="20">
        <v>2024</v>
      </c>
      <c r="O8" s="20">
        <v>2029</v>
      </c>
      <c r="P8" s="20">
        <v>2024</v>
      </c>
      <c r="Q8" s="20">
        <v>2029</v>
      </c>
      <c r="R8" s="20">
        <v>2025</v>
      </c>
      <c r="S8" s="20">
        <v>2030</v>
      </c>
      <c r="T8" s="20">
        <v>2026</v>
      </c>
      <c r="U8" s="20">
        <v>2031</v>
      </c>
      <c r="V8" s="19"/>
      <c r="W8" s="19"/>
      <c r="X8" s="19"/>
    </row>
    <row r="9" spans="1:24" s="15" customFormat="1" ht="40.5" x14ac:dyDescent="0.25">
      <c r="B9" s="21" t="s">
        <v>166</v>
      </c>
      <c r="C9" s="21" t="s">
        <v>167</v>
      </c>
      <c r="D9" s="21"/>
      <c r="E9" s="21" t="s">
        <v>168</v>
      </c>
      <c r="F9" s="21" t="s">
        <v>169</v>
      </c>
      <c r="G9" s="16"/>
      <c r="H9" s="22">
        <v>44621</v>
      </c>
      <c r="I9" s="17" t="s">
        <v>170</v>
      </c>
      <c r="J9" s="22">
        <v>44805</v>
      </c>
      <c r="K9" s="17" t="s">
        <v>171</v>
      </c>
      <c r="L9" s="100">
        <v>44986</v>
      </c>
      <c r="M9" s="17" t="s">
        <v>171</v>
      </c>
      <c r="N9" s="22">
        <v>45170</v>
      </c>
      <c r="O9" s="17" t="s">
        <v>172</v>
      </c>
      <c r="P9" s="22">
        <v>45352</v>
      </c>
      <c r="Q9" s="17" t="s">
        <v>172</v>
      </c>
      <c r="R9" s="22">
        <v>45717</v>
      </c>
      <c r="S9" s="17" t="s">
        <v>173</v>
      </c>
      <c r="T9" s="22">
        <v>45901</v>
      </c>
      <c r="U9" s="17" t="s">
        <v>174</v>
      </c>
      <c r="V9" s="18"/>
      <c r="W9" s="18"/>
      <c r="X9" s="18"/>
    </row>
    <row r="10" spans="1:24" ht="15" x14ac:dyDescent="0.25">
      <c r="B10" s="11" t="str">
        <f t="shared" ref="B10:B16" si="0">F10&amp;"-"&amp;E10</f>
        <v>NR-ER</v>
      </c>
      <c r="C10" s="11" t="str">
        <f t="shared" ref="C10:C16" si="1">E10&amp;"-"&amp;F10</f>
        <v>ER-NR</v>
      </c>
      <c r="E10" s="11" t="s">
        <v>11</v>
      </c>
      <c r="F10" s="11" t="s">
        <v>13</v>
      </c>
      <c r="G10" s="23" t="s">
        <v>175</v>
      </c>
      <c r="H10" s="24">
        <v>22530</v>
      </c>
      <c r="I10" s="24">
        <v>22530</v>
      </c>
      <c r="J10" s="24">
        <v>22530</v>
      </c>
      <c r="K10" s="24">
        <v>22530</v>
      </c>
      <c r="L10" s="101">
        <v>22530</v>
      </c>
      <c r="M10" s="24">
        <v>22530</v>
      </c>
      <c r="N10" s="24">
        <v>22530</v>
      </c>
      <c r="O10" s="24">
        <v>22530</v>
      </c>
      <c r="P10" s="24">
        <v>22530</v>
      </c>
      <c r="Q10" s="24">
        <v>22530</v>
      </c>
      <c r="R10" s="24">
        <v>22530</v>
      </c>
      <c r="S10" s="24">
        <v>22530</v>
      </c>
      <c r="T10" s="24">
        <v>22530</v>
      </c>
      <c r="U10" s="24">
        <v>22530</v>
      </c>
      <c r="V10" s="25"/>
      <c r="W10" s="25"/>
      <c r="X10" s="25"/>
    </row>
    <row r="11" spans="1:24" ht="15" x14ac:dyDescent="0.25">
      <c r="B11" s="11" t="str">
        <f>F11&amp;"-"&amp;E11</f>
        <v>NR-WR</v>
      </c>
      <c r="C11" s="11" t="str">
        <f>E11&amp;"-"&amp;F11</f>
        <v>WR-NR</v>
      </c>
      <c r="E11" s="11" t="s">
        <v>12</v>
      </c>
      <c r="F11" s="11" t="s">
        <v>13</v>
      </c>
      <c r="G11" s="23" t="s">
        <v>180</v>
      </c>
      <c r="H11" s="24">
        <v>36720</v>
      </c>
      <c r="I11" s="24">
        <v>36720</v>
      </c>
      <c r="J11" s="24">
        <v>36720</v>
      </c>
      <c r="K11" s="24">
        <v>42520</v>
      </c>
      <c r="L11" s="101">
        <v>36720</v>
      </c>
      <c r="M11" s="24">
        <v>50920</v>
      </c>
      <c r="N11" s="24">
        <v>36720</v>
      </c>
      <c r="O11" s="30">
        <v>46720</v>
      </c>
      <c r="P11" s="24">
        <v>36720</v>
      </c>
      <c r="Q11" s="30">
        <v>46720</v>
      </c>
      <c r="R11" s="24">
        <v>38320</v>
      </c>
      <c r="S11" s="24">
        <v>50920</v>
      </c>
      <c r="T11" s="24">
        <v>38320</v>
      </c>
      <c r="U11" s="24">
        <v>61120</v>
      </c>
      <c r="V11" s="25"/>
      <c r="W11" s="25"/>
      <c r="X11" s="25"/>
    </row>
    <row r="12" spans="1:24" ht="15" x14ac:dyDescent="0.2">
      <c r="B12" s="11" t="str">
        <f>F12&amp;"-"&amp;E12</f>
        <v>NER-ER</v>
      </c>
      <c r="C12" s="11" t="str">
        <f>E12&amp;"-"&amp;F12</f>
        <v>ER-NER</v>
      </c>
      <c r="E12" s="11" t="s">
        <v>11</v>
      </c>
      <c r="F12" s="11" t="s">
        <v>10</v>
      </c>
      <c r="G12" s="23" t="s">
        <v>178</v>
      </c>
      <c r="H12" s="26">
        <v>2860</v>
      </c>
      <c r="I12" s="26">
        <v>3550</v>
      </c>
      <c r="J12" s="26">
        <v>2860</v>
      </c>
      <c r="K12" s="26">
        <v>3550</v>
      </c>
      <c r="L12" s="102">
        <v>2860</v>
      </c>
      <c r="M12" s="26">
        <v>3550</v>
      </c>
      <c r="N12" s="102">
        <v>2950</v>
      </c>
      <c r="O12" s="28">
        <v>2950</v>
      </c>
      <c r="P12" s="26">
        <v>2950</v>
      </c>
      <c r="Q12" s="29">
        <v>3550</v>
      </c>
      <c r="R12" s="26">
        <v>3550</v>
      </c>
      <c r="S12" s="26">
        <v>3550</v>
      </c>
      <c r="T12" s="26">
        <v>3550</v>
      </c>
      <c r="U12" s="26">
        <v>3550</v>
      </c>
      <c r="V12" s="27"/>
      <c r="W12" s="27"/>
      <c r="X12" s="27"/>
    </row>
    <row r="13" spans="1:24" ht="15" x14ac:dyDescent="0.25">
      <c r="B13" s="11" t="str">
        <f t="shared" si="0"/>
        <v>WR-ER</v>
      </c>
      <c r="C13" s="11" t="str">
        <f t="shared" si="1"/>
        <v>ER-WR</v>
      </c>
      <c r="E13" s="11" t="s">
        <v>11</v>
      </c>
      <c r="F13" s="11" t="s">
        <v>12</v>
      </c>
      <c r="G13" s="23" t="s">
        <v>176</v>
      </c>
      <c r="H13" s="24">
        <v>21190</v>
      </c>
      <c r="I13" s="24">
        <v>21190</v>
      </c>
      <c r="J13" s="24">
        <v>21190</v>
      </c>
      <c r="K13" s="24">
        <v>22790</v>
      </c>
      <c r="L13" s="101">
        <v>21190</v>
      </c>
      <c r="M13" s="24">
        <v>22790</v>
      </c>
      <c r="N13" s="24">
        <v>21190</v>
      </c>
      <c r="O13" s="24">
        <v>22790</v>
      </c>
      <c r="P13" s="24">
        <v>21190</v>
      </c>
      <c r="Q13" s="24">
        <v>22790</v>
      </c>
      <c r="R13" s="24">
        <v>21190</v>
      </c>
      <c r="S13" s="24">
        <v>22790</v>
      </c>
      <c r="T13" s="24">
        <v>22790</v>
      </c>
      <c r="U13" s="24">
        <v>26990</v>
      </c>
      <c r="V13" s="25"/>
      <c r="W13" s="25"/>
      <c r="X13" s="25"/>
    </row>
    <row r="14" spans="1:24" ht="15" x14ac:dyDescent="0.2">
      <c r="B14" s="11" t="str">
        <f>F14&amp;"-"&amp;E14</f>
        <v>SR-WR</v>
      </c>
      <c r="C14" s="11" t="str">
        <f>E14&amp;"-"&amp;F14</f>
        <v>WR-SR</v>
      </c>
      <c r="E14" s="11" t="s">
        <v>12</v>
      </c>
      <c r="F14" s="11" t="s">
        <v>9</v>
      </c>
      <c r="G14" s="23" t="s">
        <v>181</v>
      </c>
      <c r="H14" s="26">
        <v>18120</v>
      </c>
      <c r="I14" s="26">
        <v>23920</v>
      </c>
      <c r="J14" s="26">
        <v>18120</v>
      </c>
      <c r="K14" s="26">
        <v>28120</v>
      </c>
      <c r="L14" s="102">
        <v>18120</v>
      </c>
      <c r="M14" s="26">
        <v>28120</v>
      </c>
      <c r="N14" s="26">
        <v>18120</v>
      </c>
      <c r="O14" s="26">
        <v>28120</v>
      </c>
      <c r="P14" s="26">
        <v>22320</v>
      </c>
      <c r="Q14" s="26">
        <v>28120</v>
      </c>
      <c r="R14" s="26">
        <v>22320</v>
      </c>
      <c r="S14" s="26">
        <v>28120</v>
      </c>
      <c r="T14" s="26">
        <v>22320</v>
      </c>
      <c r="U14" s="26">
        <v>32320</v>
      </c>
      <c r="V14" s="27"/>
      <c r="W14" s="27"/>
      <c r="X14" s="27"/>
    </row>
    <row r="15" spans="1:24" ht="15" x14ac:dyDescent="0.2">
      <c r="B15" s="11" t="str">
        <f t="shared" si="0"/>
        <v>SR-ER</v>
      </c>
      <c r="C15" s="11" t="str">
        <f t="shared" si="1"/>
        <v>ER-SR</v>
      </c>
      <c r="E15" s="11" t="s">
        <v>11</v>
      </c>
      <c r="F15" s="11" t="s">
        <v>9</v>
      </c>
      <c r="G15" s="23" t="s">
        <v>177</v>
      </c>
      <c r="H15" s="26">
        <v>7830</v>
      </c>
      <c r="I15" s="26">
        <v>7830</v>
      </c>
      <c r="J15" s="26">
        <v>7830</v>
      </c>
      <c r="K15" s="26">
        <v>7830</v>
      </c>
      <c r="L15" s="102">
        <v>7830</v>
      </c>
      <c r="M15" s="26">
        <v>7830</v>
      </c>
      <c r="N15" s="26">
        <v>7830</v>
      </c>
      <c r="O15" s="26">
        <v>7830</v>
      </c>
      <c r="P15" s="26">
        <v>7830</v>
      </c>
      <c r="Q15" s="26">
        <v>7830</v>
      </c>
      <c r="R15" s="26">
        <v>7830</v>
      </c>
      <c r="S15" s="26">
        <v>7830</v>
      </c>
      <c r="T15" s="26">
        <v>7830</v>
      </c>
      <c r="U15" s="26">
        <v>12030</v>
      </c>
      <c r="V15" s="27"/>
      <c r="W15" s="27"/>
      <c r="X15" s="27"/>
    </row>
    <row r="16" spans="1:24" ht="15" x14ac:dyDescent="0.2">
      <c r="B16" s="11" t="str">
        <f t="shared" si="0"/>
        <v>NER-NR</v>
      </c>
      <c r="C16" s="11" t="str">
        <f t="shared" si="1"/>
        <v>NR-NER</v>
      </c>
      <c r="E16" s="11" t="s">
        <v>13</v>
      </c>
      <c r="F16" s="11" t="s">
        <v>10</v>
      </c>
      <c r="G16" s="23" t="s">
        <v>179</v>
      </c>
      <c r="H16" s="26">
        <v>3000</v>
      </c>
      <c r="I16" s="26">
        <v>3000</v>
      </c>
      <c r="J16" s="26">
        <v>3000</v>
      </c>
      <c r="K16" s="26">
        <v>3000</v>
      </c>
      <c r="L16" s="102">
        <v>3000</v>
      </c>
      <c r="M16" s="26">
        <v>3000</v>
      </c>
      <c r="N16" s="26">
        <v>3000</v>
      </c>
      <c r="O16" s="26">
        <v>3000</v>
      </c>
      <c r="P16" s="26">
        <v>3000</v>
      </c>
      <c r="Q16" s="26">
        <v>3000</v>
      </c>
      <c r="R16" s="26">
        <v>3000</v>
      </c>
      <c r="S16" s="26">
        <v>3000</v>
      </c>
      <c r="T16" s="26">
        <v>3000</v>
      </c>
      <c r="U16" s="26">
        <v>3000</v>
      </c>
      <c r="V16" s="27"/>
      <c r="W16" s="27"/>
      <c r="X16" s="27"/>
    </row>
    <row r="17" spans="3:24" ht="15" x14ac:dyDescent="0.2">
      <c r="G17" s="23" t="s">
        <v>182</v>
      </c>
      <c r="H17" s="31">
        <f t="shared" ref="H17:U17" si="2">SUM(H10:H16)</f>
        <v>112250</v>
      </c>
      <c r="I17" s="31">
        <f t="shared" si="2"/>
        <v>118740</v>
      </c>
      <c r="J17" s="31">
        <f t="shared" si="2"/>
        <v>112250</v>
      </c>
      <c r="K17" s="31">
        <f t="shared" si="2"/>
        <v>130340</v>
      </c>
      <c r="L17" s="31">
        <f t="shared" si="2"/>
        <v>112250</v>
      </c>
      <c r="M17" s="31">
        <f t="shared" si="2"/>
        <v>138740</v>
      </c>
      <c r="N17" s="31">
        <f t="shared" si="2"/>
        <v>112340</v>
      </c>
      <c r="O17" s="31">
        <f t="shared" si="2"/>
        <v>133940</v>
      </c>
      <c r="P17" s="31">
        <f t="shared" si="2"/>
        <v>116540</v>
      </c>
      <c r="Q17" s="31">
        <f t="shared" si="2"/>
        <v>134540</v>
      </c>
      <c r="R17" s="31">
        <f t="shared" si="2"/>
        <v>118740</v>
      </c>
      <c r="S17" s="31">
        <f t="shared" si="2"/>
        <v>138740</v>
      </c>
      <c r="T17" s="31">
        <f t="shared" si="2"/>
        <v>120340</v>
      </c>
      <c r="U17" s="31">
        <f t="shared" si="2"/>
        <v>161540</v>
      </c>
      <c r="V17" s="32"/>
      <c r="W17" s="32"/>
      <c r="X17" s="32"/>
    </row>
    <row r="18" spans="3:24" ht="15" x14ac:dyDescent="0.2"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3:24" ht="67.5" x14ac:dyDescent="0.25">
      <c r="E19" s="17" t="s">
        <v>168</v>
      </c>
      <c r="F19" s="17" t="s">
        <v>169</v>
      </c>
      <c r="G19" s="15"/>
      <c r="H19" s="15"/>
      <c r="I19" s="17" t="s">
        <v>183</v>
      </c>
      <c r="J19" s="15"/>
      <c r="K19" s="17" t="s">
        <v>184</v>
      </c>
      <c r="L19" s="15"/>
      <c r="M19" s="17" t="s">
        <v>185</v>
      </c>
      <c r="N19" s="15"/>
      <c r="O19" s="17" t="s">
        <v>186</v>
      </c>
      <c r="P19" s="15"/>
      <c r="Q19" s="17" t="s">
        <v>187</v>
      </c>
      <c r="R19" s="15"/>
      <c r="S19" s="17" t="s">
        <v>188</v>
      </c>
      <c r="T19" s="18"/>
      <c r="U19" s="17" t="s">
        <v>189</v>
      </c>
      <c r="V19" s="18"/>
      <c r="W19" s="18" t="str">
        <f t="shared" ref="W19:X33" si="3">E19</f>
        <v>From</v>
      </c>
      <c r="X19" s="18" t="str">
        <f t="shared" si="3"/>
        <v>To</v>
      </c>
    </row>
    <row r="20" spans="3:24" ht="15" x14ac:dyDescent="0.25">
      <c r="C20" s="11" t="str">
        <f t="shared" ref="C20:C33" si="4">E20&amp;"-"&amp;F20</f>
        <v>SR-WR</v>
      </c>
      <c r="D20" s="11">
        <v>1</v>
      </c>
      <c r="E20" s="34" t="s">
        <v>9</v>
      </c>
      <c r="F20" s="34" t="s">
        <v>12</v>
      </c>
      <c r="G20" s="35"/>
      <c r="H20" s="35"/>
      <c r="I20" s="36">
        <v>23920</v>
      </c>
      <c r="J20" s="35"/>
      <c r="K20" s="36">
        <v>28120</v>
      </c>
      <c r="L20" s="35"/>
      <c r="M20" s="37">
        <v>25120</v>
      </c>
      <c r="N20" s="38">
        <f>M20/MAX(M20:M21)</f>
        <v>0.89331436699857758</v>
      </c>
      <c r="O20" s="37">
        <v>25120</v>
      </c>
      <c r="P20" s="38">
        <f>O20/MAX(O20:O21)</f>
        <v>0.89331436699857758</v>
      </c>
      <c r="Q20" s="37">
        <v>25120</v>
      </c>
      <c r="R20" s="38">
        <f>Q20/MAX(Q20:Q21)</f>
        <v>0.89331436699857758</v>
      </c>
      <c r="S20" s="37">
        <v>25120</v>
      </c>
      <c r="T20" s="38">
        <f>S20/MAX(S20:S21)</f>
        <v>0.89331436699857758</v>
      </c>
      <c r="U20" s="37">
        <v>29320</v>
      </c>
      <c r="V20" s="38">
        <f>U20/MAX(U20:U21)</f>
        <v>0.90717821782178221</v>
      </c>
      <c r="W20" s="39" t="str">
        <f t="shared" si="3"/>
        <v>SR</v>
      </c>
      <c r="X20" s="39" t="str">
        <f t="shared" si="3"/>
        <v>WR</v>
      </c>
    </row>
    <row r="21" spans="3:24" ht="17.45" customHeight="1" x14ac:dyDescent="0.25">
      <c r="C21" s="11" t="str">
        <f t="shared" si="4"/>
        <v>WR-SR</v>
      </c>
      <c r="D21" s="11">
        <v>2</v>
      </c>
      <c r="E21" s="34" t="s">
        <v>12</v>
      </c>
      <c r="F21" s="34" t="s">
        <v>9</v>
      </c>
      <c r="G21" s="35"/>
      <c r="H21" s="35"/>
      <c r="I21" s="36">
        <v>23920</v>
      </c>
      <c r="J21" s="35"/>
      <c r="K21" s="36">
        <v>28120</v>
      </c>
      <c r="L21" s="35"/>
      <c r="M21" s="37">
        <v>28120</v>
      </c>
      <c r="N21" s="38">
        <f>M21/MAX(M21:M22)</f>
        <v>1</v>
      </c>
      <c r="O21" s="37">
        <v>28120</v>
      </c>
      <c r="P21" s="38">
        <f>O21/MAX(O21:O22)</f>
        <v>1</v>
      </c>
      <c r="Q21" s="37">
        <v>28120</v>
      </c>
      <c r="R21" s="38">
        <f>Q21/MAX(Q21:Q22)</f>
        <v>1</v>
      </c>
      <c r="S21" s="37">
        <v>28120</v>
      </c>
      <c r="T21" s="38">
        <f>S21/MAX(S21:S22)</f>
        <v>1</v>
      </c>
      <c r="U21" s="37">
        <v>32320</v>
      </c>
      <c r="V21" s="38">
        <f>U21/MAX(U21:U22)</f>
        <v>1</v>
      </c>
      <c r="W21" s="39" t="str">
        <f t="shared" si="3"/>
        <v>WR</v>
      </c>
      <c r="X21" s="39" t="str">
        <f t="shared" si="3"/>
        <v>SR</v>
      </c>
    </row>
    <row r="22" spans="3:24" ht="15" x14ac:dyDescent="0.25">
      <c r="C22" s="11" t="str">
        <f t="shared" si="4"/>
        <v>SR-ER</v>
      </c>
      <c r="D22" s="11">
        <v>3</v>
      </c>
      <c r="E22" s="23" t="s">
        <v>9</v>
      </c>
      <c r="F22" s="23" t="s">
        <v>11</v>
      </c>
      <c r="I22" s="40">
        <v>7830</v>
      </c>
      <c r="K22" s="40">
        <v>7830</v>
      </c>
      <c r="M22" s="41">
        <v>5830</v>
      </c>
      <c r="N22" s="42">
        <f>M22/MAX(M22:M23)</f>
        <v>0.7445721583652618</v>
      </c>
      <c r="O22" s="41">
        <v>5830</v>
      </c>
      <c r="P22" s="42">
        <f>O22/MAX(O22:O23)</f>
        <v>0.7445721583652618</v>
      </c>
      <c r="Q22" s="41">
        <v>5830</v>
      </c>
      <c r="R22" s="42">
        <f>Q22/MAX(Q22:Q23)</f>
        <v>0.7445721583652618</v>
      </c>
      <c r="S22" s="41">
        <v>5830</v>
      </c>
      <c r="T22" s="42">
        <f>S22/MAX(S22:S23)</f>
        <v>0.7445721583652618</v>
      </c>
      <c r="U22" s="41">
        <v>9530</v>
      </c>
      <c r="V22" s="42">
        <f>U22/MAX(U22:U23)</f>
        <v>0.79218620116375726</v>
      </c>
      <c r="W22" s="33" t="str">
        <f t="shared" si="3"/>
        <v>SR</v>
      </c>
      <c r="X22" s="33" t="str">
        <f t="shared" si="3"/>
        <v>ER</v>
      </c>
    </row>
    <row r="23" spans="3:24" ht="15" x14ac:dyDescent="0.25">
      <c r="C23" s="11" t="str">
        <f t="shared" si="4"/>
        <v>ER-SR</v>
      </c>
      <c r="D23" s="11">
        <v>4</v>
      </c>
      <c r="E23" s="23" t="s">
        <v>11</v>
      </c>
      <c r="F23" s="23" t="s">
        <v>9</v>
      </c>
      <c r="I23" s="40">
        <v>7830</v>
      </c>
      <c r="K23" s="40">
        <v>7830</v>
      </c>
      <c r="M23" s="41">
        <v>7830</v>
      </c>
      <c r="N23" s="42">
        <f>M23/MAX(M22:M23)</f>
        <v>1</v>
      </c>
      <c r="O23" s="41">
        <v>7830</v>
      </c>
      <c r="P23" s="42">
        <f>O23/MAX(O22:O23)</f>
        <v>1</v>
      </c>
      <c r="Q23" s="41">
        <v>7830</v>
      </c>
      <c r="R23" s="42">
        <f>Q23/MAX(Q22:Q23)</f>
        <v>1</v>
      </c>
      <c r="S23" s="41">
        <v>7830</v>
      </c>
      <c r="T23" s="42">
        <f>S23/MAX(S22:S23)</f>
        <v>1</v>
      </c>
      <c r="U23" s="41">
        <v>12030</v>
      </c>
      <c r="V23" s="42">
        <f>U23/MAX(U22:U23)</f>
        <v>1</v>
      </c>
      <c r="W23" s="33" t="str">
        <f t="shared" si="3"/>
        <v>ER</v>
      </c>
      <c r="X23" s="33" t="str">
        <f t="shared" si="3"/>
        <v>SR</v>
      </c>
    </row>
    <row r="24" spans="3:24" ht="15" x14ac:dyDescent="0.25">
      <c r="C24" s="11" t="str">
        <f t="shared" si="4"/>
        <v>WR-NR</v>
      </c>
      <c r="D24" s="11">
        <v>5</v>
      </c>
      <c r="E24" s="43" t="s">
        <v>12</v>
      </c>
      <c r="F24" s="43" t="s">
        <v>13</v>
      </c>
      <c r="G24" s="44"/>
      <c r="H24" s="44"/>
      <c r="I24" s="45">
        <v>36720</v>
      </c>
      <c r="J24" s="44"/>
      <c r="K24" s="45">
        <v>45520</v>
      </c>
      <c r="L24" s="44"/>
      <c r="M24" s="46">
        <v>45170</v>
      </c>
      <c r="N24" s="47">
        <f>M24/MAX(M24:M25)</f>
        <v>0.88707776904948943</v>
      </c>
      <c r="O24" s="45">
        <v>45170</v>
      </c>
      <c r="P24" s="47">
        <f>O24/MAX(O24:O25)</f>
        <v>0.88707776904948943</v>
      </c>
      <c r="Q24" s="48">
        <v>46720</v>
      </c>
      <c r="R24" s="47">
        <f>Q24/MAX(Q24:Q25)</f>
        <v>1</v>
      </c>
      <c r="S24" s="45">
        <v>50720</v>
      </c>
      <c r="T24" s="47">
        <f>S24/MAX(S24:S25)</f>
        <v>1</v>
      </c>
      <c r="U24" s="48">
        <v>61120</v>
      </c>
      <c r="V24" s="47">
        <f>U24/MAX(U24:U25)</f>
        <v>1</v>
      </c>
      <c r="W24" s="49" t="str">
        <f t="shared" si="3"/>
        <v>WR</v>
      </c>
      <c r="X24" s="49" t="str">
        <f t="shared" si="3"/>
        <v>NR</v>
      </c>
    </row>
    <row r="25" spans="3:24" ht="15" x14ac:dyDescent="0.25">
      <c r="C25" s="11" t="str">
        <f t="shared" si="4"/>
        <v>NR-WR</v>
      </c>
      <c r="D25" s="11">
        <v>6</v>
      </c>
      <c r="E25" s="43" t="s">
        <v>13</v>
      </c>
      <c r="F25" s="43" t="s">
        <v>12</v>
      </c>
      <c r="G25" s="44"/>
      <c r="H25" s="44"/>
      <c r="I25" s="45">
        <v>36720</v>
      </c>
      <c r="J25" s="44"/>
      <c r="K25" s="45">
        <v>45520</v>
      </c>
      <c r="L25" s="44"/>
      <c r="M25" s="46">
        <v>50920</v>
      </c>
      <c r="N25" s="47">
        <f>M25/MAX(M24:M25)</f>
        <v>1</v>
      </c>
      <c r="O25" s="45">
        <v>50920</v>
      </c>
      <c r="P25" s="47">
        <f>O25/MAX(O24:O25)</f>
        <v>1</v>
      </c>
      <c r="Q25" s="48">
        <v>40720</v>
      </c>
      <c r="R25" s="47">
        <f>Q25/MAX(Q24:Q25)</f>
        <v>0.87157534246575341</v>
      </c>
      <c r="S25" s="48">
        <v>44720</v>
      </c>
      <c r="T25" s="47">
        <f>S25/MAX(S24:S25)</f>
        <v>0.8817034700315457</v>
      </c>
      <c r="U25" s="48">
        <v>55120</v>
      </c>
      <c r="V25" s="47">
        <f>U25/MAX(U24:U25)</f>
        <v>0.90183246073298429</v>
      </c>
      <c r="W25" s="49" t="str">
        <f t="shared" si="3"/>
        <v>NR</v>
      </c>
      <c r="X25" s="49" t="str">
        <f t="shared" si="3"/>
        <v>WR</v>
      </c>
    </row>
    <row r="26" spans="3:24" ht="15" x14ac:dyDescent="0.25">
      <c r="C26" s="11" t="str">
        <f t="shared" si="4"/>
        <v>WR-ER</v>
      </c>
      <c r="D26" s="11">
        <v>7</v>
      </c>
      <c r="E26" s="23" t="s">
        <v>12</v>
      </c>
      <c r="F26" s="23" t="s">
        <v>11</v>
      </c>
      <c r="I26" s="40">
        <v>21190</v>
      </c>
      <c r="K26" s="41">
        <v>22790</v>
      </c>
      <c r="M26" s="41">
        <v>22790</v>
      </c>
      <c r="N26" s="42">
        <f>M26/MAX(M26:M27)</f>
        <v>1</v>
      </c>
      <c r="O26" s="41">
        <v>22790</v>
      </c>
      <c r="P26" s="42">
        <f>O26/MAX(O26:O27)</f>
        <v>1</v>
      </c>
      <c r="Q26" s="41">
        <v>22790</v>
      </c>
      <c r="R26" s="42">
        <f>Q26/MAX(Q26:Q27)</f>
        <v>1</v>
      </c>
      <c r="S26" s="41">
        <v>22790</v>
      </c>
      <c r="T26" s="42">
        <f>S26/MAX(S26:S27)</f>
        <v>1</v>
      </c>
      <c r="U26" s="41">
        <v>26990</v>
      </c>
      <c r="V26" s="42">
        <f>U26/MAX(U26:U27)</f>
        <v>1</v>
      </c>
      <c r="W26" s="33" t="str">
        <f t="shared" si="3"/>
        <v>WR</v>
      </c>
      <c r="X26" s="33" t="str">
        <f t="shared" si="3"/>
        <v>ER</v>
      </c>
    </row>
    <row r="27" spans="3:24" ht="15" x14ac:dyDescent="0.25">
      <c r="C27" s="11" t="str">
        <f t="shared" si="4"/>
        <v>ER-WR</v>
      </c>
      <c r="D27" s="11">
        <v>8</v>
      </c>
      <c r="E27" s="23" t="s">
        <v>11</v>
      </c>
      <c r="F27" s="23" t="s">
        <v>12</v>
      </c>
      <c r="I27" s="40">
        <v>21190</v>
      </c>
      <c r="K27" s="41">
        <v>22790</v>
      </c>
      <c r="M27" s="41">
        <v>22790</v>
      </c>
      <c r="N27" s="42">
        <f>M27/MAX(M26:M27)</f>
        <v>1</v>
      </c>
      <c r="O27" s="41">
        <v>22790</v>
      </c>
      <c r="P27" s="42">
        <f>O27/MAX(O26:O27)</f>
        <v>1</v>
      </c>
      <c r="Q27" s="41">
        <v>22790</v>
      </c>
      <c r="R27" s="42">
        <f>Q27/MAX(Q26:Q27)</f>
        <v>1</v>
      </c>
      <c r="S27" s="41">
        <v>22790</v>
      </c>
      <c r="T27" s="42">
        <f>S27/MAX(S26:S27)</f>
        <v>1</v>
      </c>
      <c r="U27" s="41">
        <v>26990</v>
      </c>
      <c r="V27" s="42">
        <f>U27/MAX(U26:U27)</f>
        <v>1</v>
      </c>
      <c r="W27" s="33" t="str">
        <f t="shared" si="3"/>
        <v>ER</v>
      </c>
      <c r="X27" s="33" t="str">
        <f t="shared" si="3"/>
        <v>WR</v>
      </c>
    </row>
    <row r="28" spans="3:24" ht="15" x14ac:dyDescent="0.25">
      <c r="C28" s="11" t="str">
        <f t="shared" si="4"/>
        <v>ER-NER</v>
      </c>
      <c r="D28" s="11">
        <v>9</v>
      </c>
      <c r="E28" s="50" t="s">
        <v>11</v>
      </c>
      <c r="F28" s="50" t="s">
        <v>10</v>
      </c>
      <c r="G28" s="51"/>
      <c r="H28" s="51"/>
      <c r="I28" s="52">
        <v>3550</v>
      </c>
      <c r="J28" s="51"/>
      <c r="K28" s="52">
        <v>3550</v>
      </c>
      <c r="L28" s="51"/>
      <c r="M28" s="52">
        <v>3550</v>
      </c>
      <c r="N28" s="53">
        <f>M28/MAX(M28:M29)</f>
        <v>1</v>
      </c>
      <c r="O28" s="52">
        <v>3550</v>
      </c>
      <c r="P28" s="53">
        <f>O28/MAX(O28:O29)</f>
        <v>1</v>
      </c>
      <c r="Q28" s="52">
        <v>3550</v>
      </c>
      <c r="R28" s="53">
        <f>Q28/MAX(Q28:Q29)</f>
        <v>1</v>
      </c>
      <c r="S28" s="52">
        <v>3550</v>
      </c>
      <c r="T28" s="53">
        <f>S28/MAX(S28:S29)</f>
        <v>1</v>
      </c>
      <c r="U28" s="52">
        <v>3550</v>
      </c>
      <c r="V28" s="53">
        <f>U28/MAX(U28:U29)</f>
        <v>1</v>
      </c>
      <c r="W28" s="54" t="str">
        <f t="shared" si="3"/>
        <v>ER</v>
      </c>
      <c r="X28" s="54" t="str">
        <f t="shared" si="3"/>
        <v>NER</v>
      </c>
    </row>
    <row r="29" spans="3:24" ht="15" x14ac:dyDescent="0.25">
      <c r="C29" s="11" t="str">
        <f t="shared" si="4"/>
        <v>NER-ER</v>
      </c>
      <c r="D29" s="11">
        <v>10</v>
      </c>
      <c r="E29" s="50" t="s">
        <v>10</v>
      </c>
      <c r="F29" s="50" t="s">
        <v>11</v>
      </c>
      <c r="G29" s="51"/>
      <c r="H29" s="51"/>
      <c r="I29" s="52">
        <v>3550</v>
      </c>
      <c r="J29" s="51"/>
      <c r="K29" s="52">
        <v>3550</v>
      </c>
      <c r="L29" s="51"/>
      <c r="M29" s="52">
        <v>3550</v>
      </c>
      <c r="N29" s="53">
        <f>M29/MAX(M28:M29)</f>
        <v>1</v>
      </c>
      <c r="O29" s="52">
        <v>3550</v>
      </c>
      <c r="P29" s="53">
        <f>O29/MAX(O28:O29)</f>
        <v>1</v>
      </c>
      <c r="Q29" s="52">
        <v>3550</v>
      </c>
      <c r="R29" s="53">
        <f>Q29/MAX(Q28:Q29)</f>
        <v>1</v>
      </c>
      <c r="S29" s="52">
        <v>3550</v>
      </c>
      <c r="T29" s="53">
        <f>S29/MAX(S28:S29)</f>
        <v>1</v>
      </c>
      <c r="U29" s="52">
        <v>3550</v>
      </c>
      <c r="V29" s="53">
        <f>U29/MAX(U28:U29)</f>
        <v>1</v>
      </c>
      <c r="W29" s="54" t="str">
        <f t="shared" si="3"/>
        <v>NER</v>
      </c>
      <c r="X29" s="54" t="str">
        <f t="shared" si="3"/>
        <v>ER</v>
      </c>
    </row>
    <row r="30" spans="3:24" ht="15" x14ac:dyDescent="0.25">
      <c r="C30" s="11" t="str">
        <f t="shared" si="4"/>
        <v>ER-NR</v>
      </c>
      <c r="D30" s="11">
        <v>11</v>
      </c>
      <c r="E30" s="23" t="s">
        <v>11</v>
      </c>
      <c r="F30" s="23" t="s">
        <v>13</v>
      </c>
      <c r="I30" s="40">
        <v>22530</v>
      </c>
      <c r="K30" s="40">
        <v>22530</v>
      </c>
      <c r="M30" s="41">
        <v>22530</v>
      </c>
      <c r="N30" s="42">
        <f>M30/MAX(M30:M31)</f>
        <v>1</v>
      </c>
      <c r="O30" s="41">
        <v>22530</v>
      </c>
      <c r="P30" s="42">
        <f>O30/MAX(O30:O31)</f>
        <v>1</v>
      </c>
      <c r="Q30" s="41">
        <v>22530</v>
      </c>
      <c r="R30" s="42">
        <f>Q30/MAX(Q30:Q31)</f>
        <v>1</v>
      </c>
      <c r="S30" s="41">
        <v>22630</v>
      </c>
      <c r="T30" s="42">
        <f>S30/MAX(S30:S31)</f>
        <v>1</v>
      </c>
      <c r="U30" s="41">
        <v>22530</v>
      </c>
      <c r="V30" s="42">
        <f>U30/MAX(U30:U31)</f>
        <v>1</v>
      </c>
      <c r="W30" s="33" t="str">
        <f t="shared" si="3"/>
        <v>ER</v>
      </c>
      <c r="X30" s="33" t="str">
        <f t="shared" si="3"/>
        <v>NR</v>
      </c>
    </row>
    <row r="31" spans="3:24" ht="15" x14ac:dyDescent="0.25">
      <c r="C31" s="11" t="str">
        <f t="shared" si="4"/>
        <v>NR-ER</v>
      </c>
      <c r="D31" s="11">
        <v>12</v>
      </c>
      <c r="E31" s="23" t="s">
        <v>13</v>
      </c>
      <c r="F31" s="23" t="s">
        <v>11</v>
      </c>
      <c r="I31" s="40">
        <v>22530</v>
      </c>
      <c r="K31" s="40">
        <v>22530</v>
      </c>
      <c r="M31" s="41">
        <v>19530</v>
      </c>
      <c r="N31" s="42">
        <f>M31/MAX(M30:M31)</f>
        <v>0.86684420772303594</v>
      </c>
      <c r="O31" s="41">
        <v>19530</v>
      </c>
      <c r="P31" s="42">
        <f>O31/MAX(O30:O31)</f>
        <v>0.86684420772303594</v>
      </c>
      <c r="Q31" s="41">
        <v>19530</v>
      </c>
      <c r="R31" s="42">
        <f>Q31/MAX(Q30:Q31)</f>
        <v>0.86684420772303594</v>
      </c>
      <c r="S31" s="41">
        <v>19530</v>
      </c>
      <c r="T31" s="42">
        <f>S31/MAX(S30:S31)</f>
        <v>0.86301369863013699</v>
      </c>
      <c r="U31" s="41">
        <v>19530</v>
      </c>
      <c r="V31" s="42">
        <f>U31/MAX(U30:U31)</f>
        <v>0.86684420772303594</v>
      </c>
      <c r="W31" s="33" t="str">
        <f t="shared" si="3"/>
        <v>NR</v>
      </c>
      <c r="X31" s="33" t="str">
        <f t="shared" si="3"/>
        <v>ER</v>
      </c>
    </row>
    <row r="32" spans="3:24" ht="15" x14ac:dyDescent="0.25">
      <c r="C32" s="11" t="str">
        <f t="shared" si="4"/>
        <v>NR-NER</v>
      </c>
      <c r="D32" s="11">
        <v>13</v>
      </c>
      <c r="E32" s="55" t="s">
        <v>13</v>
      </c>
      <c r="F32" s="55" t="s">
        <v>10</v>
      </c>
      <c r="G32" s="56"/>
      <c r="H32" s="56"/>
      <c r="I32" s="57">
        <v>3000</v>
      </c>
      <c r="J32" s="56"/>
      <c r="K32" s="57">
        <v>3000</v>
      </c>
      <c r="L32" s="56"/>
      <c r="M32" s="58">
        <v>1500</v>
      </c>
      <c r="N32" s="59">
        <f>M32/MAX(M32:M33)</f>
        <v>0.5</v>
      </c>
      <c r="O32" s="58">
        <v>1500</v>
      </c>
      <c r="P32" s="59">
        <f>O32/MAX(O32:O33)</f>
        <v>0.5</v>
      </c>
      <c r="Q32" s="58">
        <v>1500</v>
      </c>
      <c r="R32" s="59">
        <f>Q32/MAX(Q32:Q33)</f>
        <v>0.5</v>
      </c>
      <c r="S32" s="58">
        <v>1500</v>
      </c>
      <c r="T32" s="59">
        <f>S32/MAX(S32:S33)</f>
        <v>0.5</v>
      </c>
      <c r="U32" s="58">
        <v>1500</v>
      </c>
      <c r="V32" s="59">
        <f>U32/MAX(U32:U33)</f>
        <v>0.5</v>
      </c>
      <c r="W32" s="60" t="str">
        <f t="shared" si="3"/>
        <v>NR</v>
      </c>
      <c r="X32" s="60" t="str">
        <f t="shared" si="3"/>
        <v>NER</v>
      </c>
    </row>
    <row r="33" spans="3:24" ht="15" x14ac:dyDescent="0.25">
      <c r="C33" s="11" t="str">
        <f t="shared" si="4"/>
        <v>NER-NR</v>
      </c>
      <c r="D33" s="11">
        <v>14</v>
      </c>
      <c r="E33" s="55" t="s">
        <v>10</v>
      </c>
      <c r="F33" s="55" t="s">
        <v>13</v>
      </c>
      <c r="G33" s="56"/>
      <c r="H33" s="56"/>
      <c r="I33" s="57">
        <v>3000</v>
      </c>
      <c r="J33" s="56"/>
      <c r="K33" s="57">
        <v>3000</v>
      </c>
      <c r="L33" s="56"/>
      <c r="M33" s="58">
        <v>3000</v>
      </c>
      <c r="N33" s="59">
        <f>M33/MAX(M32:M33)</f>
        <v>1</v>
      </c>
      <c r="O33" s="58">
        <v>3000</v>
      </c>
      <c r="P33" s="59">
        <f>O33/MAX(O32:O33)</f>
        <v>1</v>
      </c>
      <c r="Q33" s="58">
        <v>3000</v>
      </c>
      <c r="R33" s="59">
        <f>Q33/MAX(Q32:Q33)</f>
        <v>1</v>
      </c>
      <c r="S33" s="58">
        <v>3000</v>
      </c>
      <c r="T33" s="59">
        <f>S33/MAX(S32:S33)</f>
        <v>1</v>
      </c>
      <c r="U33" s="58">
        <v>3000</v>
      </c>
      <c r="V33" s="59">
        <f>U33/MAX(U32:U33)</f>
        <v>1</v>
      </c>
      <c r="W33" s="60" t="str">
        <f t="shared" si="3"/>
        <v>NER</v>
      </c>
      <c r="X33" s="60" t="str">
        <f t="shared" si="3"/>
        <v>NR</v>
      </c>
    </row>
    <row r="34" spans="3:24" ht="15" x14ac:dyDescent="0.25">
      <c r="I34" s="61"/>
    </row>
    <row r="36" spans="3:24" ht="51" x14ac:dyDescent="0.2">
      <c r="I36" s="62" t="s">
        <v>190</v>
      </c>
      <c r="K36" s="62" t="s">
        <v>190</v>
      </c>
      <c r="O36" s="62" t="s">
        <v>191</v>
      </c>
      <c r="Q36" s="62" t="s">
        <v>191</v>
      </c>
      <c r="S36" s="62" t="s">
        <v>192</v>
      </c>
      <c r="U36" s="62" t="s">
        <v>193</v>
      </c>
    </row>
    <row r="40" spans="3:24" x14ac:dyDescent="0.2">
      <c r="G40" s="12" t="s">
        <v>194</v>
      </c>
    </row>
    <row r="41" spans="3:24" x14ac:dyDescent="0.2">
      <c r="H41" s="11" t="s">
        <v>195</v>
      </c>
    </row>
    <row r="42" spans="3:24" x14ac:dyDescent="0.2">
      <c r="H42" s="11" t="s">
        <v>196</v>
      </c>
    </row>
    <row r="43" spans="3:24" x14ac:dyDescent="0.2">
      <c r="H43" s="11" t="s">
        <v>197</v>
      </c>
    </row>
    <row r="44" spans="3:24" x14ac:dyDescent="0.2">
      <c r="H44" s="11" t="s">
        <v>198</v>
      </c>
    </row>
    <row r="45" spans="3:24" x14ac:dyDescent="0.2">
      <c r="H45" s="63" t="s">
        <v>199</v>
      </c>
    </row>
    <row r="48" spans="3:24" x14ac:dyDescent="0.2">
      <c r="F48" s="12" t="s">
        <v>200</v>
      </c>
    </row>
    <row r="49" spans="4:35" ht="13.5" thickBot="1" x14ac:dyDescent="0.25">
      <c r="H49" s="12"/>
      <c r="I49" s="12"/>
      <c r="J49" s="12"/>
      <c r="K49" s="12"/>
      <c r="L49" s="12"/>
      <c r="M49" s="12"/>
      <c r="N49" s="12"/>
      <c r="O49" s="12"/>
      <c r="P49" s="12"/>
    </row>
    <row r="50" spans="4:35" x14ac:dyDescent="0.2">
      <c r="F50" s="12" t="s">
        <v>201</v>
      </c>
      <c r="H50" s="64" t="s">
        <v>202</v>
      </c>
      <c r="I50" s="64"/>
      <c r="J50" s="64"/>
      <c r="K50" s="64"/>
      <c r="L50" s="64"/>
      <c r="M50" s="65" t="s">
        <v>203</v>
      </c>
      <c r="N50" s="65"/>
      <c r="O50" s="65"/>
      <c r="P50" s="65"/>
      <c r="Q50" s="65"/>
      <c r="R50" s="66" t="s">
        <v>204</v>
      </c>
      <c r="S50" s="67"/>
      <c r="T50" s="67"/>
      <c r="U50" s="67"/>
      <c r="V50" s="67"/>
      <c r="W50" s="67"/>
      <c r="X50" s="67"/>
      <c r="Y50" s="67"/>
      <c r="Z50" s="67"/>
      <c r="AA50" s="68"/>
      <c r="AF50" s="15"/>
      <c r="AG50" s="15"/>
      <c r="AH50" s="15"/>
    </row>
    <row r="51" spans="4:35" ht="38.25" x14ac:dyDescent="0.2">
      <c r="F51" s="69"/>
      <c r="G51" s="69" t="s">
        <v>165</v>
      </c>
      <c r="H51" s="69">
        <v>2022</v>
      </c>
      <c r="I51" s="69">
        <f t="shared" ref="I51:AA51" si="5">H51+1</f>
        <v>2023</v>
      </c>
      <c r="J51" s="69">
        <f t="shared" si="5"/>
        <v>2024</v>
      </c>
      <c r="K51" s="69">
        <f t="shared" si="5"/>
        <v>2025</v>
      </c>
      <c r="L51" s="69">
        <f t="shared" si="5"/>
        <v>2026</v>
      </c>
      <c r="M51" s="69">
        <f t="shared" si="5"/>
        <v>2027</v>
      </c>
      <c r="N51" s="69">
        <f t="shared" si="5"/>
        <v>2028</v>
      </c>
      <c r="O51" s="69">
        <f t="shared" si="5"/>
        <v>2029</v>
      </c>
      <c r="P51" s="69">
        <f t="shared" si="5"/>
        <v>2030</v>
      </c>
      <c r="Q51" s="70">
        <f t="shared" si="5"/>
        <v>2031</v>
      </c>
      <c r="R51" s="71">
        <f t="shared" si="5"/>
        <v>2032</v>
      </c>
      <c r="S51" s="69">
        <f t="shared" si="5"/>
        <v>2033</v>
      </c>
      <c r="T51" s="69">
        <f t="shared" si="5"/>
        <v>2034</v>
      </c>
      <c r="U51" s="69">
        <f t="shared" si="5"/>
        <v>2035</v>
      </c>
      <c r="V51" s="69">
        <f t="shared" si="5"/>
        <v>2036</v>
      </c>
      <c r="W51" s="69">
        <f t="shared" si="5"/>
        <v>2037</v>
      </c>
      <c r="X51" s="69">
        <f t="shared" si="5"/>
        <v>2038</v>
      </c>
      <c r="Y51" s="69">
        <f t="shared" si="5"/>
        <v>2039</v>
      </c>
      <c r="Z51" s="69">
        <f t="shared" si="5"/>
        <v>2040</v>
      </c>
      <c r="AA51" s="72">
        <f t="shared" si="5"/>
        <v>2041</v>
      </c>
      <c r="AE51" s="21" t="s">
        <v>205</v>
      </c>
      <c r="AF51" s="21" t="s">
        <v>206</v>
      </c>
      <c r="AG51" s="21" t="s">
        <v>207</v>
      </c>
      <c r="AH51" s="21"/>
      <c r="AI51" s="21" t="s">
        <v>208</v>
      </c>
    </row>
    <row r="52" spans="4:35" ht="15" x14ac:dyDescent="0.25">
      <c r="D52" s="11" t="str">
        <f t="shared" ref="D52:D65" si="6">F52&amp;"-"&amp;G52</f>
        <v>SR-WR</v>
      </c>
      <c r="F52" s="34" t="str">
        <f t="shared" ref="F52:G65" si="7">E20</f>
        <v>SR</v>
      </c>
      <c r="G52" s="34" t="str">
        <f t="shared" si="7"/>
        <v>WR</v>
      </c>
      <c r="H52" s="37">
        <f t="shared" ref="H52:H65" si="8">_xlfn.IFNA(INDEX($H$10:$H$16,MATCH(D52,$C$10:$C$16,0)),INDEX($H$10:$H$16,MATCH(D52,$B$10:$B$16,0)))*INDEX($N$20:$N$33,MATCH(D52,$C$20:$C$33,0))</f>
        <v>16186.856330014225</v>
      </c>
      <c r="I52" s="37">
        <f t="shared" ref="I52:I65" si="9">_xlfn.IFNA(INDEX($L$10:$L$16,MATCH(D52,$C$10:$C$16,0)),INDEX($L$10:$L$16,MATCH(D52,$B$10:$B$16,0)))*INDEX($N$20:$N$33,MATCH(D52,$C$20:$C$33,0))</f>
        <v>16186.856330014225</v>
      </c>
      <c r="J52" s="37">
        <f t="shared" ref="J52:J65" si="10">_xlfn.IFNA(INDEX($P$10:$P$16,MATCH(D52,$C$10:$C$16,0)),INDEX($P$10:$P$16,MATCH(D52,$B$10:$B$16,0)))*INDEX($N$20:$N$33,MATCH(D52,$C$20:$C$33,0))</f>
        <v>19938.77667140825</v>
      </c>
      <c r="K52" s="37">
        <f t="shared" ref="K52:K65" si="11">_xlfn.IFNA(INDEX($R$10:$R$16,MATCH(D52,$C$10:$C$16,0)),INDEX($R$10:$R$16,MATCH(D52,$B$10:$B$16,0)))*INDEX($N$20:$N$33,MATCH(D52,$C$20:$C$33,0))</f>
        <v>19938.77667140825</v>
      </c>
      <c r="L52" s="37">
        <f t="shared" ref="L52:L65" si="12">_xlfn.IFNA(INDEX($T$10:$T$16,MATCH(D52,$C$10:$C$16,0)),INDEX($T$10:$T$16,MATCH(D52,$B$10:$B$16,0)))*INDEX($N$20:$N$33,MATCH(D52,$C$20:$C$33,0))</f>
        <v>19938.77667140825</v>
      </c>
      <c r="M52" s="37">
        <f t="shared" ref="M52:M65" si="13">_xlfn.IFNA(INDEX($T$10:$T$16,MATCH(D52,$C$10:$C$16,0)),INDEX($T$10:$T$16,MATCH(D52,$B$10:$B$16,0)))*INDEX($N$20:$N$33,MATCH(D52,$C$20:$C$33,0))</f>
        <v>19938.77667140825</v>
      </c>
      <c r="N52" s="37">
        <f t="shared" ref="N52:N65" si="14">_xlfn.IFNA(INDEX($Q$10:$Q$16,MATCH(D52,$C$10:$C$16,0)),INDEX($Q$10:$Q$16,MATCH(D52,$B$10:$B$16,0)))*INDEX($R$20:$R$33,MATCH(D52,$C$20:$C$33,0))</f>
        <v>25120</v>
      </c>
      <c r="O52" s="37">
        <f t="shared" ref="O52:O65" si="15">_xlfn.IFNA(INDEX($Q$10:$Q$16,MATCH(D52,$C$10:$C$16,0)),INDEX($Q$10:$Q$16,MATCH(D52,$B$10:$B$16,0)))*INDEX($R$20:$R$33,MATCH(D52,$C$20:$C$33,0))</f>
        <v>25120</v>
      </c>
      <c r="P52" s="37">
        <f t="shared" ref="P52:P65" si="16">_xlfn.IFNA(INDEX($S$10:$S$16,MATCH(D52,$C$10:$C$16,0)),INDEX($Q$10:$Q$16,MATCH(D52,$B$10:$B$16,0)))*INDEX($T$20:$T$33,MATCH(D52,$C$20:$C$33,0))</f>
        <v>25120</v>
      </c>
      <c r="Q52" s="73">
        <f t="shared" ref="Q52:Q65" si="17">_xlfn.IFNA(INDEX($U$10:$U$16,MATCH(D52,$C$10:$C$16,0)),INDEX($Q$10:$Q$16,MATCH(D52,$B$10:$B$16,0)))*INDEX($V$20:$V$33,MATCH(D52,$C$20:$C$33,0))</f>
        <v>25509.851485148516</v>
      </c>
      <c r="R52" s="74">
        <f t="shared" ref="R52:AA65" si="18">Q52*(1+MAX($AG52,$AF$67))</f>
        <v>27026.40071880956</v>
      </c>
      <c r="S52" s="37">
        <f t="shared" si="18"/>
        <v>28633.10812447944</v>
      </c>
      <c r="T52" s="37">
        <f t="shared" si="18"/>
        <v>30335.33356506241</v>
      </c>
      <c r="U52" s="37">
        <f t="shared" si="18"/>
        <v>32138.755544909334</v>
      </c>
      <c r="V52" s="37">
        <f t="shared" si="18"/>
        <v>34049.390152908818</v>
      </c>
      <c r="W52" s="37">
        <f t="shared" si="18"/>
        <v>36073.611131736638</v>
      </c>
      <c r="X52" s="37">
        <f t="shared" si="18"/>
        <v>38218.171140213031</v>
      </c>
      <c r="Y52" s="37">
        <f t="shared" si="18"/>
        <v>40490.224279697599</v>
      </c>
      <c r="Z52" s="37">
        <f t="shared" si="18"/>
        <v>42897.349959668274</v>
      </c>
      <c r="AA52" s="75">
        <f t="shared" si="18"/>
        <v>45447.57818209831</v>
      </c>
      <c r="AB52" s="76"/>
      <c r="AC52" s="77" t="str">
        <f t="shared" ref="AC52:AC65" si="19">D52</f>
        <v>SR-WR</v>
      </c>
      <c r="AE52" s="78">
        <f t="shared" ref="AE52:AE65" si="20">IFERROR((L52/H52)^(1/(L$51-H$51)),1)-1</f>
        <v>5.3498688353770696E-2</v>
      </c>
      <c r="AF52" s="78">
        <f>IFERROR((P52/L52)^(1/(P$51-L$51)),1)-1</f>
        <v>5.9449551658266486E-2</v>
      </c>
      <c r="AG52" s="78">
        <f>AF52</f>
        <v>5.9449551658266486E-2</v>
      </c>
      <c r="AH52" s="78"/>
      <c r="AI52" s="78">
        <f t="shared" ref="AI52:AI65" si="21">(AA52/J52)^(1/($AA$51-$J$51))-1</f>
        <v>4.9657899704978137E-2</v>
      </c>
    </row>
    <row r="53" spans="4:35" ht="15" x14ac:dyDescent="0.25">
      <c r="D53" s="11" t="str">
        <f t="shared" si="6"/>
        <v>WR-SR</v>
      </c>
      <c r="F53" s="34" t="str">
        <f t="shared" si="7"/>
        <v>WR</v>
      </c>
      <c r="G53" s="34" t="str">
        <f t="shared" si="7"/>
        <v>SR</v>
      </c>
      <c r="H53" s="37">
        <f t="shared" si="8"/>
        <v>18120</v>
      </c>
      <c r="I53" s="37">
        <f t="shared" si="9"/>
        <v>18120</v>
      </c>
      <c r="J53" s="37">
        <f t="shared" si="10"/>
        <v>22320</v>
      </c>
      <c r="K53" s="37">
        <f t="shared" si="11"/>
        <v>22320</v>
      </c>
      <c r="L53" s="37">
        <f t="shared" si="12"/>
        <v>22320</v>
      </c>
      <c r="M53" s="37">
        <f t="shared" si="13"/>
        <v>22320</v>
      </c>
      <c r="N53" s="37">
        <f t="shared" si="14"/>
        <v>28120</v>
      </c>
      <c r="O53" s="37">
        <f t="shared" si="15"/>
        <v>28120</v>
      </c>
      <c r="P53" s="37">
        <f t="shared" si="16"/>
        <v>28120</v>
      </c>
      <c r="Q53" s="73">
        <f t="shared" si="17"/>
        <v>32320</v>
      </c>
      <c r="R53" s="74">
        <f t="shared" si="18"/>
        <v>34241.409509595171</v>
      </c>
      <c r="S53" s="37">
        <f t="shared" si="18"/>
        <v>36277.045953087705</v>
      </c>
      <c r="T53" s="37">
        <f t="shared" si="18"/>
        <v>38433.700070485102</v>
      </c>
      <c r="U53" s="37">
        <f t="shared" si="18"/>
        <v>40718.566308243724</v>
      </c>
      <c r="V53" s="37">
        <f t="shared" si="18"/>
        <v>43139.266819436212</v>
      </c>
      <c r="W53" s="37">
        <f t="shared" si="18"/>
        <v>45703.876890718027</v>
      </c>
      <c r="X53" s="37">
        <f t="shared" si="18"/>
        <v>48420.951880915818</v>
      </c>
      <c r="Y53" s="37">
        <f t="shared" si="18"/>
        <v>51299.555761102762</v>
      </c>
      <c r="Z53" s="37">
        <f t="shared" si="18"/>
        <v>54349.291351368563</v>
      </c>
      <c r="AA53" s="75">
        <f t="shared" si="18"/>
        <v>57580.332355151928</v>
      </c>
      <c r="AB53" s="76"/>
      <c r="AC53" s="77" t="str">
        <f t="shared" si="19"/>
        <v>WR-SR</v>
      </c>
      <c r="AE53" s="78">
        <f t="shared" si="20"/>
        <v>5.3498688353770918E-2</v>
      </c>
      <c r="AF53" s="78">
        <f>IFERROR((P53/L53)^(1/(P$51-L$51)),1)-1</f>
        <v>5.9449551658266486E-2</v>
      </c>
      <c r="AG53" s="78">
        <f>AF53</f>
        <v>5.9449551658266486E-2</v>
      </c>
      <c r="AH53" s="78"/>
      <c r="AI53" s="78">
        <f t="shared" si="21"/>
        <v>5.733007817825686E-2</v>
      </c>
    </row>
    <row r="54" spans="4:35" ht="15" x14ac:dyDescent="0.25">
      <c r="D54" s="11" t="str">
        <f t="shared" si="6"/>
        <v>SR-ER</v>
      </c>
      <c r="F54" s="23" t="str">
        <f t="shared" si="7"/>
        <v>SR</v>
      </c>
      <c r="G54" s="23" t="str">
        <f t="shared" si="7"/>
        <v>ER</v>
      </c>
      <c r="H54" s="41">
        <f t="shared" si="8"/>
        <v>5830</v>
      </c>
      <c r="I54" s="41">
        <f t="shared" si="9"/>
        <v>5830</v>
      </c>
      <c r="J54" s="41">
        <f t="shared" si="10"/>
        <v>5830</v>
      </c>
      <c r="K54" s="41">
        <f t="shared" si="11"/>
        <v>5830</v>
      </c>
      <c r="L54" s="41">
        <f t="shared" si="12"/>
        <v>5830</v>
      </c>
      <c r="M54" s="41">
        <f t="shared" si="13"/>
        <v>5830</v>
      </c>
      <c r="N54" s="41">
        <f t="shared" si="14"/>
        <v>5830</v>
      </c>
      <c r="O54" s="41">
        <f t="shared" si="15"/>
        <v>5830</v>
      </c>
      <c r="P54" s="41">
        <f t="shared" si="16"/>
        <v>5830</v>
      </c>
      <c r="Q54" s="79">
        <f t="shared" si="17"/>
        <v>6202.8179551122194</v>
      </c>
      <c r="R54" s="80">
        <f t="shared" si="18"/>
        <v>6427.4240888809409</v>
      </c>
      <c r="S54" s="41">
        <f t="shared" si="18"/>
        <v>6660.1632866363225</v>
      </c>
      <c r="T54" s="41">
        <f t="shared" si="18"/>
        <v>6901.3300493730667</v>
      </c>
      <c r="U54" s="41">
        <f t="shared" si="18"/>
        <v>7151.2295420663904</v>
      </c>
      <c r="V54" s="41">
        <f t="shared" si="18"/>
        <v>7410.1779798183634</v>
      </c>
      <c r="W54" s="41">
        <f t="shared" si="18"/>
        <v>7678.5030279867333</v>
      </c>
      <c r="X54" s="41">
        <f t="shared" si="18"/>
        <v>7956.5442168025538</v>
      </c>
      <c r="Y54" s="41">
        <f t="shared" si="18"/>
        <v>8244.6533710012554</v>
      </c>
      <c r="Z54" s="41">
        <f t="shared" si="18"/>
        <v>8543.1950550108013</v>
      </c>
      <c r="AA54" s="81">
        <f t="shared" si="18"/>
        <v>8852.5470342602584</v>
      </c>
      <c r="AB54" s="76"/>
      <c r="AC54" s="77" t="str">
        <f t="shared" si="19"/>
        <v>SR-ER</v>
      </c>
      <c r="AE54" s="78">
        <f t="shared" si="20"/>
        <v>0</v>
      </c>
      <c r="AF54" s="78">
        <f>IFERROR((P54/L54)^(1/(P$51-L$51)),1)-1</f>
        <v>0</v>
      </c>
      <c r="AG54" s="78">
        <f>AF54</f>
        <v>0</v>
      </c>
      <c r="AH54" s="78"/>
      <c r="AI54" s="78">
        <f t="shared" si="21"/>
        <v>2.4874222352317954E-2</v>
      </c>
    </row>
    <row r="55" spans="4:35" ht="15" x14ac:dyDescent="0.25">
      <c r="D55" s="11" t="str">
        <f t="shared" si="6"/>
        <v>ER-SR</v>
      </c>
      <c r="F55" s="23" t="str">
        <f t="shared" si="7"/>
        <v>ER</v>
      </c>
      <c r="G55" s="23" t="str">
        <f t="shared" si="7"/>
        <v>SR</v>
      </c>
      <c r="H55" s="41">
        <f t="shared" si="8"/>
        <v>7830</v>
      </c>
      <c r="I55" s="41">
        <f t="shared" si="9"/>
        <v>7830</v>
      </c>
      <c r="J55" s="41">
        <f t="shared" si="10"/>
        <v>7830</v>
      </c>
      <c r="K55" s="41">
        <f t="shared" si="11"/>
        <v>7830</v>
      </c>
      <c r="L55" s="41">
        <f t="shared" si="12"/>
        <v>7830</v>
      </c>
      <c r="M55" s="41">
        <f t="shared" si="13"/>
        <v>7830</v>
      </c>
      <c r="N55" s="41">
        <f t="shared" si="14"/>
        <v>7830</v>
      </c>
      <c r="O55" s="41">
        <f t="shared" si="15"/>
        <v>7830</v>
      </c>
      <c r="P55" s="41">
        <f t="shared" si="16"/>
        <v>7830</v>
      </c>
      <c r="Q55" s="79">
        <f t="shared" si="17"/>
        <v>12030</v>
      </c>
      <c r="R55" s="80">
        <f t="shared" si="18"/>
        <v>12465.610364320104</v>
      </c>
      <c r="S55" s="41">
        <f t="shared" si="18"/>
        <v>12916.994327102642</v>
      </c>
      <c r="T55" s="41">
        <f t="shared" si="18"/>
        <v>13384.723055677032</v>
      </c>
      <c r="U55" s="41">
        <f t="shared" si="18"/>
        <v>13869.388399534651</v>
      </c>
      <c r="V55" s="41">
        <f t="shared" si="18"/>
        <v>14371.603639236922</v>
      </c>
      <c r="W55" s="41">
        <f t="shared" si="18"/>
        <v>14892.004262441587</v>
      </c>
      <c r="X55" s="41">
        <f t="shared" si="18"/>
        <v>15431.248768029178</v>
      </c>
      <c r="Y55" s="41">
        <f t="shared" si="18"/>
        <v>15990.019499347161</v>
      </c>
      <c r="Z55" s="41">
        <f t="shared" si="18"/>
        <v>16569.023507626145</v>
      </c>
      <c r="AA55" s="81">
        <f t="shared" si="18"/>
        <v>17168.993446660676</v>
      </c>
      <c r="AB55" s="76"/>
      <c r="AC55" s="77" t="str">
        <f t="shared" si="19"/>
        <v>ER-SR</v>
      </c>
      <c r="AE55" s="78">
        <f t="shared" si="20"/>
        <v>0</v>
      </c>
      <c r="AF55" s="78">
        <f>IFERROR((P55/L55)^(1/(P$51-L$51)),1)-1</f>
        <v>0</v>
      </c>
      <c r="AG55" s="78">
        <f>AF55</f>
        <v>0</v>
      </c>
      <c r="AH55" s="78"/>
      <c r="AI55" s="78">
        <f t="shared" si="21"/>
        <v>4.7267986120691718E-2</v>
      </c>
    </row>
    <row r="56" spans="4:35" ht="15" x14ac:dyDescent="0.25">
      <c r="D56" s="11" t="str">
        <f t="shared" si="6"/>
        <v>WR-NR</v>
      </c>
      <c r="F56" s="43" t="str">
        <f t="shared" si="7"/>
        <v>WR</v>
      </c>
      <c r="G56" s="43" t="str">
        <f t="shared" si="7"/>
        <v>NR</v>
      </c>
      <c r="H56" s="48">
        <f t="shared" si="8"/>
        <v>32573.495679497253</v>
      </c>
      <c r="I56" s="48">
        <f t="shared" si="9"/>
        <v>32573.495679497253</v>
      </c>
      <c r="J56" s="48">
        <f t="shared" si="10"/>
        <v>32573.495679497253</v>
      </c>
      <c r="K56" s="48">
        <f t="shared" si="11"/>
        <v>33992.820109976434</v>
      </c>
      <c r="L56" s="48">
        <f t="shared" si="12"/>
        <v>33992.820109976434</v>
      </c>
      <c r="M56" s="48">
        <f t="shared" si="13"/>
        <v>33992.820109976434</v>
      </c>
      <c r="N56" s="48">
        <f t="shared" si="14"/>
        <v>46720</v>
      </c>
      <c r="O56" s="48">
        <f t="shared" si="15"/>
        <v>46720</v>
      </c>
      <c r="P56" s="48">
        <f t="shared" si="16"/>
        <v>50920</v>
      </c>
      <c r="Q56" s="82">
        <f t="shared" si="17"/>
        <v>61120</v>
      </c>
      <c r="R56" s="83">
        <f t="shared" si="18"/>
        <v>65364.756597353247</v>
      </c>
      <c r="S56" s="48">
        <f t="shared" si="18"/>
        <v>69904.309637291153</v>
      </c>
      <c r="T56" s="48">
        <f t="shared" si="18"/>
        <v>74759.132600581666</v>
      </c>
      <c r="U56" s="48">
        <f t="shared" si="18"/>
        <v>79951.120842052958</v>
      </c>
      <c r="V56" s="48">
        <f t="shared" si="18"/>
        <v>85503.690339109424</v>
      </c>
      <c r="W56" s="48">
        <f t="shared" si="18"/>
        <v>91441.883298287823</v>
      </c>
      <c r="X56" s="48">
        <f t="shared" si="18"/>
        <v>97792.481096141433</v>
      </c>
      <c r="Y56" s="48">
        <f t="shared" si="18"/>
        <v>104584.12506381796</v>
      </c>
      <c r="Z56" s="48">
        <f t="shared" si="18"/>
        <v>111847.44566007219</v>
      </c>
      <c r="AA56" s="84">
        <f t="shared" si="18"/>
        <v>119615.20061528652</v>
      </c>
      <c r="AB56" s="76"/>
      <c r="AC56" s="77" t="str">
        <f t="shared" si="19"/>
        <v>WR-NR</v>
      </c>
      <c r="AE56" s="78">
        <f t="shared" si="20"/>
        <v>1.0719644903137038E-2</v>
      </c>
      <c r="AF56" s="78">
        <f t="shared" ref="AF56:AF65" si="22">IFERROR((P56/L56)^(1/(P$51-L$51)),1)-1</f>
        <v>0.10630608145134435</v>
      </c>
      <c r="AG56" s="85">
        <f>AG52+1%</f>
        <v>6.9449551658266481E-2</v>
      </c>
      <c r="AH56" s="11" t="s">
        <v>209</v>
      </c>
      <c r="AI56" s="78">
        <f t="shared" si="21"/>
        <v>7.952003320526746E-2</v>
      </c>
    </row>
    <row r="57" spans="4:35" ht="15" x14ac:dyDescent="0.25">
      <c r="D57" s="11" t="str">
        <f t="shared" si="6"/>
        <v>NR-WR</v>
      </c>
      <c r="F57" s="43" t="str">
        <f t="shared" si="7"/>
        <v>NR</v>
      </c>
      <c r="G57" s="43" t="str">
        <f t="shared" si="7"/>
        <v>WR</v>
      </c>
      <c r="H57" s="48">
        <f t="shared" si="8"/>
        <v>36720</v>
      </c>
      <c r="I57" s="48">
        <f t="shared" si="9"/>
        <v>36720</v>
      </c>
      <c r="J57" s="48">
        <f t="shared" si="10"/>
        <v>36720</v>
      </c>
      <c r="K57" s="48">
        <f t="shared" si="11"/>
        <v>38320</v>
      </c>
      <c r="L57" s="48">
        <f t="shared" si="12"/>
        <v>38320</v>
      </c>
      <c r="M57" s="48">
        <f t="shared" si="13"/>
        <v>38320</v>
      </c>
      <c r="N57" s="48">
        <f t="shared" si="14"/>
        <v>40720</v>
      </c>
      <c r="O57" s="48">
        <f t="shared" si="15"/>
        <v>40720</v>
      </c>
      <c r="P57" s="48">
        <f t="shared" si="16"/>
        <v>41193.186119873812</v>
      </c>
      <c r="Q57" s="82">
        <f t="shared" si="17"/>
        <v>42133.612565445022</v>
      </c>
      <c r="R57" s="83">
        <f t="shared" si="18"/>
        <v>43659.284911226867</v>
      </c>
      <c r="S57" s="48">
        <f t="shared" si="18"/>
        <v>45240.202368095925</v>
      </c>
      <c r="T57" s="48">
        <f t="shared" si="18"/>
        <v>46878.365380189149</v>
      </c>
      <c r="U57" s="48">
        <f t="shared" si="18"/>
        <v>48575.846828401547</v>
      </c>
      <c r="V57" s="48">
        <f t="shared" si="18"/>
        <v>50334.794653345649</v>
      </c>
      <c r="W57" s="48">
        <f t="shared" si="18"/>
        <v>52157.434573289247</v>
      </c>
      <c r="X57" s="48">
        <f t="shared" si="18"/>
        <v>54046.072900510568</v>
      </c>
      <c r="Y57" s="48">
        <f t="shared" si="18"/>
        <v>56003.099459634614</v>
      </c>
      <c r="Z57" s="48">
        <f t="shared" si="18"/>
        <v>58030.990611643465</v>
      </c>
      <c r="AA57" s="84">
        <f t="shared" si="18"/>
        <v>60132.312387386984</v>
      </c>
      <c r="AB57" s="76"/>
      <c r="AC57" s="77" t="str">
        <f t="shared" si="19"/>
        <v>NR-WR</v>
      </c>
      <c r="AE57" s="78">
        <f t="shared" si="20"/>
        <v>1.0719644903137038E-2</v>
      </c>
      <c r="AF57" s="78">
        <f t="shared" si="22"/>
        <v>1.8239571633207774E-2</v>
      </c>
      <c r="AG57" s="78">
        <f t="shared" ref="AG57:AG65" si="23">AF57</f>
        <v>1.8239571633207774E-2</v>
      </c>
      <c r="AH57" s="78"/>
      <c r="AI57" s="78">
        <f t="shared" si="21"/>
        <v>2.9438266234494304E-2</v>
      </c>
    </row>
    <row r="58" spans="4:35" ht="15" x14ac:dyDescent="0.25">
      <c r="D58" s="11" t="str">
        <f t="shared" si="6"/>
        <v>WR-ER</v>
      </c>
      <c r="F58" s="23" t="str">
        <f t="shared" si="7"/>
        <v>WR</v>
      </c>
      <c r="G58" s="23" t="str">
        <f t="shared" si="7"/>
        <v>ER</v>
      </c>
      <c r="H58" s="41">
        <f t="shared" si="8"/>
        <v>21190</v>
      </c>
      <c r="I58" s="41">
        <f t="shared" si="9"/>
        <v>21190</v>
      </c>
      <c r="J58" s="41">
        <f t="shared" si="10"/>
        <v>21190</v>
      </c>
      <c r="K58" s="41">
        <f t="shared" si="11"/>
        <v>21190</v>
      </c>
      <c r="L58" s="41">
        <f t="shared" si="12"/>
        <v>22790</v>
      </c>
      <c r="M58" s="41">
        <f t="shared" si="13"/>
        <v>22790</v>
      </c>
      <c r="N58" s="41">
        <f t="shared" si="14"/>
        <v>22790</v>
      </c>
      <c r="O58" s="41">
        <f t="shared" si="15"/>
        <v>22790</v>
      </c>
      <c r="P58" s="41">
        <f t="shared" si="16"/>
        <v>22790</v>
      </c>
      <c r="Q58" s="79">
        <f t="shared" si="17"/>
        <v>22790</v>
      </c>
      <c r="R58" s="80">
        <f t="shared" si="18"/>
        <v>23615.233599572333</v>
      </c>
      <c r="S58" s="41">
        <f t="shared" si="18"/>
        <v>24470.349186589297</v>
      </c>
      <c r="T58" s="41">
        <f t="shared" si="18"/>
        <v>25356.428797911853</v>
      </c>
      <c r="U58" s="41">
        <f t="shared" si="18"/>
        <v>26274.593651321258</v>
      </c>
      <c r="V58" s="41">
        <f t="shared" si="18"/>
        <v>27226.005564273441</v>
      </c>
      <c r="W58" s="41">
        <f t="shared" si="18"/>
        <v>28211.868424026918</v>
      </c>
      <c r="X58" s="41">
        <f t="shared" si="18"/>
        <v>29233.429711004574</v>
      </c>
      <c r="Y58" s="41">
        <f t="shared" si="18"/>
        <v>30291.982077316865</v>
      </c>
      <c r="Z58" s="41">
        <f t="shared" si="18"/>
        <v>31388.864982443883</v>
      </c>
      <c r="AA58" s="81">
        <f t="shared" si="18"/>
        <v>32525.46638814604</v>
      </c>
      <c r="AB58" s="76"/>
      <c r="AC58" s="77" t="str">
        <f t="shared" si="19"/>
        <v>WR-ER</v>
      </c>
      <c r="AE58" s="78">
        <f t="shared" si="20"/>
        <v>1.8364712525147153E-2</v>
      </c>
      <c r="AF58" s="78">
        <f t="shared" si="22"/>
        <v>0</v>
      </c>
      <c r="AG58" s="78">
        <f t="shared" si="23"/>
        <v>0</v>
      </c>
      <c r="AH58" s="78"/>
      <c r="AI58" s="78">
        <f t="shared" si="21"/>
        <v>2.5525874075948751E-2</v>
      </c>
    </row>
    <row r="59" spans="4:35" ht="15" x14ac:dyDescent="0.25">
      <c r="D59" s="11" t="str">
        <f t="shared" si="6"/>
        <v>ER-WR</v>
      </c>
      <c r="F59" s="23" t="str">
        <f t="shared" si="7"/>
        <v>ER</v>
      </c>
      <c r="G59" s="23" t="str">
        <f t="shared" si="7"/>
        <v>WR</v>
      </c>
      <c r="H59" s="41">
        <f t="shared" si="8"/>
        <v>21190</v>
      </c>
      <c r="I59" s="41">
        <f t="shared" si="9"/>
        <v>21190</v>
      </c>
      <c r="J59" s="41">
        <f t="shared" si="10"/>
        <v>21190</v>
      </c>
      <c r="K59" s="41">
        <f t="shared" si="11"/>
        <v>21190</v>
      </c>
      <c r="L59" s="41">
        <f t="shared" si="12"/>
        <v>22790</v>
      </c>
      <c r="M59" s="41">
        <f t="shared" si="13"/>
        <v>22790</v>
      </c>
      <c r="N59" s="41">
        <f t="shared" si="14"/>
        <v>22790</v>
      </c>
      <c r="O59" s="41">
        <f t="shared" si="15"/>
        <v>22790</v>
      </c>
      <c r="P59" s="41">
        <f t="shared" si="16"/>
        <v>22790</v>
      </c>
      <c r="Q59" s="79">
        <f t="shared" si="17"/>
        <v>26990</v>
      </c>
      <c r="R59" s="80">
        <f t="shared" si="18"/>
        <v>27967.317018536956</v>
      </c>
      <c r="S59" s="41">
        <f t="shared" si="18"/>
        <v>28980.02301650044</v>
      </c>
      <c r="T59" s="41">
        <f t="shared" si="18"/>
        <v>30029.399440791607</v>
      </c>
      <c r="U59" s="41">
        <f t="shared" si="18"/>
        <v>31116.774139936839</v>
      </c>
      <c r="V59" s="41">
        <f t="shared" si="18"/>
        <v>32243.523044306272</v>
      </c>
      <c r="W59" s="41">
        <f t="shared" si="18"/>
        <v>33411.071907173595</v>
      </c>
      <c r="X59" s="41">
        <f t="shared" si="18"/>
        <v>34620.898108820234</v>
      </c>
      <c r="Y59" s="41">
        <f t="shared" si="18"/>
        <v>35874.53252596673</v>
      </c>
      <c r="Z59" s="41">
        <f t="shared" si="18"/>
        <v>37173.561468896885</v>
      </c>
      <c r="AA59" s="81">
        <f t="shared" si="18"/>
        <v>38519.62868872581</v>
      </c>
      <c r="AB59" s="76"/>
      <c r="AC59" s="77" t="str">
        <f t="shared" si="19"/>
        <v>ER-WR</v>
      </c>
      <c r="AE59" s="78">
        <f t="shared" si="20"/>
        <v>1.8364712525147153E-2</v>
      </c>
      <c r="AF59" s="78">
        <f t="shared" si="22"/>
        <v>0</v>
      </c>
      <c r="AG59" s="78">
        <f t="shared" si="23"/>
        <v>0</v>
      </c>
      <c r="AH59" s="78"/>
      <c r="AI59" s="78">
        <f t="shared" si="21"/>
        <v>3.5780460123902014E-2</v>
      </c>
    </row>
    <row r="60" spans="4:35" ht="15" x14ac:dyDescent="0.25">
      <c r="D60" s="11" t="str">
        <f t="shared" si="6"/>
        <v>ER-NER</v>
      </c>
      <c r="F60" s="50" t="str">
        <f t="shared" si="7"/>
        <v>ER</v>
      </c>
      <c r="G60" s="50" t="str">
        <f t="shared" si="7"/>
        <v>NER</v>
      </c>
      <c r="H60" s="52">
        <f t="shared" si="8"/>
        <v>2860</v>
      </c>
      <c r="I60" s="52">
        <f t="shared" si="9"/>
        <v>2860</v>
      </c>
      <c r="J60" s="52">
        <f t="shared" si="10"/>
        <v>2950</v>
      </c>
      <c r="K60" s="52">
        <f t="shared" si="11"/>
        <v>3550</v>
      </c>
      <c r="L60" s="52">
        <f t="shared" si="12"/>
        <v>3550</v>
      </c>
      <c r="M60" s="52">
        <f t="shared" si="13"/>
        <v>3550</v>
      </c>
      <c r="N60" s="52">
        <f t="shared" si="14"/>
        <v>3550</v>
      </c>
      <c r="O60" s="52">
        <f t="shared" si="15"/>
        <v>3550</v>
      </c>
      <c r="P60" s="52">
        <f t="shared" si="16"/>
        <v>3550</v>
      </c>
      <c r="Q60" s="86">
        <f t="shared" si="17"/>
        <v>3550</v>
      </c>
      <c r="R60" s="87">
        <f t="shared" si="18"/>
        <v>3678.5466993629566</v>
      </c>
      <c r="S60" s="52">
        <f t="shared" si="18"/>
        <v>3811.7481181391836</v>
      </c>
      <c r="T60" s="52">
        <f t="shared" si="18"/>
        <v>3949.7728052912266</v>
      </c>
      <c r="U60" s="52">
        <f t="shared" si="18"/>
        <v>4092.7954129965092</v>
      </c>
      <c r="V60" s="52">
        <f t="shared" si="18"/>
        <v>4240.9969176468048</v>
      </c>
      <c r="W60" s="52">
        <f t="shared" si="18"/>
        <v>4394.5648488501765</v>
      </c>
      <c r="X60" s="52">
        <f t="shared" si="18"/>
        <v>4553.6935267251511</v>
      </c>
      <c r="Y60" s="52">
        <f t="shared" si="18"/>
        <v>4718.5843077873988</v>
      </c>
      <c r="Z60" s="52">
        <f t="shared" si="18"/>
        <v>4889.4458397400504</v>
      </c>
      <c r="AA60" s="88">
        <f t="shared" si="18"/>
        <v>5066.4943254900572</v>
      </c>
      <c r="AB60" s="76"/>
      <c r="AC60" s="77" t="str">
        <f t="shared" si="19"/>
        <v>ER-NER</v>
      </c>
      <c r="AE60" s="78">
        <f t="shared" si="20"/>
        <v>5.5517844811347139E-2</v>
      </c>
      <c r="AF60" s="78">
        <f t="shared" si="22"/>
        <v>0</v>
      </c>
      <c r="AG60" s="78">
        <f t="shared" si="23"/>
        <v>0</v>
      </c>
      <c r="AH60" s="78"/>
      <c r="AI60" s="78">
        <f t="shared" si="21"/>
        <v>3.2325836437942179E-2</v>
      </c>
    </row>
    <row r="61" spans="4:35" ht="15" x14ac:dyDescent="0.25">
      <c r="D61" s="11" t="str">
        <f t="shared" si="6"/>
        <v>NER-ER</v>
      </c>
      <c r="F61" s="50" t="str">
        <f t="shared" si="7"/>
        <v>NER</v>
      </c>
      <c r="G61" s="50" t="str">
        <f t="shared" si="7"/>
        <v>ER</v>
      </c>
      <c r="H61" s="52">
        <f t="shared" si="8"/>
        <v>2860</v>
      </c>
      <c r="I61" s="52">
        <f t="shared" si="9"/>
        <v>2860</v>
      </c>
      <c r="J61" s="52">
        <f t="shared" si="10"/>
        <v>2950</v>
      </c>
      <c r="K61" s="52">
        <f t="shared" si="11"/>
        <v>3550</v>
      </c>
      <c r="L61" s="52">
        <f t="shared" si="12"/>
        <v>3550</v>
      </c>
      <c r="M61" s="52">
        <f t="shared" si="13"/>
        <v>3550</v>
      </c>
      <c r="N61" s="52">
        <f t="shared" si="14"/>
        <v>3550</v>
      </c>
      <c r="O61" s="52">
        <f t="shared" si="15"/>
        <v>3550</v>
      </c>
      <c r="P61" s="52">
        <f t="shared" si="16"/>
        <v>3550</v>
      </c>
      <c r="Q61" s="86">
        <f t="shared" si="17"/>
        <v>3550</v>
      </c>
      <c r="R61" s="87">
        <f t="shared" si="18"/>
        <v>3678.5466993629566</v>
      </c>
      <c r="S61" s="52">
        <f t="shared" si="18"/>
        <v>3811.7481181391836</v>
      </c>
      <c r="T61" s="52">
        <f t="shared" si="18"/>
        <v>3949.7728052912266</v>
      </c>
      <c r="U61" s="52">
        <f t="shared" si="18"/>
        <v>4092.7954129965092</v>
      </c>
      <c r="V61" s="52">
        <f t="shared" si="18"/>
        <v>4240.9969176468048</v>
      </c>
      <c r="W61" s="52">
        <f t="shared" si="18"/>
        <v>4394.5648488501765</v>
      </c>
      <c r="X61" s="52">
        <f t="shared" si="18"/>
        <v>4553.6935267251511</v>
      </c>
      <c r="Y61" s="52">
        <f t="shared" si="18"/>
        <v>4718.5843077873988</v>
      </c>
      <c r="Z61" s="52">
        <f t="shared" si="18"/>
        <v>4889.4458397400504</v>
      </c>
      <c r="AA61" s="88">
        <f t="shared" si="18"/>
        <v>5066.4943254900572</v>
      </c>
      <c r="AB61" s="76"/>
      <c r="AC61" s="77" t="str">
        <f t="shared" si="19"/>
        <v>NER-ER</v>
      </c>
      <c r="AE61" s="78">
        <f t="shared" si="20"/>
        <v>5.5517844811347139E-2</v>
      </c>
      <c r="AF61" s="78">
        <f t="shared" si="22"/>
        <v>0</v>
      </c>
      <c r="AG61" s="78">
        <f t="shared" si="23"/>
        <v>0</v>
      </c>
      <c r="AH61" s="78"/>
      <c r="AI61" s="78">
        <f t="shared" si="21"/>
        <v>3.2325836437942179E-2</v>
      </c>
    </row>
    <row r="62" spans="4:35" ht="15" x14ac:dyDescent="0.25">
      <c r="D62" s="11" t="str">
        <f t="shared" si="6"/>
        <v>ER-NR</v>
      </c>
      <c r="F62" s="23" t="str">
        <f t="shared" si="7"/>
        <v>ER</v>
      </c>
      <c r="G62" s="23" t="str">
        <f t="shared" si="7"/>
        <v>NR</v>
      </c>
      <c r="H62" s="41">
        <f t="shared" si="8"/>
        <v>22530</v>
      </c>
      <c r="I62" s="41">
        <f t="shared" si="9"/>
        <v>22530</v>
      </c>
      <c r="J62" s="41">
        <f t="shared" si="10"/>
        <v>22530</v>
      </c>
      <c r="K62" s="41">
        <f t="shared" si="11"/>
        <v>22530</v>
      </c>
      <c r="L62" s="41">
        <f t="shared" si="12"/>
        <v>22530</v>
      </c>
      <c r="M62" s="41">
        <f t="shared" si="13"/>
        <v>22530</v>
      </c>
      <c r="N62" s="41">
        <f t="shared" si="14"/>
        <v>22530</v>
      </c>
      <c r="O62" s="41">
        <f t="shared" si="15"/>
        <v>22530</v>
      </c>
      <c r="P62" s="41">
        <f t="shared" si="16"/>
        <v>22530</v>
      </c>
      <c r="Q62" s="79">
        <f t="shared" si="17"/>
        <v>22530</v>
      </c>
      <c r="R62" s="80">
        <f t="shared" si="18"/>
        <v>23345.818911731665</v>
      </c>
      <c r="S62" s="41">
        <f t="shared" si="18"/>
        <v>24191.17890188051</v>
      </c>
      <c r="T62" s="41">
        <f t="shared" si="18"/>
        <v>25067.149662876436</v>
      </c>
      <c r="U62" s="41">
        <f t="shared" si="18"/>
        <v>25974.839621073625</v>
      </c>
      <c r="V62" s="41">
        <f t="shared" si="18"/>
        <v>26915.397339319024</v>
      </c>
      <c r="W62" s="41">
        <f t="shared" si="18"/>
        <v>27890.012970308311</v>
      </c>
      <c r="X62" s="41">
        <f t="shared" si="18"/>
        <v>28899.919762568363</v>
      </c>
      <c r="Y62" s="41">
        <f t="shared" si="18"/>
        <v>29946.395620971867</v>
      </c>
      <c r="Z62" s="41">
        <f t="shared" si="18"/>
        <v>31030.764723758693</v>
      </c>
      <c r="AA62" s="81">
        <f t="shared" si="18"/>
        <v>32154.399198110143</v>
      </c>
      <c r="AB62" s="76"/>
      <c r="AC62" s="77" t="str">
        <f t="shared" si="19"/>
        <v>ER-NR</v>
      </c>
      <c r="AE62" s="78">
        <f t="shared" si="20"/>
        <v>0</v>
      </c>
      <c r="AF62" s="78">
        <f t="shared" si="22"/>
        <v>0</v>
      </c>
      <c r="AG62" s="78">
        <f t="shared" si="23"/>
        <v>0</v>
      </c>
      <c r="AH62" s="78"/>
      <c r="AI62" s="78">
        <f t="shared" si="21"/>
        <v>2.1144052499428856E-2</v>
      </c>
    </row>
    <row r="63" spans="4:35" ht="15" x14ac:dyDescent="0.25">
      <c r="D63" s="11" t="str">
        <f t="shared" si="6"/>
        <v>NR-ER</v>
      </c>
      <c r="F63" s="23" t="str">
        <f t="shared" si="7"/>
        <v>NR</v>
      </c>
      <c r="G63" s="23" t="str">
        <f t="shared" si="7"/>
        <v>ER</v>
      </c>
      <c r="H63" s="41">
        <f t="shared" si="8"/>
        <v>19530</v>
      </c>
      <c r="I63" s="41">
        <f t="shared" si="9"/>
        <v>19530</v>
      </c>
      <c r="J63" s="41">
        <f t="shared" si="10"/>
        <v>19530</v>
      </c>
      <c r="K63" s="41">
        <f t="shared" si="11"/>
        <v>19530</v>
      </c>
      <c r="L63" s="41">
        <f t="shared" si="12"/>
        <v>19530</v>
      </c>
      <c r="M63" s="41">
        <f t="shared" si="13"/>
        <v>19530</v>
      </c>
      <c r="N63" s="41">
        <f t="shared" si="14"/>
        <v>19530</v>
      </c>
      <c r="O63" s="41">
        <f t="shared" si="15"/>
        <v>19530</v>
      </c>
      <c r="P63" s="41">
        <f t="shared" si="16"/>
        <v>19443.698630136987</v>
      </c>
      <c r="Q63" s="79">
        <f t="shared" si="17"/>
        <v>19530</v>
      </c>
      <c r="R63" s="80">
        <f t="shared" si="18"/>
        <v>20237.187898185504</v>
      </c>
      <c r="S63" s="41">
        <f t="shared" si="18"/>
        <v>20969.983309086834</v>
      </c>
      <c r="T63" s="41">
        <f t="shared" si="18"/>
        <v>21729.31348939089</v>
      </c>
      <c r="U63" s="41">
        <f t="shared" si="18"/>
        <v>22516.139272062486</v>
      </c>
      <c r="V63" s="41">
        <f t="shared" si="18"/>
        <v>23331.456282152707</v>
      </c>
      <c r="W63" s="41">
        <f t="shared" si="18"/>
        <v>24176.296196632102</v>
      </c>
      <c r="X63" s="41">
        <f t="shared" si="18"/>
        <v>25051.728049842881</v>
      </c>
      <c r="Y63" s="41">
        <f t="shared" si="18"/>
        <v>25958.859586221952</v>
      </c>
      <c r="Z63" s="41">
        <f t="shared" si="18"/>
        <v>26898.838662006536</v>
      </c>
      <c r="AA63" s="81">
        <f t="shared" si="18"/>
        <v>27872.85469769601</v>
      </c>
      <c r="AB63" s="76"/>
      <c r="AC63" s="77" t="str">
        <f t="shared" si="19"/>
        <v>NR-ER</v>
      </c>
      <c r="AE63" s="78">
        <f t="shared" si="20"/>
        <v>0</v>
      </c>
      <c r="AF63" s="78">
        <f t="shared" si="22"/>
        <v>-1.1065636067839613E-3</v>
      </c>
      <c r="AG63" s="78">
        <f t="shared" si="23"/>
        <v>-1.1065636067839613E-3</v>
      </c>
      <c r="AH63" s="78"/>
      <c r="AI63" s="78">
        <f t="shared" si="21"/>
        <v>2.1144052499428856E-2</v>
      </c>
    </row>
    <row r="64" spans="4:35" ht="15" x14ac:dyDescent="0.25">
      <c r="D64" s="11" t="str">
        <f t="shared" si="6"/>
        <v>NR-NER</v>
      </c>
      <c r="F64" s="55" t="str">
        <f t="shared" si="7"/>
        <v>NR</v>
      </c>
      <c r="G64" s="55" t="str">
        <f t="shared" si="7"/>
        <v>NER</v>
      </c>
      <c r="H64" s="58">
        <f t="shared" si="8"/>
        <v>1500</v>
      </c>
      <c r="I64" s="58">
        <f t="shared" si="9"/>
        <v>1500</v>
      </c>
      <c r="J64" s="58">
        <f t="shared" si="10"/>
        <v>1500</v>
      </c>
      <c r="K64" s="58">
        <f t="shared" si="11"/>
        <v>1500</v>
      </c>
      <c r="L64" s="58">
        <f t="shared" si="12"/>
        <v>1500</v>
      </c>
      <c r="M64" s="58">
        <f t="shared" si="13"/>
        <v>1500</v>
      </c>
      <c r="N64" s="58">
        <f t="shared" si="14"/>
        <v>1500</v>
      </c>
      <c r="O64" s="58">
        <f t="shared" si="15"/>
        <v>1500</v>
      </c>
      <c r="P64" s="58">
        <f t="shared" si="16"/>
        <v>1500</v>
      </c>
      <c r="Q64" s="89">
        <f t="shared" si="17"/>
        <v>1500</v>
      </c>
      <c r="R64" s="90">
        <f t="shared" si="18"/>
        <v>1554.3155067730802</v>
      </c>
      <c r="S64" s="58">
        <f t="shared" si="18"/>
        <v>1610.5977963968382</v>
      </c>
      <c r="T64" s="58">
        <f t="shared" si="18"/>
        <v>1668.9180867427719</v>
      </c>
      <c r="U64" s="58">
        <f t="shared" si="18"/>
        <v>1729.3501745055673</v>
      </c>
      <c r="V64" s="58">
        <f t="shared" si="18"/>
        <v>1791.9705285831571</v>
      </c>
      <c r="W64" s="58">
        <f t="shared" si="18"/>
        <v>1856.8583868381029</v>
      </c>
      <c r="X64" s="58">
        <f t="shared" si="18"/>
        <v>1924.0958563627401</v>
      </c>
      <c r="Y64" s="58">
        <f t="shared" si="18"/>
        <v>1993.7680173749575</v>
      </c>
      <c r="Z64" s="58">
        <f t="shared" si="18"/>
        <v>2065.9630308760779</v>
      </c>
      <c r="AA64" s="91">
        <f t="shared" si="18"/>
        <v>2140.7722502070665</v>
      </c>
      <c r="AB64" s="76"/>
      <c r="AC64" s="77" t="str">
        <f t="shared" si="19"/>
        <v>NR-NER</v>
      </c>
      <c r="AE64" s="78">
        <f t="shared" si="20"/>
        <v>0</v>
      </c>
      <c r="AF64" s="78">
        <f t="shared" si="22"/>
        <v>0</v>
      </c>
      <c r="AG64" s="78">
        <f t="shared" si="23"/>
        <v>0</v>
      </c>
      <c r="AH64" s="78"/>
      <c r="AI64" s="78">
        <f t="shared" si="21"/>
        <v>2.1144052499428856E-2</v>
      </c>
    </row>
    <row r="65" spans="4:35" ht="15.75" thickBot="1" x14ac:dyDescent="0.3">
      <c r="D65" s="11" t="str">
        <f t="shared" si="6"/>
        <v>NER-NR</v>
      </c>
      <c r="F65" s="55" t="str">
        <f t="shared" si="7"/>
        <v>NER</v>
      </c>
      <c r="G65" s="55" t="str">
        <f t="shared" si="7"/>
        <v>NR</v>
      </c>
      <c r="H65" s="58">
        <f t="shared" si="8"/>
        <v>3000</v>
      </c>
      <c r="I65" s="58">
        <f t="shared" si="9"/>
        <v>3000</v>
      </c>
      <c r="J65" s="58">
        <f t="shared" si="10"/>
        <v>3000</v>
      </c>
      <c r="K65" s="58">
        <f t="shared" si="11"/>
        <v>3000</v>
      </c>
      <c r="L65" s="58">
        <f t="shared" si="12"/>
        <v>3000</v>
      </c>
      <c r="M65" s="58">
        <f t="shared" si="13"/>
        <v>3000</v>
      </c>
      <c r="N65" s="58">
        <f t="shared" si="14"/>
        <v>3000</v>
      </c>
      <c r="O65" s="58">
        <f t="shared" si="15"/>
        <v>3000</v>
      </c>
      <c r="P65" s="58">
        <f t="shared" si="16"/>
        <v>3000</v>
      </c>
      <c r="Q65" s="89">
        <f t="shared" si="17"/>
        <v>3000</v>
      </c>
      <c r="R65" s="92">
        <f t="shared" si="18"/>
        <v>3108.6310135461604</v>
      </c>
      <c r="S65" s="93">
        <f t="shared" si="18"/>
        <v>3221.1955927936765</v>
      </c>
      <c r="T65" s="93">
        <f t="shared" si="18"/>
        <v>3337.8361734855439</v>
      </c>
      <c r="U65" s="93">
        <f t="shared" si="18"/>
        <v>3458.7003490111347</v>
      </c>
      <c r="V65" s="93">
        <f t="shared" si="18"/>
        <v>3583.9410571663143</v>
      </c>
      <c r="W65" s="93">
        <f t="shared" si="18"/>
        <v>3713.7167736762058</v>
      </c>
      <c r="X65" s="93">
        <f t="shared" si="18"/>
        <v>3848.1917127254801</v>
      </c>
      <c r="Y65" s="93">
        <f t="shared" si="18"/>
        <v>3987.536034749915</v>
      </c>
      <c r="Z65" s="93">
        <f t="shared" si="18"/>
        <v>4131.9260617521559</v>
      </c>
      <c r="AA65" s="94">
        <f t="shared" si="18"/>
        <v>4281.5445004141329</v>
      </c>
      <c r="AB65" s="76"/>
      <c r="AC65" s="77" t="str">
        <f t="shared" si="19"/>
        <v>NER-NR</v>
      </c>
      <c r="AE65" s="78">
        <f t="shared" si="20"/>
        <v>0</v>
      </c>
      <c r="AF65" s="78">
        <f t="shared" si="22"/>
        <v>0</v>
      </c>
      <c r="AG65" s="78">
        <f t="shared" si="23"/>
        <v>0</v>
      </c>
      <c r="AH65" s="78"/>
      <c r="AI65" s="78">
        <f t="shared" si="21"/>
        <v>2.1144052499428856E-2</v>
      </c>
    </row>
    <row r="66" spans="4:35" ht="15" x14ac:dyDescent="0.25">
      <c r="H66" s="95"/>
      <c r="AE66" s="78"/>
      <c r="AF66" s="78"/>
      <c r="AG66" s="78"/>
      <c r="AH66" s="78"/>
      <c r="AI66" s="78"/>
    </row>
    <row r="67" spans="4:35" ht="15" x14ac:dyDescent="0.25">
      <c r="F67" s="50"/>
      <c r="G67" s="96" t="s">
        <v>210</v>
      </c>
      <c r="H67" s="96">
        <f t="shared" ref="H67:AA67" si="24">MAX(H52:H53)+MAX(H54:H55)+MAX(H56:H57)+MAX(H58:H59)+MAX(H60:H61)+MAX(H62:H63)+MAX(H64:H65)</f>
        <v>112250</v>
      </c>
      <c r="I67" s="96">
        <f t="shared" si="24"/>
        <v>112250</v>
      </c>
      <c r="J67" s="96">
        <f t="shared" si="24"/>
        <v>116540</v>
      </c>
      <c r="K67" s="96">
        <f t="shared" si="24"/>
        <v>118740</v>
      </c>
      <c r="L67" s="96">
        <f t="shared" si="24"/>
        <v>120340</v>
      </c>
      <c r="M67" s="96">
        <f t="shared" si="24"/>
        <v>120340</v>
      </c>
      <c r="N67" s="96">
        <f t="shared" si="24"/>
        <v>134540</v>
      </c>
      <c r="O67" s="96">
        <f t="shared" si="24"/>
        <v>134540</v>
      </c>
      <c r="P67" s="96">
        <f t="shared" si="24"/>
        <v>138740</v>
      </c>
      <c r="Q67" s="96">
        <f t="shared" si="24"/>
        <v>161540</v>
      </c>
      <c r="R67" s="96">
        <f t="shared" si="24"/>
        <v>170172.09011444627</v>
      </c>
      <c r="S67" s="96">
        <f t="shared" si="24"/>
        <v>179302.49554679531</v>
      </c>
      <c r="T67" s="96">
        <f t="shared" si="24"/>
        <v>188961.71380918863</v>
      </c>
      <c r="U67" s="96">
        <f t="shared" si="24"/>
        <v>199182.18507284945</v>
      </c>
      <c r="V67" s="96">
        <f t="shared" si="24"/>
        <v>209998.41915622097</v>
      </c>
      <c r="W67" s="96">
        <f t="shared" si="24"/>
        <v>221447.13095145574</v>
      </c>
      <c r="X67" s="96">
        <f t="shared" si="24"/>
        <v>233567.38485592566</v>
      </c>
      <c r="Y67" s="96">
        <f t="shared" si="24"/>
        <v>246400.74881374379</v>
      </c>
      <c r="Z67" s="96">
        <f t="shared" si="24"/>
        <v>259991.45861321469</v>
      </c>
      <c r="AA67" s="96">
        <f t="shared" si="24"/>
        <v>274386.59312983922</v>
      </c>
      <c r="AE67" s="78">
        <f>IFERROR((L67/H67)^(1/(L$51-H$51)),1)-1</f>
        <v>1.7550364909816984E-2</v>
      </c>
      <c r="AF67" s="78">
        <f>IFERROR((P67/L67)^(1/(P$51-L$51)),1)-1</f>
        <v>3.6210337848720187E-2</v>
      </c>
      <c r="AG67" s="78"/>
      <c r="AH67" s="78"/>
      <c r="AI67" s="78">
        <f>(AA67/J67)^(1/($AA$51-$J$51))-1</f>
        <v>5.1660972189224941E-2</v>
      </c>
    </row>
    <row r="68" spans="4:35" x14ac:dyDescent="0.2">
      <c r="H68" s="97">
        <f t="shared" ref="H68:Z68" si="25">SUM(H52:H65)</f>
        <v>211920.35200951149</v>
      </c>
      <c r="I68" s="97">
        <f t="shared" si="25"/>
        <v>211920.35200951149</v>
      </c>
      <c r="J68" s="97">
        <f t="shared" si="25"/>
        <v>220052.27235090552</v>
      </c>
      <c r="K68" s="97">
        <f t="shared" si="25"/>
        <v>224271.59678138469</v>
      </c>
      <c r="L68" s="97">
        <f t="shared" si="25"/>
        <v>227471.59678138469</v>
      </c>
      <c r="M68" s="97">
        <f t="shared" si="25"/>
        <v>227471.59678138469</v>
      </c>
      <c r="N68" s="97">
        <f t="shared" si="25"/>
        <v>253580</v>
      </c>
      <c r="O68" s="97">
        <f t="shared" si="25"/>
        <v>253580</v>
      </c>
      <c r="P68" s="97">
        <f t="shared" si="25"/>
        <v>258166.88475001079</v>
      </c>
      <c r="Q68" s="97">
        <f t="shared" si="25"/>
        <v>282756.28200570575</v>
      </c>
      <c r="R68" s="97">
        <f t="shared" si="25"/>
        <v>296370.48353725747</v>
      </c>
      <c r="S68" s="97">
        <f t="shared" si="25"/>
        <v>310698.64773621911</v>
      </c>
      <c r="T68" s="97">
        <f t="shared" si="25"/>
        <v>325781.17598315002</v>
      </c>
      <c r="U68" s="97">
        <f t="shared" si="25"/>
        <v>341660.89549911249</v>
      </c>
      <c r="V68" s="97">
        <f t="shared" si="25"/>
        <v>358383.21123494988</v>
      </c>
      <c r="W68" s="97">
        <f t="shared" si="25"/>
        <v>375996.26754081569</v>
      </c>
      <c r="X68" s="97">
        <f t="shared" si="25"/>
        <v>394551.12025738723</v>
      </c>
      <c r="Y68" s="97">
        <f t="shared" si="25"/>
        <v>414101.91991277848</v>
      </c>
      <c r="Z68" s="97">
        <f t="shared" si="25"/>
        <v>434706.10675460368</v>
      </c>
      <c r="AA68" s="97">
        <f>SUM(AA52:AA65)</f>
        <v>456424.61839512398</v>
      </c>
    </row>
    <row r="70" spans="4:35" ht="15" x14ac:dyDescent="0.25">
      <c r="I70" s="98"/>
      <c r="J70" s="98"/>
      <c r="K70" s="98"/>
      <c r="L70" s="98"/>
      <c r="M70" s="98"/>
      <c r="N70" s="98"/>
      <c r="O70" s="98"/>
      <c r="P70" s="98"/>
      <c r="Q70" s="98"/>
      <c r="R70" s="99"/>
    </row>
    <row r="71" spans="4:35" ht="15" x14ac:dyDescent="0.25">
      <c r="I71" s="98"/>
      <c r="J71" s="98"/>
      <c r="K71" s="98"/>
      <c r="L71" s="98"/>
      <c r="M71" s="98"/>
      <c r="N71" s="98"/>
      <c r="O71" s="98"/>
      <c r="P71" s="98"/>
      <c r="Q71" s="98"/>
      <c r="R71" s="99"/>
    </row>
    <row r="72" spans="4:35" ht="15" x14ac:dyDescent="0.25">
      <c r="I72" s="98"/>
      <c r="J72" s="98"/>
      <c r="K72" s="98"/>
      <c r="L72" s="98"/>
      <c r="M72" s="98"/>
      <c r="N72" s="98"/>
      <c r="O72" s="98"/>
      <c r="P72" s="98"/>
      <c r="Q72" s="98"/>
      <c r="R72" s="99"/>
    </row>
    <row r="73" spans="4:35" ht="15" x14ac:dyDescent="0.25">
      <c r="I73" s="98"/>
      <c r="J73" s="98"/>
      <c r="K73" s="98"/>
      <c r="L73" s="98"/>
      <c r="M73" s="98"/>
      <c r="N73" s="98"/>
      <c r="O73" s="98"/>
      <c r="P73" s="98"/>
      <c r="Q73" s="98"/>
      <c r="R73" s="99"/>
    </row>
    <row r="74" spans="4:35" ht="15" x14ac:dyDescent="0.25">
      <c r="I74" s="98"/>
      <c r="J74" s="98"/>
      <c r="K74" s="98"/>
      <c r="L74" s="98"/>
      <c r="M74" s="98"/>
      <c r="N74" s="98"/>
      <c r="O74" s="98"/>
      <c r="P74" s="98"/>
      <c r="Q74" s="98"/>
      <c r="R74" s="99"/>
    </row>
    <row r="75" spans="4:35" ht="15" x14ac:dyDescent="0.25">
      <c r="I75" s="98"/>
      <c r="J75" s="98"/>
      <c r="K75" s="98"/>
      <c r="L75" s="98"/>
      <c r="M75" s="98"/>
      <c r="N75" s="98"/>
      <c r="O75" s="98"/>
      <c r="P75" s="98"/>
      <c r="Q75" s="98"/>
      <c r="R75" s="99"/>
    </row>
    <row r="76" spans="4:35" ht="15" x14ac:dyDescent="0.25">
      <c r="I76" s="98"/>
      <c r="J76" s="98"/>
      <c r="K76" s="98"/>
      <c r="L76" s="98"/>
      <c r="M76" s="98"/>
      <c r="N76" s="98"/>
      <c r="O76" s="98"/>
      <c r="P76" s="98"/>
      <c r="Q76" s="98"/>
      <c r="R76" s="99"/>
    </row>
    <row r="77" spans="4:35" ht="15" x14ac:dyDescent="0.25">
      <c r="I77" s="98"/>
      <c r="J77" s="98"/>
      <c r="K77" s="98"/>
      <c r="L77" s="98"/>
      <c r="M77" s="98"/>
      <c r="N77" s="98"/>
      <c r="O77" s="98"/>
      <c r="P77" s="98"/>
      <c r="Q77" s="98"/>
      <c r="R77" s="99"/>
    </row>
    <row r="78" spans="4:35" ht="15" x14ac:dyDescent="0.25">
      <c r="I78" s="98"/>
      <c r="J78" s="98"/>
      <c r="K78" s="98"/>
      <c r="L78" s="98"/>
      <c r="M78" s="98"/>
      <c r="N78" s="98"/>
      <c r="O78" s="98"/>
      <c r="P78" s="98"/>
      <c r="Q78" s="98"/>
      <c r="R78" s="99"/>
    </row>
    <row r="79" spans="4:35" ht="15" x14ac:dyDescent="0.25">
      <c r="I79" s="98"/>
      <c r="J79" s="98"/>
      <c r="K79" s="98"/>
      <c r="L79" s="98"/>
      <c r="M79" s="98"/>
      <c r="N79" s="98"/>
      <c r="O79" s="98"/>
      <c r="P79" s="98"/>
      <c r="Q79" s="98"/>
      <c r="R79" s="99"/>
    </row>
    <row r="80" spans="4:35" ht="15" x14ac:dyDescent="0.25">
      <c r="I80" s="98"/>
      <c r="J80" s="98"/>
      <c r="K80" s="98"/>
      <c r="L80" s="98"/>
      <c r="M80" s="98"/>
      <c r="N80" s="98"/>
      <c r="O80" s="98"/>
      <c r="P80" s="98"/>
      <c r="Q80" s="98"/>
      <c r="R80" s="99"/>
    </row>
    <row r="81" spans="9:18" ht="15" x14ac:dyDescent="0.25">
      <c r="I81" s="98"/>
      <c r="J81" s="98"/>
      <c r="K81" s="98"/>
      <c r="L81" s="98"/>
      <c r="M81" s="98"/>
      <c r="N81" s="98"/>
      <c r="O81" s="98"/>
      <c r="P81" s="98"/>
      <c r="Q81" s="98"/>
      <c r="R81" s="99"/>
    </row>
  </sheetData>
  <mergeCells count="7">
    <mergeCell ref="T7:U7"/>
    <mergeCell ref="H7:I7"/>
    <mergeCell ref="J7:K7"/>
    <mergeCell ref="L7:M7"/>
    <mergeCell ref="N7:O7"/>
    <mergeCell ref="P7:Q7"/>
    <mergeCell ref="R7:S7"/>
  </mergeCells>
  <hyperlinks>
    <hyperlink ref="A7" r:id="rId1" xr:uid="{C8289B5D-69A5-4783-A6CF-977390109921}"/>
  </hyperlinks>
  <pageMargins left="0.7" right="0.7" top="0.75" bottom="0.75" header="0.3" footer="0.3"/>
  <pageSetup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57D1-393A-4F40-8106-786EE712202A}">
  <dimension ref="A3:D75"/>
  <sheetViews>
    <sheetView topLeftCell="A42" workbookViewId="0">
      <selection activeCell="B63" sqref="B63"/>
    </sheetView>
  </sheetViews>
  <sheetFormatPr defaultRowHeight="15" x14ac:dyDescent="0.25"/>
  <cols>
    <col min="1" max="1" width="16.140625" bestFit="1" customWidth="1"/>
    <col min="2" max="2" width="17.28515625" bestFit="1" customWidth="1"/>
    <col min="4" max="4" width="9.140625" style="3"/>
  </cols>
  <sheetData>
    <row r="3" spans="1:4" x14ac:dyDescent="0.25">
      <c r="A3" t="s">
        <v>4</v>
      </c>
      <c r="B3">
        <v>2024</v>
      </c>
      <c r="C3">
        <v>2023</v>
      </c>
      <c r="D3" s="3" t="s">
        <v>87</v>
      </c>
    </row>
    <row r="5" spans="1:4" x14ac:dyDescent="0.25">
      <c r="A5" t="s">
        <v>75</v>
      </c>
      <c r="B5" t="s">
        <v>76</v>
      </c>
    </row>
    <row r="6" spans="1:4" s="5" customFormat="1" ht="15.75" thickBot="1" x14ac:dyDescent="0.3">
      <c r="A6" s="5" t="s">
        <v>13</v>
      </c>
      <c r="B6" s="5">
        <v>5.7302850662000004</v>
      </c>
      <c r="D6" s="8"/>
    </row>
    <row r="7" spans="1:4" ht="15.75" thickTop="1" x14ac:dyDescent="0.25">
      <c r="A7" t="s">
        <v>8</v>
      </c>
      <c r="B7">
        <v>0.14300000000000002</v>
      </c>
      <c r="C7">
        <v>3355.17</v>
      </c>
      <c r="D7" s="3">
        <f>B7*1000+C7</f>
        <v>3498.17</v>
      </c>
    </row>
    <row r="8" spans="1:4" x14ac:dyDescent="0.25">
      <c r="A8" t="s">
        <v>15</v>
      </c>
      <c r="B8">
        <v>0</v>
      </c>
      <c r="C8">
        <v>7330.5</v>
      </c>
      <c r="D8" s="3">
        <f>B8*1000+C8</f>
        <v>7330.5</v>
      </c>
    </row>
    <row r="9" spans="1:4" x14ac:dyDescent="0.25">
      <c r="A9" t="s">
        <v>14</v>
      </c>
      <c r="B9">
        <v>0</v>
      </c>
      <c r="C9">
        <v>67226.28</v>
      </c>
      <c r="D9" s="3">
        <f t="shared" ref="D9:D10" si="0">B9*1000+C9</f>
        <v>67226.28</v>
      </c>
    </row>
    <row r="10" spans="1:4" x14ac:dyDescent="0.25">
      <c r="A10" t="s">
        <v>16</v>
      </c>
      <c r="B10">
        <v>0</v>
      </c>
      <c r="C10">
        <v>20500</v>
      </c>
      <c r="D10" s="3">
        <f t="shared" si="0"/>
        <v>20500</v>
      </c>
    </row>
    <row r="11" spans="1:4" x14ac:dyDescent="0.25">
      <c r="A11" t="s">
        <v>17</v>
      </c>
      <c r="B11">
        <v>0</v>
      </c>
      <c r="C11">
        <v>0</v>
      </c>
      <c r="D11" s="3">
        <f t="shared" ref="D11:D15" si="1">B11*1000+C11</f>
        <v>0</v>
      </c>
    </row>
    <row r="12" spans="1:4" x14ac:dyDescent="0.25">
      <c r="A12" t="s">
        <v>18</v>
      </c>
      <c r="B12">
        <v>0</v>
      </c>
      <c r="C12">
        <v>1603.5</v>
      </c>
      <c r="D12" s="3">
        <f t="shared" si="1"/>
        <v>1603.5</v>
      </c>
    </row>
    <row r="13" spans="1:4" x14ac:dyDescent="0.25">
      <c r="A13" t="s">
        <v>19</v>
      </c>
      <c r="B13">
        <v>2.8000000000000001E-2</v>
      </c>
      <c r="C13">
        <v>1700</v>
      </c>
      <c r="D13" s="3">
        <f t="shared" si="1"/>
        <v>1728</v>
      </c>
    </row>
    <row r="14" spans="1:4" x14ac:dyDescent="0.25">
      <c r="A14" t="s">
        <v>23</v>
      </c>
      <c r="B14">
        <v>0</v>
      </c>
      <c r="C14">
        <v>0</v>
      </c>
      <c r="D14" s="3">
        <f t="shared" si="1"/>
        <v>0</v>
      </c>
    </row>
    <row r="15" spans="1:4" x14ac:dyDescent="0.25">
      <c r="A15" t="s">
        <v>20</v>
      </c>
      <c r="B15">
        <v>4.7910000000000004</v>
      </c>
      <c r="C15">
        <v>19996.72</v>
      </c>
      <c r="D15" s="3">
        <f t="shared" si="1"/>
        <v>24787.72</v>
      </c>
    </row>
    <row r="16" spans="1:4" x14ac:dyDescent="0.25">
      <c r="A16" t="s">
        <v>21</v>
      </c>
      <c r="B16">
        <v>0.76600000000000001</v>
      </c>
      <c r="C16">
        <v>2666.3</v>
      </c>
      <c r="D16" s="3">
        <f t="shared" ref="D16:D19" si="2">B16*1000+C16</f>
        <v>3432.3</v>
      </c>
    </row>
    <row r="17" spans="1:4" x14ac:dyDescent="0.25">
      <c r="A17" t="s">
        <v>24</v>
      </c>
      <c r="B17">
        <v>0</v>
      </c>
      <c r="C17">
        <v>0</v>
      </c>
      <c r="D17" s="3">
        <f t="shared" si="2"/>
        <v>0</v>
      </c>
    </row>
    <row r="18" spans="1:4" x14ac:dyDescent="0.25">
      <c r="A18" t="s">
        <v>22</v>
      </c>
      <c r="B18">
        <v>2E-3</v>
      </c>
      <c r="C18">
        <v>5301.4</v>
      </c>
      <c r="D18" s="3">
        <f t="shared" si="2"/>
        <v>5303.4</v>
      </c>
    </row>
    <row r="19" spans="1:4" x14ac:dyDescent="0.25">
      <c r="A19" t="s">
        <v>25</v>
      </c>
      <c r="B19">
        <v>2.8506619999999996E-4</v>
      </c>
      <c r="C19">
        <v>0</v>
      </c>
      <c r="D19" s="3">
        <f t="shared" si="2"/>
        <v>0.28506619999999994</v>
      </c>
    </row>
    <row r="20" spans="1:4" s="5" customFormat="1" ht="15.75" thickBot="1" x14ac:dyDescent="0.3">
      <c r="A20" s="5" t="s">
        <v>10</v>
      </c>
      <c r="B20" s="5">
        <v>2.6021153999999998E-2</v>
      </c>
      <c r="D20" s="8"/>
    </row>
    <row r="21" spans="1:4" ht="15.75" thickTop="1" x14ac:dyDescent="0.25">
      <c r="A21" t="s">
        <v>8</v>
      </c>
      <c r="B21">
        <v>1E-3</v>
      </c>
      <c r="C21">
        <v>15.8</v>
      </c>
      <c r="D21" s="3">
        <f t="shared" ref="D21:D26" si="3">B21*1000+C21</f>
        <v>16.8</v>
      </c>
    </row>
    <row r="22" spans="1:4" x14ac:dyDescent="0.25">
      <c r="A22" t="s">
        <v>15</v>
      </c>
      <c r="B22">
        <v>0</v>
      </c>
      <c r="C22">
        <v>2002.4</v>
      </c>
      <c r="D22" s="3">
        <f t="shared" si="3"/>
        <v>2002.4</v>
      </c>
    </row>
    <row r="23" spans="1:4" x14ac:dyDescent="0.25">
      <c r="A23" t="s">
        <v>14</v>
      </c>
      <c r="B23">
        <v>0</v>
      </c>
      <c r="C23">
        <v>1011</v>
      </c>
      <c r="D23" s="3">
        <f t="shared" si="3"/>
        <v>1011</v>
      </c>
    </row>
    <row r="24" spans="1:4" x14ac:dyDescent="0.25">
      <c r="A24" t="s">
        <v>16</v>
      </c>
      <c r="B24">
        <v>0</v>
      </c>
      <c r="C24">
        <v>1850</v>
      </c>
      <c r="D24" s="3">
        <f t="shared" si="3"/>
        <v>1850</v>
      </c>
    </row>
    <row r="25" spans="1:4" x14ac:dyDescent="0.25">
      <c r="A25" t="s">
        <v>17</v>
      </c>
      <c r="B25">
        <v>0</v>
      </c>
      <c r="C25">
        <v>0</v>
      </c>
      <c r="D25" s="3">
        <f t="shared" si="3"/>
        <v>0</v>
      </c>
    </row>
    <row r="26" spans="1:4" x14ac:dyDescent="0.25">
      <c r="A26" t="s">
        <v>18</v>
      </c>
      <c r="B26">
        <v>0</v>
      </c>
      <c r="C26">
        <v>0</v>
      </c>
      <c r="D26" s="3">
        <f t="shared" si="3"/>
        <v>0</v>
      </c>
    </row>
    <row r="27" spans="1:4" x14ac:dyDescent="0.25">
      <c r="A27" t="s">
        <v>19</v>
      </c>
      <c r="B27">
        <v>9.9999999999999985E-3</v>
      </c>
      <c r="C27">
        <v>300</v>
      </c>
      <c r="D27" s="3">
        <f t="shared" ref="D27:D33" si="4">B27*1000+C27</f>
        <v>310</v>
      </c>
    </row>
    <row r="28" spans="1:4" x14ac:dyDescent="0.25">
      <c r="A28" t="s">
        <v>23</v>
      </c>
      <c r="B28">
        <v>0</v>
      </c>
      <c r="C28">
        <v>0</v>
      </c>
      <c r="D28" s="3">
        <f t="shared" si="4"/>
        <v>0</v>
      </c>
    </row>
    <row r="29" spans="1:4" x14ac:dyDescent="0.25">
      <c r="A29" t="s">
        <v>20</v>
      </c>
      <c r="B29">
        <v>7.0000000000000001E-3</v>
      </c>
      <c r="C29">
        <v>171.48</v>
      </c>
      <c r="D29" s="3">
        <f t="shared" si="4"/>
        <v>178.48</v>
      </c>
    </row>
    <row r="30" spans="1:4" x14ac:dyDescent="0.25">
      <c r="A30" t="s">
        <v>21</v>
      </c>
      <c r="B30">
        <v>8.0000000000000002E-3</v>
      </c>
      <c r="C30">
        <v>67.599999999999994</v>
      </c>
      <c r="D30" s="3">
        <f t="shared" si="4"/>
        <v>75.599999999999994</v>
      </c>
    </row>
    <row r="31" spans="1:4" x14ac:dyDescent="0.25">
      <c r="A31" t="s">
        <v>24</v>
      </c>
      <c r="B31">
        <v>0</v>
      </c>
      <c r="C31">
        <v>0</v>
      </c>
      <c r="D31" s="3">
        <f t="shared" si="4"/>
        <v>0</v>
      </c>
    </row>
    <row r="32" spans="1:4" x14ac:dyDescent="0.25">
      <c r="A32" t="s">
        <v>22</v>
      </c>
      <c r="B32">
        <v>0</v>
      </c>
      <c r="C32">
        <v>0</v>
      </c>
      <c r="D32" s="3">
        <f t="shared" si="4"/>
        <v>0</v>
      </c>
    </row>
    <row r="33" spans="1:4" x14ac:dyDescent="0.25">
      <c r="A33" t="s">
        <v>25</v>
      </c>
      <c r="B33">
        <v>2.1154000000000001E-5</v>
      </c>
      <c r="C33">
        <v>0</v>
      </c>
      <c r="D33" s="3">
        <f t="shared" si="4"/>
        <v>2.1154000000000003E-2</v>
      </c>
    </row>
    <row r="34" spans="1:4" s="5" customFormat="1" ht="15.75" thickBot="1" x14ac:dyDescent="0.3">
      <c r="A34" s="5" t="s">
        <v>11</v>
      </c>
      <c r="B34" s="5">
        <v>0.20710590360000003</v>
      </c>
      <c r="D34" s="8"/>
    </row>
    <row r="35" spans="1:4" ht="15.75" thickTop="1" x14ac:dyDescent="0.25">
      <c r="A35" t="s">
        <v>8</v>
      </c>
      <c r="B35">
        <v>2.3E-2</v>
      </c>
      <c r="C35">
        <v>560.64</v>
      </c>
      <c r="D35" s="3">
        <f>B35*1000+C35</f>
        <v>583.64</v>
      </c>
    </row>
    <row r="36" spans="1:4" x14ac:dyDescent="0.25">
      <c r="A36" t="s">
        <v>15</v>
      </c>
      <c r="B36">
        <v>0</v>
      </c>
      <c r="C36">
        <v>770.8</v>
      </c>
      <c r="D36" s="3">
        <f>B36*1000+C36</f>
        <v>770.8</v>
      </c>
    </row>
    <row r="37" spans="1:4" x14ac:dyDescent="0.25">
      <c r="A37" t="s">
        <v>14</v>
      </c>
      <c r="B37">
        <v>0</v>
      </c>
      <c r="C37">
        <v>41730</v>
      </c>
      <c r="D37" s="3">
        <f t="shared" ref="D37:D39" si="5">B37*1000+C37</f>
        <v>41730</v>
      </c>
    </row>
    <row r="38" spans="1:4" x14ac:dyDescent="0.25">
      <c r="A38" t="s">
        <v>16</v>
      </c>
      <c r="B38">
        <v>0</v>
      </c>
      <c r="C38">
        <v>4200</v>
      </c>
      <c r="D38" s="3">
        <f t="shared" si="5"/>
        <v>4200</v>
      </c>
    </row>
    <row r="39" spans="1:4" x14ac:dyDescent="0.25">
      <c r="A39" t="s">
        <v>17</v>
      </c>
      <c r="B39">
        <v>0</v>
      </c>
      <c r="C39">
        <v>0</v>
      </c>
      <c r="D39" s="3">
        <f t="shared" si="5"/>
        <v>0</v>
      </c>
    </row>
    <row r="40" spans="1:4" x14ac:dyDescent="0.25">
      <c r="A40" t="s">
        <v>18</v>
      </c>
      <c r="B40">
        <v>0</v>
      </c>
      <c r="C40">
        <v>0</v>
      </c>
      <c r="D40" s="3">
        <f>B40*1000+C40</f>
        <v>0</v>
      </c>
    </row>
    <row r="41" spans="1:4" x14ac:dyDescent="0.25">
      <c r="A41" t="s">
        <v>19</v>
      </c>
      <c r="B41">
        <v>6.0000000000000001E-3</v>
      </c>
      <c r="C41">
        <v>350</v>
      </c>
      <c r="D41" s="3">
        <f t="shared" ref="D41:D47" si="6">B41*1000+C41</f>
        <v>356</v>
      </c>
    </row>
    <row r="42" spans="1:4" x14ac:dyDescent="0.25">
      <c r="A42" t="s">
        <v>23</v>
      </c>
      <c r="B42">
        <v>0</v>
      </c>
      <c r="C42">
        <v>0</v>
      </c>
      <c r="D42" s="3">
        <f t="shared" si="6"/>
        <v>0</v>
      </c>
    </row>
    <row r="43" spans="1:4" x14ac:dyDescent="0.25">
      <c r="A43" t="s">
        <v>20</v>
      </c>
      <c r="B43">
        <v>0.04</v>
      </c>
      <c r="C43">
        <v>847.72</v>
      </c>
      <c r="D43" s="3">
        <f t="shared" si="6"/>
        <v>887.72</v>
      </c>
    </row>
    <row r="44" spans="1:4" x14ac:dyDescent="0.25">
      <c r="A44" t="s">
        <v>21</v>
      </c>
      <c r="B44">
        <v>0.13800000000000001</v>
      </c>
      <c r="C44">
        <v>2000</v>
      </c>
      <c r="D44" s="3">
        <f t="shared" si="6"/>
        <v>2138</v>
      </c>
    </row>
    <row r="45" spans="1:4" x14ac:dyDescent="0.25">
      <c r="A45" t="s">
        <v>24</v>
      </c>
      <c r="B45">
        <v>0</v>
      </c>
      <c r="D45" s="3">
        <f t="shared" si="6"/>
        <v>0</v>
      </c>
    </row>
    <row r="46" spans="1:4" x14ac:dyDescent="0.25">
      <c r="A46" t="s">
        <v>22</v>
      </c>
      <c r="B46">
        <v>0</v>
      </c>
      <c r="C46">
        <v>46</v>
      </c>
      <c r="D46" s="3">
        <f t="shared" si="6"/>
        <v>46</v>
      </c>
    </row>
    <row r="47" spans="1:4" x14ac:dyDescent="0.25">
      <c r="A47" t="s">
        <v>25</v>
      </c>
      <c r="B47">
        <v>1.0590360000000001E-4</v>
      </c>
      <c r="D47" s="3">
        <f t="shared" si="6"/>
        <v>0.1059036</v>
      </c>
    </row>
    <row r="48" spans="1:4" s="5" customFormat="1" ht="15.75" thickBot="1" x14ac:dyDescent="0.3">
      <c r="A48" s="5" t="s">
        <v>12</v>
      </c>
      <c r="B48" s="5">
        <v>10.75044800125</v>
      </c>
      <c r="D48" s="8"/>
    </row>
    <row r="49" spans="1:4" ht="15.75" thickTop="1" x14ac:dyDescent="0.25">
      <c r="A49" t="s">
        <v>8</v>
      </c>
      <c r="B49">
        <v>0.13600000000000001</v>
      </c>
      <c r="C49">
        <v>3161.7</v>
      </c>
      <c r="D49" s="3">
        <f>B49*1000+C49</f>
        <v>3297.7</v>
      </c>
    </row>
    <row r="50" spans="1:4" x14ac:dyDescent="0.25">
      <c r="A50" t="s">
        <v>15</v>
      </c>
      <c r="B50">
        <v>0</v>
      </c>
      <c r="C50">
        <v>13563.1</v>
      </c>
      <c r="D50" s="3">
        <f>B50*1000+C50</f>
        <v>13563.1</v>
      </c>
    </row>
    <row r="51" spans="1:4" x14ac:dyDescent="0.25">
      <c r="A51" t="s">
        <v>14</v>
      </c>
      <c r="B51">
        <v>0</v>
      </c>
      <c r="C51">
        <v>90476</v>
      </c>
      <c r="D51" s="3">
        <f t="shared" ref="D51:D52" si="7">B51*1000+C51</f>
        <v>90476</v>
      </c>
    </row>
    <row r="52" spans="1:4" x14ac:dyDescent="0.25">
      <c r="A52" t="s">
        <v>16</v>
      </c>
      <c r="B52">
        <v>0</v>
      </c>
      <c r="C52">
        <v>7900</v>
      </c>
      <c r="D52" s="3">
        <f t="shared" si="7"/>
        <v>7900</v>
      </c>
    </row>
    <row r="53" spans="1:4" x14ac:dyDescent="0.25">
      <c r="A53" t="s">
        <v>17</v>
      </c>
      <c r="B53">
        <v>0</v>
      </c>
      <c r="C53">
        <v>0</v>
      </c>
      <c r="D53" s="3">
        <f>B53*1000+C53</f>
        <v>0</v>
      </c>
    </row>
    <row r="54" spans="1:4" x14ac:dyDescent="0.25">
      <c r="A54" t="s">
        <v>18</v>
      </c>
      <c r="B54">
        <v>1.4</v>
      </c>
      <c r="C54">
        <v>3247.6</v>
      </c>
      <c r="D54" s="3">
        <f t="shared" ref="D54:D61" si="8">B54*1000+C54</f>
        <v>4647.6000000000004</v>
      </c>
    </row>
    <row r="55" spans="1:4" x14ac:dyDescent="0.25">
      <c r="A55" t="s">
        <v>19</v>
      </c>
      <c r="B55">
        <v>1.0999999999999999E-2</v>
      </c>
      <c r="C55">
        <v>700</v>
      </c>
      <c r="D55" s="3">
        <f t="shared" si="8"/>
        <v>711</v>
      </c>
    </row>
    <row r="56" spans="1:4" x14ac:dyDescent="0.25">
      <c r="A56" t="s">
        <v>23</v>
      </c>
      <c r="B56">
        <v>0</v>
      </c>
      <c r="D56" s="3">
        <f t="shared" si="8"/>
        <v>0</v>
      </c>
    </row>
    <row r="57" spans="1:4" x14ac:dyDescent="0.25">
      <c r="A57" t="s">
        <v>20</v>
      </c>
      <c r="B57">
        <v>5.56</v>
      </c>
      <c r="C57">
        <v>13221.9</v>
      </c>
      <c r="D57" s="3">
        <f t="shared" si="8"/>
        <v>18781.900000000001</v>
      </c>
    </row>
    <row r="58" spans="1:4" x14ac:dyDescent="0.25">
      <c r="A58" t="s">
        <v>21</v>
      </c>
      <c r="B58">
        <v>1.7039999999999997</v>
      </c>
      <c r="C58">
        <v>4503.3999999999996</v>
      </c>
      <c r="D58" s="3">
        <f t="shared" si="8"/>
        <v>6207.4</v>
      </c>
    </row>
    <row r="59" spans="1:4" x14ac:dyDescent="0.25">
      <c r="A59" t="s">
        <v>24</v>
      </c>
      <c r="B59">
        <v>0</v>
      </c>
      <c r="D59" s="3">
        <f t="shared" si="8"/>
        <v>0</v>
      </c>
    </row>
    <row r="60" spans="1:4" x14ac:dyDescent="0.25">
      <c r="A60" t="s">
        <v>22</v>
      </c>
      <c r="B60">
        <v>1.9390000000000001</v>
      </c>
      <c r="C60">
        <v>18661</v>
      </c>
      <c r="D60" s="3">
        <f t="shared" si="8"/>
        <v>20600</v>
      </c>
    </row>
    <row r="61" spans="1:4" x14ac:dyDescent="0.25">
      <c r="A61" t="s">
        <v>25</v>
      </c>
      <c r="B61">
        <v>4.4800124999999999E-4</v>
      </c>
      <c r="D61" s="3">
        <f t="shared" si="8"/>
        <v>0.44800124999999996</v>
      </c>
    </row>
    <row r="62" spans="1:4" s="5" customFormat="1" ht="15.75" thickBot="1" x14ac:dyDescent="0.3">
      <c r="A62" s="5" t="s">
        <v>9</v>
      </c>
      <c r="B62" s="5">
        <v>4.0991398760000006</v>
      </c>
      <c r="D62" s="8"/>
    </row>
    <row r="63" spans="1:4" ht="15.75" thickTop="1" x14ac:dyDescent="0.25">
      <c r="A63" t="s">
        <v>8</v>
      </c>
      <c r="B63" s="1">
        <v>0.16</v>
      </c>
      <c r="C63">
        <v>3734.75</v>
      </c>
      <c r="D63" s="3">
        <f>B63*1000+C63</f>
        <v>3894.75</v>
      </c>
    </row>
    <row r="64" spans="1:4" x14ac:dyDescent="0.25">
      <c r="A64" t="s">
        <v>15</v>
      </c>
      <c r="B64">
        <v>0.37</v>
      </c>
      <c r="C64">
        <v>7730.2</v>
      </c>
      <c r="D64" s="3">
        <f>B64*1000+C64</f>
        <v>8100.2</v>
      </c>
    </row>
    <row r="65" spans="1:4" x14ac:dyDescent="0.25">
      <c r="A65" t="s">
        <v>14</v>
      </c>
      <c r="B65">
        <v>0</v>
      </c>
      <c r="C65">
        <v>63929.2</v>
      </c>
      <c r="D65" s="3">
        <f t="shared" ref="D65:D66" si="9">B65*1000+C65</f>
        <v>63929.2</v>
      </c>
    </row>
    <row r="66" spans="1:4" x14ac:dyDescent="0.25">
      <c r="A66" t="s">
        <v>16</v>
      </c>
      <c r="B66">
        <v>0</v>
      </c>
      <c r="C66">
        <v>12200</v>
      </c>
      <c r="D66" s="3">
        <f t="shared" si="9"/>
        <v>12200</v>
      </c>
    </row>
    <row r="67" spans="1:4" x14ac:dyDescent="0.25">
      <c r="A67" t="s">
        <v>17</v>
      </c>
      <c r="B67">
        <v>0</v>
      </c>
      <c r="C67">
        <v>0</v>
      </c>
      <c r="D67" s="3">
        <f>B67*1000+C67</f>
        <v>0</v>
      </c>
    </row>
    <row r="68" spans="1:4" x14ac:dyDescent="0.25">
      <c r="A68" t="s">
        <v>18</v>
      </c>
      <c r="B68">
        <v>0</v>
      </c>
      <c r="C68">
        <v>3320</v>
      </c>
      <c r="D68" s="3">
        <f t="shared" ref="D68:D75" si="10">B68*1000+C68</f>
        <v>3320</v>
      </c>
    </row>
    <row r="69" spans="1:4" x14ac:dyDescent="0.25">
      <c r="A69" t="s">
        <v>19</v>
      </c>
      <c r="B69">
        <v>1.7000000000000001E-2</v>
      </c>
      <c r="C69">
        <v>2000</v>
      </c>
      <c r="D69" s="3">
        <f t="shared" si="10"/>
        <v>2017</v>
      </c>
    </row>
    <row r="70" spans="1:4" x14ac:dyDescent="0.25">
      <c r="A70" t="s">
        <v>23</v>
      </c>
      <c r="B70">
        <v>0</v>
      </c>
      <c r="C70">
        <v>0</v>
      </c>
      <c r="D70" s="3">
        <f t="shared" si="10"/>
        <v>0</v>
      </c>
    </row>
    <row r="71" spans="1:4" x14ac:dyDescent="0.25">
      <c r="A71" t="s">
        <v>20</v>
      </c>
      <c r="B71">
        <v>1.6219999999999999</v>
      </c>
      <c r="C71">
        <v>24128.9</v>
      </c>
      <c r="D71" s="3">
        <f t="shared" si="10"/>
        <v>25750.9</v>
      </c>
    </row>
    <row r="72" spans="1:4" x14ac:dyDescent="0.25">
      <c r="A72" t="s">
        <v>21</v>
      </c>
      <c r="B72">
        <v>0.61799999999999999</v>
      </c>
      <c r="C72">
        <v>2030.8</v>
      </c>
      <c r="D72" s="3">
        <f t="shared" si="10"/>
        <v>2648.8</v>
      </c>
    </row>
    <row r="73" spans="1:4" x14ac:dyDescent="0.25">
      <c r="A73" t="s">
        <v>24</v>
      </c>
      <c r="B73">
        <v>0</v>
      </c>
      <c r="D73" s="3">
        <f t="shared" si="10"/>
        <v>0</v>
      </c>
    </row>
    <row r="74" spans="1:4" x14ac:dyDescent="0.25">
      <c r="A74" t="s">
        <v>22</v>
      </c>
      <c r="B74">
        <v>1.3119999999999998</v>
      </c>
      <c r="C74">
        <v>22161.3</v>
      </c>
      <c r="D74" s="3">
        <f t="shared" si="10"/>
        <v>23473.3</v>
      </c>
    </row>
    <row r="75" spans="1:4" x14ac:dyDescent="0.25">
      <c r="A75" t="s">
        <v>25</v>
      </c>
      <c r="B75">
        <v>1.3987599999999999E-4</v>
      </c>
      <c r="D75" s="3">
        <f t="shared" si="10"/>
        <v>0.139876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9DA8-C3F3-4A16-8A8B-822FE2EEA490}">
  <dimension ref="A1:W28"/>
  <sheetViews>
    <sheetView workbookViewId="0">
      <selection activeCell="G28" sqref="G28"/>
    </sheetView>
  </sheetViews>
  <sheetFormatPr defaultRowHeight="15" x14ac:dyDescent="0.25"/>
  <cols>
    <col min="1" max="1" width="15.7109375" bestFit="1" customWidth="1"/>
    <col min="2" max="2" width="16" bestFit="1" customWidth="1"/>
    <col min="3" max="3" width="14.85546875" bestFit="1" customWidth="1"/>
    <col min="4" max="4" width="5" bestFit="1" customWidth="1"/>
    <col min="5" max="5" width="17.28515625" bestFit="1" customWidth="1"/>
    <col min="6" max="6" width="10.42578125" bestFit="1" customWidth="1"/>
    <col min="7" max="7" width="15.5703125" bestFit="1" customWidth="1"/>
    <col min="8" max="8" width="13.85546875" bestFit="1" customWidth="1"/>
    <col min="9" max="9" width="15.28515625" bestFit="1" customWidth="1"/>
    <col min="10" max="10" width="15.5703125" bestFit="1" customWidth="1"/>
    <col min="11" max="11" width="12" bestFit="1" customWidth="1"/>
    <col min="12" max="12" width="12.42578125" bestFit="1" customWidth="1"/>
    <col min="13" max="13" width="14.85546875" bestFit="1" customWidth="1"/>
    <col min="15" max="15" width="14.7109375" bestFit="1" customWidth="1"/>
    <col min="16" max="16" width="14.7109375" customWidth="1"/>
    <col min="20" max="20" width="20.5703125" bestFit="1" customWidth="1"/>
    <col min="21" max="21" width="16.7109375" bestFit="1" customWidth="1"/>
    <col min="22" max="23" width="15.140625" bestFit="1" customWidth="1"/>
  </cols>
  <sheetData>
    <row r="1" spans="1:23" x14ac:dyDescent="0.25">
      <c r="A1" s="3" t="s">
        <v>275</v>
      </c>
      <c r="B1" s="3"/>
      <c r="C1" s="3"/>
      <c r="D1" s="3"/>
      <c r="E1" s="3" t="s">
        <v>280</v>
      </c>
      <c r="F1" s="3" t="s">
        <v>280</v>
      </c>
      <c r="G1" s="106" t="s">
        <v>276</v>
      </c>
      <c r="H1" s="106" t="s">
        <v>281</v>
      </c>
      <c r="I1" s="106"/>
      <c r="J1" s="106"/>
      <c r="K1" s="106" t="s">
        <v>281</v>
      </c>
      <c r="L1" s="106"/>
      <c r="M1" s="106"/>
      <c r="Q1" t="s">
        <v>291</v>
      </c>
      <c r="R1" t="s">
        <v>290</v>
      </c>
      <c r="T1" t="s">
        <v>111</v>
      </c>
      <c r="V1" t="s">
        <v>282</v>
      </c>
    </row>
    <row r="2" spans="1:23" x14ac:dyDescent="0.25">
      <c r="A2" t="s">
        <v>54</v>
      </c>
      <c r="B2" t="s">
        <v>1</v>
      </c>
      <c r="C2" t="s">
        <v>2</v>
      </c>
      <c r="D2" t="s">
        <v>4</v>
      </c>
      <c r="E2" t="s">
        <v>258</v>
      </c>
      <c r="F2" t="s">
        <v>257</v>
      </c>
      <c r="G2" t="s">
        <v>264</v>
      </c>
      <c r="H2" t="s">
        <v>287</v>
      </c>
      <c r="I2" t="s">
        <v>263</v>
      </c>
      <c r="J2" t="s">
        <v>262</v>
      </c>
      <c r="K2" t="s">
        <v>261</v>
      </c>
      <c r="L2" t="s">
        <v>260</v>
      </c>
      <c r="M2" t="s">
        <v>259</v>
      </c>
      <c r="O2" t="s">
        <v>288</v>
      </c>
      <c r="P2" t="s">
        <v>292</v>
      </c>
      <c r="Q2" t="s">
        <v>289</v>
      </c>
      <c r="R2" t="s">
        <v>289</v>
      </c>
      <c r="T2" t="s">
        <v>258</v>
      </c>
      <c r="U2" t="s">
        <v>257</v>
      </c>
    </row>
    <row r="3" spans="1:23" x14ac:dyDescent="0.25">
      <c r="A3" t="s">
        <v>61</v>
      </c>
      <c r="B3" t="s">
        <v>7</v>
      </c>
      <c r="D3">
        <v>2023</v>
      </c>
      <c r="E3">
        <v>270</v>
      </c>
      <c r="F3">
        <v>0</v>
      </c>
      <c r="G3">
        <v>0</v>
      </c>
      <c r="H3">
        <v>5449.5726500000001</v>
      </c>
      <c r="I3">
        <v>0</v>
      </c>
      <c r="J3">
        <v>0</v>
      </c>
      <c r="K3">
        <v>5449.5726500000001</v>
      </c>
      <c r="L3">
        <v>0</v>
      </c>
      <c r="M3">
        <v>0</v>
      </c>
      <c r="O3">
        <f>H3*1000</f>
        <v>5449572.6500000004</v>
      </c>
      <c r="Q3">
        <f>O3/Carriers!$G$6/Conversions!$D$2</f>
        <v>1.26082656703421</v>
      </c>
      <c r="R3">
        <f>Q3</f>
        <v>1.26082656703421</v>
      </c>
      <c r="T3" s="107">
        <f>E3*Carriers!$G$6*1000000000</f>
        <v>4201200000000</v>
      </c>
      <c r="U3" s="107">
        <f>F3*Carriers!$G$6*1000000000</f>
        <v>0</v>
      </c>
    </row>
    <row r="4" spans="1:23" x14ac:dyDescent="0.25">
      <c r="A4" t="s">
        <v>61</v>
      </c>
      <c r="B4" t="s">
        <v>7</v>
      </c>
      <c r="D4">
        <v>2024</v>
      </c>
      <c r="E4">
        <v>270</v>
      </c>
      <c r="F4">
        <v>0</v>
      </c>
      <c r="G4">
        <v>0</v>
      </c>
      <c r="H4">
        <v>5683.2535889999999</v>
      </c>
      <c r="I4">
        <v>0</v>
      </c>
      <c r="J4">
        <v>0</v>
      </c>
      <c r="K4">
        <v>5683.2535889999999</v>
      </c>
      <c r="L4">
        <v>0</v>
      </c>
      <c r="M4">
        <v>0</v>
      </c>
      <c r="O4">
        <f>H4*1000</f>
        <v>5683253.5889999997</v>
      </c>
      <c r="Q4">
        <f>O4/Carriers!$G$6/Conversions!$D$2</f>
        <v>1.3148915653420497</v>
      </c>
      <c r="R4">
        <f t="shared" ref="R4:R6" si="0">Q4</f>
        <v>1.3148915653420497</v>
      </c>
      <c r="T4" s="107">
        <f>E4*Carriers!$G$6*1000000000</f>
        <v>4201200000000</v>
      </c>
      <c r="U4" s="107">
        <f>F4*Carriers!$G$6*1000000000</f>
        <v>0</v>
      </c>
    </row>
    <row r="5" spans="1:23" x14ac:dyDescent="0.25">
      <c r="A5" t="s">
        <v>40</v>
      </c>
      <c r="B5" t="s">
        <v>7</v>
      </c>
      <c r="D5">
        <v>2023</v>
      </c>
      <c r="E5">
        <v>175</v>
      </c>
      <c r="F5">
        <v>0</v>
      </c>
      <c r="G5">
        <v>0</v>
      </c>
      <c r="H5">
        <v>9000</v>
      </c>
      <c r="I5">
        <v>0.05</v>
      </c>
      <c r="J5">
        <v>0</v>
      </c>
      <c r="K5">
        <v>9000</v>
      </c>
      <c r="L5">
        <v>0.05</v>
      </c>
      <c r="M5">
        <v>0</v>
      </c>
      <c r="O5">
        <f t="shared" ref="O5:O6" si="1">H5*1000</f>
        <v>9000000</v>
      </c>
      <c r="Q5">
        <f>O5/Carriers!$G$8/Conversions!$D$2</f>
        <v>2.3738058247920284</v>
      </c>
      <c r="R5">
        <f t="shared" si="0"/>
        <v>2.3738058247920284</v>
      </c>
      <c r="T5" s="107">
        <f>E5*Carriers!$G$6*1000000000</f>
        <v>2723000000000</v>
      </c>
      <c r="U5" s="107">
        <f>F5*Carriers!$G$6*1000000000</f>
        <v>0</v>
      </c>
    </row>
    <row r="6" spans="1:23" x14ac:dyDescent="0.25">
      <c r="A6" t="s">
        <v>40</v>
      </c>
      <c r="B6" t="s">
        <v>7</v>
      </c>
      <c r="D6">
        <v>2024</v>
      </c>
      <c r="E6">
        <v>175</v>
      </c>
      <c r="F6">
        <v>0</v>
      </c>
      <c r="G6">
        <v>0</v>
      </c>
      <c r="H6">
        <v>9000</v>
      </c>
      <c r="I6">
        <v>0.05</v>
      </c>
      <c r="J6">
        <v>0</v>
      </c>
      <c r="K6">
        <v>9000</v>
      </c>
      <c r="L6">
        <v>0.05</v>
      </c>
      <c r="M6">
        <v>0</v>
      </c>
      <c r="O6">
        <f t="shared" si="1"/>
        <v>9000000</v>
      </c>
      <c r="Q6">
        <f>O6/Carriers!$G$8/Conversions!$D$2</f>
        <v>2.3738058247920284</v>
      </c>
      <c r="R6">
        <f t="shared" si="0"/>
        <v>2.3738058247920284</v>
      </c>
      <c r="T6" s="107">
        <f>E6*Carriers!$G$6*1000000000</f>
        <v>2723000000000</v>
      </c>
      <c r="U6" s="107">
        <f>F6*Carriers!$G$6*1000000000</f>
        <v>0</v>
      </c>
    </row>
    <row r="7" spans="1:23" x14ac:dyDescent="0.25">
      <c r="A7" t="s">
        <v>37</v>
      </c>
      <c r="B7" t="s">
        <v>7</v>
      </c>
      <c r="D7">
        <v>2023</v>
      </c>
      <c r="E7">
        <v>33.648000000000003</v>
      </c>
      <c r="F7">
        <v>200</v>
      </c>
      <c r="G7">
        <v>0.36749121400000001</v>
      </c>
      <c r="H7">
        <v>23859.030780000001</v>
      </c>
      <c r="I7">
        <v>0.24</v>
      </c>
      <c r="J7">
        <v>0</v>
      </c>
      <c r="K7">
        <v>54880.30558</v>
      </c>
      <c r="L7">
        <v>0.34899999999999998</v>
      </c>
      <c r="M7">
        <v>0</v>
      </c>
      <c r="P7">
        <f>H7*1000</f>
        <v>23859030.780000001</v>
      </c>
      <c r="Q7">
        <f>P7/Carriers!$G$4/Conversions!$D$2</f>
        <v>2.2794526214892286</v>
      </c>
      <c r="R7">
        <f>K7*1000/Carriers!$G$4/Conversions!$D$2</f>
        <v>5.2431742754330326</v>
      </c>
      <c r="T7" s="107">
        <f>E7*Carriers!$G$4*1000000000</f>
        <v>1267897017600</v>
      </c>
      <c r="U7" s="107">
        <f>F7*Carriers!$G$4*1000000000</f>
        <v>7536240000000</v>
      </c>
    </row>
    <row r="8" spans="1:23" x14ac:dyDescent="0.25">
      <c r="A8" t="s">
        <v>37</v>
      </c>
      <c r="B8" t="s">
        <v>7</v>
      </c>
      <c r="D8">
        <v>2024</v>
      </c>
      <c r="E8">
        <v>34.320959999999999</v>
      </c>
      <c r="F8">
        <v>200</v>
      </c>
      <c r="G8">
        <v>0.36749121400000001</v>
      </c>
      <c r="H8">
        <v>24102</v>
      </c>
      <c r="I8">
        <v>0.24</v>
      </c>
      <c r="J8">
        <v>0</v>
      </c>
      <c r="K8">
        <v>35195.966509999998</v>
      </c>
      <c r="L8">
        <v>0.34899999999999998</v>
      </c>
      <c r="M8">
        <v>0</v>
      </c>
      <c r="P8">
        <f>H8*1000</f>
        <v>24102000</v>
      </c>
      <c r="Q8">
        <f>P8/Carriers!$G$4/Conversions!$D$2</f>
        <v>2.302665501785039</v>
      </c>
      <c r="R8">
        <f>K8*1000/Carriers!$G$4/Conversions!$D$2</f>
        <v>3.3625648446003886</v>
      </c>
      <c r="T8" s="107">
        <f>E8*Carriers!$G$4*1000000000</f>
        <v>1293254957951.9998</v>
      </c>
      <c r="U8" s="107">
        <f>F8*Carriers!$G$4*1000000000</f>
        <v>7536240000000</v>
      </c>
    </row>
    <row r="9" spans="1:23" x14ac:dyDescent="0.25">
      <c r="A9" t="s">
        <v>35</v>
      </c>
      <c r="B9" t="s">
        <v>7</v>
      </c>
      <c r="C9" t="s">
        <v>11</v>
      </c>
      <c r="D9">
        <v>2023</v>
      </c>
      <c r="E9">
        <v>395.28899999999999</v>
      </c>
      <c r="F9">
        <v>150</v>
      </c>
      <c r="G9">
        <v>0</v>
      </c>
      <c r="H9">
        <v>1156.3734260000001</v>
      </c>
      <c r="I9">
        <v>0.3508</v>
      </c>
      <c r="J9">
        <v>0</v>
      </c>
      <c r="K9">
        <v>13197.14097</v>
      </c>
      <c r="L9">
        <v>0.20499999999999999</v>
      </c>
      <c r="M9">
        <v>0</v>
      </c>
      <c r="O9">
        <f t="shared" ref="O9:O18" si="2">H9*1000</f>
        <v>1156373.4260000002</v>
      </c>
      <c r="Q9">
        <f>O9/Carriers!$G$3/Conversions!$D$2</f>
        <v>0.24193054582608944</v>
      </c>
      <c r="R9">
        <f>K9*1000/Carriers!$J$3/Conversions!$D$2</f>
        <v>2.101388628454965</v>
      </c>
      <c r="T9" s="107">
        <f>E9*Carriers!$G$3*1000000000</f>
        <v>6801811998980.8506</v>
      </c>
      <c r="U9" s="107">
        <f>F9*Carriers!$J$3*1000000000</f>
        <v>3391308000000.0005</v>
      </c>
    </row>
    <row r="10" spans="1:23" x14ac:dyDescent="0.25">
      <c r="A10" t="s">
        <v>35</v>
      </c>
      <c r="B10" t="s">
        <v>7</v>
      </c>
      <c r="C10" t="s">
        <v>12</v>
      </c>
      <c r="D10">
        <v>2023</v>
      </c>
      <c r="E10">
        <v>406.85700000000003</v>
      </c>
      <c r="F10">
        <v>150</v>
      </c>
      <c r="G10">
        <v>0</v>
      </c>
      <c r="H10">
        <v>1156.3734260000001</v>
      </c>
      <c r="I10">
        <v>0.3508</v>
      </c>
      <c r="J10">
        <v>0</v>
      </c>
      <c r="K10">
        <v>13197.14097</v>
      </c>
      <c r="L10">
        <v>0.20499999999999999</v>
      </c>
      <c r="M10">
        <v>0</v>
      </c>
      <c r="O10">
        <f t="shared" si="2"/>
        <v>1156373.4260000002</v>
      </c>
      <c r="Q10">
        <f>O10/Carriers!$G$3/Conversions!$D$2</f>
        <v>0.24193054582608944</v>
      </c>
      <c r="R10">
        <f>K10*1000/Carriers!$J$3/Conversions!$D$2</f>
        <v>2.101388628454965</v>
      </c>
      <c r="T10" s="107">
        <f>E10*Carriers!$G$3*1000000000</f>
        <v>7000864745716.0518</v>
      </c>
      <c r="U10" s="107">
        <f>F10*Carriers!$J$3*1000000000</f>
        <v>3391308000000.0005</v>
      </c>
    </row>
    <row r="11" spans="1:23" x14ac:dyDescent="0.25">
      <c r="A11" t="s">
        <v>35</v>
      </c>
      <c r="B11" t="s">
        <v>7</v>
      </c>
      <c r="C11" t="s">
        <v>13</v>
      </c>
      <c r="D11">
        <v>2023</v>
      </c>
      <c r="E11">
        <v>30.747</v>
      </c>
      <c r="F11">
        <v>0</v>
      </c>
      <c r="G11">
        <v>0</v>
      </c>
      <c r="H11">
        <v>1156.3734260000001</v>
      </c>
      <c r="I11">
        <v>0.3508</v>
      </c>
      <c r="J11">
        <v>0</v>
      </c>
      <c r="K11">
        <v>13197.14097</v>
      </c>
      <c r="L11">
        <v>0.20499999999999999</v>
      </c>
      <c r="M11">
        <v>0</v>
      </c>
      <c r="O11">
        <f t="shared" si="2"/>
        <v>1156373.4260000002</v>
      </c>
      <c r="Q11">
        <f>O11/Carriers!$G$3/Conversions!$D$2</f>
        <v>0.24193054582608944</v>
      </c>
      <c r="R11">
        <f>K11*1000/Carriers!$J$3/Conversions!$D$2</f>
        <v>2.101388628454965</v>
      </c>
      <c r="T11" s="107">
        <f>E11*Carriers!$G$3*1000000000</f>
        <v>529069398674.55005</v>
      </c>
      <c r="U11" s="107">
        <f>F11*Carriers!$J$3*1000000000</f>
        <v>0</v>
      </c>
    </row>
    <row r="12" spans="1:23" x14ac:dyDescent="0.25">
      <c r="A12" t="s">
        <v>35</v>
      </c>
      <c r="B12" t="s">
        <v>7</v>
      </c>
      <c r="C12" t="s">
        <v>9</v>
      </c>
      <c r="D12">
        <v>2023</v>
      </c>
      <c r="E12">
        <v>91.156000000000006</v>
      </c>
      <c r="F12">
        <v>150</v>
      </c>
      <c r="G12">
        <v>0</v>
      </c>
      <c r="H12">
        <v>1156.3734260000001</v>
      </c>
      <c r="I12">
        <v>0.3508</v>
      </c>
      <c r="J12">
        <v>0</v>
      </c>
      <c r="K12">
        <v>13197.14097</v>
      </c>
      <c r="L12">
        <v>0.20499999999999999</v>
      </c>
      <c r="M12">
        <v>0</v>
      </c>
      <c r="O12">
        <f t="shared" si="2"/>
        <v>1156373.4260000002</v>
      </c>
      <c r="Q12">
        <f>O12/Carriers!$G$3/Conversions!$D$2</f>
        <v>0.24193054582608944</v>
      </c>
      <c r="R12">
        <f>K12*1000/Carriers!$J$3/Conversions!$D$2</f>
        <v>2.101388628454965</v>
      </c>
      <c r="T12" s="107">
        <f>E12*Carriers!$G$3*1000000000</f>
        <v>1568538397423.4004</v>
      </c>
      <c r="U12" s="107">
        <f>F12*Carriers!$J$3*1000000000</f>
        <v>3391308000000.0005</v>
      </c>
    </row>
    <row r="13" spans="1:23" x14ac:dyDescent="0.25">
      <c r="A13" t="s">
        <v>35</v>
      </c>
      <c r="B13" t="s">
        <v>7</v>
      </c>
      <c r="C13" t="s">
        <v>10</v>
      </c>
      <c r="D13">
        <v>2023</v>
      </c>
      <c r="E13">
        <v>0</v>
      </c>
      <c r="F13">
        <v>0</v>
      </c>
      <c r="G13">
        <v>0</v>
      </c>
      <c r="H13">
        <v>1156.3734260000001</v>
      </c>
      <c r="I13">
        <v>0.3508</v>
      </c>
      <c r="J13">
        <v>0</v>
      </c>
      <c r="K13">
        <v>13197.14097</v>
      </c>
      <c r="L13">
        <v>0.20499999999999999</v>
      </c>
      <c r="M13">
        <v>0</v>
      </c>
      <c r="O13">
        <f t="shared" si="2"/>
        <v>1156373.4260000002</v>
      </c>
      <c r="Q13">
        <f>O13/Carriers!$G$3/Conversions!$D$2</f>
        <v>0.24193054582608944</v>
      </c>
      <c r="R13">
        <f>K13*1000/Carriers!$J$3/Conversions!$D$2</f>
        <v>2.101388628454965</v>
      </c>
      <c r="T13" s="107">
        <f>E13*Carriers!$G$3*1000000000</f>
        <v>0</v>
      </c>
      <c r="U13" s="107">
        <f>F13*Carriers!$J$3*1000000000</f>
        <v>0</v>
      </c>
      <c r="V13" s="108">
        <f>SUM(T9:T13)</f>
        <v>15900284540794.854</v>
      </c>
      <c r="W13" s="108">
        <f>SUM(U9:U13)</f>
        <v>10173924000000.002</v>
      </c>
    </row>
    <row r="14" spans="1:23" x14ac:dyDescent="0.25">
      <c r="A14" t="s">
        <v>35</v>
      </c>
      <c r="B14" t="s">
        <v>7</v>
      </c>
      <c r="C14" t="s">
        <v>11</v>
      </c>
      <c r="D14">
        <v>2024</v>
      </c>
      <c r="E14">
        <v>417.8480922</v>
      </c>
      <c r="F14">
        <v>150</v>
      </c>
      <c r="G14">
        <v>0</v>
      </c>
      <c r="H14">
        <v>1156.3734260000001</v>
      </c>
      <c r="I14">
        <v>0.3508</v>
      </c>
      <c r="J14">
        <v>0</v>
      </c>
      <c r="K14">
        <v>10095.812840000001</v>
      </c>
      <c r="L14">
        <v>0.20499999999999999</v>
      </c>
      <c r="M14">
        <v>0</v>
      </c>
      <c r="O14">
        <f t="shared" si="2"/>
        <v>1156373.4260000002</v>
      </c>
      <c r="Q14">
        <f>O14/Carriers!$G$3/Conversions!$D$2</f>
        <v>0.24193054582608944</v>
      </c>
      <c r="R14">
        <f>K14*1000/Carriers!$J$3/Conversions!$D$2</f>
        <v>1.6075623004416255</v>
      </c>
      <c r="T14" s="107">
        <f>E14*Carriers!$G$3*1000000000</f>
        <v>7189990531679.9023</v>
      </c>
      <c r="U14" s="107">
        <f>F14*Carriers!$J$3*1000000000</f>
        <v>3391308000000.0005</v>
      </c>
    </row>
    <row r="15" spans="1:23" x14ac:dyDescent="0.25">
      <c r="A15" t="s">
        <v>35</v>
      </c>
      <c r="B15" t="s">
        <v>7</v>
      </c>
      <c r="C15" t="s">
        <v>12</v>
      </c>
      <c r="D15">
        <v>2024</v>
      </c>
      <c r="E15">
        <v>429.33807350000001</v>
      </c>
      <c r="F15">
        <v>150</v>
      </c>
      <c r="G15">
        <v>0</v>
      </c>
      <c r="H15">
        <v>1156.3734260000001</v>
      </c>
      <c r="I15">
        <v>0.3508</v>
      </c>
      <c r="J15">
        <v>0</v>
      </c>
      <c r="K15">
        <v>10095.812840000001</v>
      </c>
      <c r="L15">
        <v>0.20499999999999999</v>
      </c>
      <c r="M15">
        <v>0</v>
      </c>
      <c r="O15">
        <f t="shared" si="2"/>
        <v>1156373.4260000002</v>
      </c>
      <c r="Q15">
        <f>O15/Carriers!$G$3/Conversions!$D$2</f>
        <v>0.24193054582608944</v>
      </c>
      <c r="R15">
        <f>K15*1000/Carriers!$J$3/Conversions!$D$2</f>
        <v>1.6075623004416255</v>
      </c>
      <c r="T15" s="107">
        <f>E15*Carriers!$G$3*1000000000</f>
        <v>7387700796003.9932</v>
      </c>
      <c r="U15" s="107">
        <f>F15*Carriers!$J$3*1000000000</f>
        <v>3391308000000.0005</v>
      </c>
    </row>
    <row r="16" spans="1:23" x14ac:dyDescent="0.25">
      <c r="A16" t="s">
        <v>35</v>
      </c>
      <c r="B16" t="s">
        <v>7</v>
      </c>
      <c r="C16" t="s">
        <v>13</v>
      </c>
      <c r="D16">
        <v>2024</v>
      </c>
      <c r="E16">
        <v>31.923199910000001</v>
      </c>
      <c r="F16">
        <v>0</v>
      </c>
      <c r="G16">
        <v>0</v>
      </c>
      <c r="H16">
        <v>1156.3734260000001</v>
      </c>
      <c r="I16">
        <v>0.3508</v>
      </c>
      <c r="J16">
        <v>0</v>
      </c>
      <c r="K16">
        <v>10095.812840000001</v>
      </c>
      <c r="L16">
        <v>0.20499999999999999</v>
      </c>
      <c r="M16">
        <v>0</v>
      </c>
      <c r="O16">
        <f t="shared" si="2"/>
        <v>1156373.4260000002</v>
      </c>
      <c r="Q16">
        <f>O16/Carriers!$G$3/Conversions!$D$2</f>
        <v>0.24193054582608944</v>
      </c>
      <c r="R16">
        <f>K16*1000/Carriers!$J$3/Conversions!$D$2</f>
        <v>1.6075623004416255</v>
      </c>
      <c r="T16" s="107">
        <f>E16*Carriers!$G$3*1000000000</f>
        <v>549308491239.83319</v>
      </c>
      <c r="U16" s="107">
        <f>F16*Carriers!$J$3*1000000000</f>
        <v>0</v>
      </c>
    </row>
    <row r="17" spans="1:23" x14ac:dyDescent="0.25">
      <c r="A17" t="s">
        <v>35</v>
      </c>
      <c r="B17" t="s">
        <v>7</v>
      </c>
      <c r="C17" t="s">
        <v>9</v>
      </c>
      <c r="D17">
        <v>2024</v>
      </c>
      <c r="E17">
        <v>91.773024770000006</v>
      </c>
      <c r="F17">
        <v>150</v>
      </c>
      <c r="G17">
        <v>0</v>
      </c>
      <c r="H17">
        <v>1156.3734260000001</v>
      </c>
      <c r="I17">
        <v>0.3508</v>
      </c>
      <c r="J17">
        <v>0</v>
      </c>
      <c r="K17">
        <v>10095.812840000001</v>
      </c>
      <c r="L17">
        <v>0.20499999999999999</v>
      </c>
      <c r="M17">
        <v>0</v>
      </c>
      <c r="O17">
        <f t="shared" si="2"/>
        <v>1156373.4260000002</v>
      </c>
      <c r="Q17">
        <f>O17/Carriers!$G$3/Conversions!$D$2</f>
        <v>0.24193054582608944</v>
      </c>
      <c r="R17">
        <f>K17*1000/Carriers!$J$3/Conversions!$D$2</f>
        <v>1.6075623004416255</v>
      </c>
      <c r="T17" s="107">
        <f>E17*Carriers!$G$3*1000000000</f>
        <v>1579155658425.4883</v>
      </c>
      <c r="U17" s="107">
        <f>F17*Carriers!$J$3*1000000000</f>
        <v>3391308000000.0005</v>
      </c>
    </row>
    <row r="18" spans="1:23" x14ac:dyDescent="0.25">
      <c r="A18" t="s">
        <v>35</v>
      </c>
      <c r="B18" t="s">
        <v>7</v>
      </c>
      <c r="C18" t="s">
        <v>10</v>
      </c>
      <c r="D18">
        <v>2024</v>
      </c>
      <c r="E18">
        <v>0</v>
      </c>
      <c r="F18">
        <v>0</v>
      </c>
      <c r="G18">
        <v>0</v>
      </c>
      <c r="H18">
        <v>1156.3734260000001</v>
      </c>
      <c r="I18">
        <v>0.3508</v>
      </c>
      <c r="J18">
        <v>0</v>
      </c>
      <c r="K18">
        <v>10095.812840000001</v>
      </c>
      <c r="L18">
        <v>0.20499999999999999</v>
      </c>
      <c r="M18">
        <v>0</v>
      </c>
      <c r="O18">
        <f t="shared" si="2"/>
        <v>1156373.4260000002</v>
      </c>
      <c r="Q18">
        <f>O18/Carriers!$G$3/Conversions!$D$2</f>
        <v>0.24193054582608944</v>
      </c>
      <c r="R18">
        <f>K18*1000/Carriers!$J$3/Conversions!$D$2</f>
        <v>1.6075623004416255</v>
      </c>
      <c r="T18" s="107">
        <f>E18*Carriers!$G$3*1000000000</f>
        <v>0</v>
      </c>
      <c r="U18" s="107">
        <f>F18*Carriers!$J$3*1000000000</f>
        <v>0</v>
      </c>
      <c r="V18" s="108">
        <f>SUM(T14:T18)</f>
        <v>16706155477349.217</v>
      </c>
      <c r="W18" s="108">
        <f>SUM(U14:U18)</f>
        <v>10173924000000.002</v>
      </c>
    </row>
    <row r="27" spans="1:23" x14ac:dyDescent="0.25">
      <c r="G27" t="s">
        <v>293</v>
      </c>
      <c r="H27" t="s">
        <v>111</v>
      </c>
    </row>
    <row r="28" spans="1:23" x14ac:dyDescent="0.25">
      <c r="G28">
        <f>1374</f>
        <v>1374</v>
      </c>
      <c r="H28">
        <f>G28*1000000</f>
        <v>1374000000</v>
      </c>
      <c r="I28" s="110">
        <f>H28*Q10</f>
        <v>332412569.96504688</v>
      </c>
    </row>
  </sheetData>
  <sortState xmlns:xlrd2="http://schemas.microsoft.com/office/spreadsheetml/2017/richdata2" ref="A3:F18">
    <sortCondition ref="A3:A18"/>
  </sortState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22C3-CEE7-4AAA-A6A9-46D79549444A}">
  <dimension ref="D7:N19"/>
  <sheetViews>
    <sheetView topLeftCell="A7" workbookViewId="0">
      <selection activeCell="L32" sqref="L32"/>
    </sheetView>
  </sheetViews>
  <sheetFormatPr defaultRowHeight="15" x14ac:dyDescent="0.25"/>
  <cols>
    <col min="5" max="5" width="9.5703125" bestFit="1" customWidth="1"/>
    <col min="6" max="6" width="31.85546875" bestFit="1" customWidth="1"/>
    <col min="7" max="7" width="9.5703125" bestFit="1" customWidth="1"/>
    <col min="11" max="11" width="12.42578125" customWidth="1"/>
    <col min="12" max="12" width="12.28515625" bestFit="1" customWidth="1"/>
  </cols>
  <sheetData>
    <row r="7" spans="6:14" x14ac:dyDescent="0.25">
      <c r="G7" t="s">
        <v>295</v>
      </c>
      <c r="H7" t="s">
        <v>296</v>
      </c>
    </row>
    <row r="8" spans="6:14" x14ac:dyDescent="0.25">
      <c r="F8" s="111" t="s">
        <v>297</v>
      </c>
      <c r="G8" s="111">
        <v>2020</v>
      </c>
      <c r="H8" s="111">
        <v>2030</v>
      </c>
      <c r="I8" s="111">
        <v>2040</v>
      </c>
      <c r="J8" s="111">
        <v>2050</v>
      </c>
      <c r="K8" t="s">
        <v>307</v>
      </c>
    </row>
    <row r="9" spans="6:14" x14ac:dyDescent="0.25">
      <c r="F9" s="112" t="s">
        <v>298</v>
      </c>
      <c r="G9" s="113">
        <v>5</v>
      </c>
      <c r="H9" s="113">
        <v>5</v>
      </c>
      <c r="I9" s="113">
        <v>4.9000000000000004</v>
      </c>
      <c r="J9" s="113">
        <v>4.83</v>
      </c>
      <c r="K9" t="s">
        <v>308</v>
      </c>
      <c r="N9">
        <v>10.5</v>
      </c>
    </row>
    <row r="10" spans="6:14" x14ac:dyDescent="0.25">
      <c r="F10" s="112" t="s">
        <v>299</v>
      </c>
      <c r="G10" s="113">
        <v>0</v>
      </c>
      <c r="H10" s="113">
        <v>0</v>
      </c>
      <c r="I10" s="113">
        <v>0</v>
      </c>
      <c r="J10" s="113">
        <v>0</v>
      </c>
    </row>
    <row r="11" spans="6:14" x14ac:dyDescent="0.25">
      <c r="F11" s="112" t="s">
        <v>300</v>
      </c>
      <c r="G11" s="113" t="s">
        <v>301</v>
      </c>
      <c r="H11" s="113"/>
      <c r="I11" s="113"/>
      <c r="J11" s="112"/>
    </row>
    <row r="12" spans="6:14" x14ac:dyDescent="0.25">
      <c r="F12" s="112" t="s">
        <v>302</v>
      </c>
      <c r="G12" s="113">
        <v>20</v>
      </c>
      <c r="H12" s="113">
        <v>20</v>
      </c>
      <c r="I12" s="113">
        <v>20</v>
      </c>
      <c r="J12" s="113">
        <v>20</v>
      </c>
    </row>
    <row r="13" spans="6:14" x14ac:dyDescent="0.25">
      <c r="F13" s="112" t="s">
        <v>303</v>
      </c>
      <c r="G13" s="113">
        <f>N9/100</f>
        <v>0.105</v>
      </c>
      <c r="H13" s="113">
        <f>G13</f>
        <v>0.105</v>
      </c>
      <c r="I13" s="113">
        <f>G13</f>
        <v>0.105</v>
      </c>
      <c r="J13" s="112">
        <f>G13</f>
        <v>0.105</v>
      </c>
    </row>
    <row r="14" spans="6:14" ht="15.75" x14ac:dyDescent="0.25">
      <c r="F14" s="112" t="s">
        <v>304</v>
      </c>
      <c r="G14" s="114">
        <f>(G13*(1+G13)^G12)/(((1+G13)^G12)-1)</f>
        <v>0.12149326526701618</v>
      </c>
      <c r="H14" s="114">
        <f>(H13*(1+H13)^H12)/(((1+H13)^H12)-1)</f>
        <v>0.12149326526701618</v>
      </c>
      <c r="I14" s="114">
        <f>(I13*(1+I13)^I12)/(((1+I13)^I12)-1)</f>
        <v>0.12149326526701618</v>
      </c>
      <c r="J14" s="114">
        <f>(J13*(1+J13)^J12)/(((1+J13)^J12)-1)</f>
        <v>0.12149326526701618</v>
      </c>
    </row>
    <row r="15" spans="6:14" x14ac:dyDescent="0.25">
      <c r="F15" s="112" t="s">
        <v>305</v>
      </c>
      <c r="G15" s="115">
        <f>G14*G9</f>
        <v>0.60746632633508091</v>
      </c>
      <c r="H15" s="115">
        <f>H14*H9</f>
        <v>0.60746632633508091</v>
      </c>
      <c r="I15" s="115">
        <f>I14*I9</f>
        <v>0.59531699980837927</v>
      </c>
      <c r="J15" s="115">
        <f>J14*J9</f>
        <v>0.58681247123968816</v>
      </c>
    </row>
    <row r="16" spans="6:14" x14ac:dyDescent="0.25">
      <c r="F16" s="112" t="s">
        <v>306</v>
      </c>
      <c r="G16" s="116">
        <f>(G15+G10)*10^7/1000</f>
        <v>6074.6632633508088</v>
      </c>
      <c r="H16" s="116">
        <f>(H15+H10)*10^7/1000</f>
        <v>6074.6632633508088</v>
      </c>
      <c r="I16" s="116">
        <f>(I15+I10)*10^7/1000</f>
        <v>5953.169998083793</v>
      </c>
      <c r="J16" s="116">
        <f>(J15+J10)*10^7/1000</f>
        <v>5868.1247123968815</v>
      </c>
    </row>
    <row r="17" spans="4:10" x14ac:dyDescent="0.25">
      <c r="F17" s="117" t="s">
        <v>309</v>
      </c>
      <c r="G17">
        <f>G16*Conversions!$D$5*10</f>
        <v>75260.071184820714</v>
      </c>
      <c r="H17">
        <f>H16*Conversions!$D$5*10</f>
        <v>75260.071184820714</v>
      </c>
      <c r="I17">
        <f>I16*Conversions!$D$5*10</f>
        <v>73754.869761124297</v>
      </c>
      <c r="J17">
        <f>J16*Conversions!$D$5*10</f>
        <v>72701.228764536805</v>
      </c>
    </row>
    <row r="19" spans="4:10" x14ac:dyDescent="0.25">
      <c r="D19" t="s">
        <v>310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PIER_CHK</vt:lpstr>
      <vt:lpstr>ECT_EfficiencyCostMaxAnnualUF</vt:lpstr>
      <vt:lpstr>Storage</vt:lpstr>
      <vt:lpstr>Carriers</vt:lpstr>
      <vt:lpstr>Conversions</vt:lpstr>
      <vt:lpstr>Transmission</vt:lpstr>
      <vt:lpstr>Tx-CTU-rollingplans</vt:lpstr>
      <vt:lpstr>ECT_MaxAdd2024</vt:lpstr>
      <vt:lpstr>NODES</vt:lpstr>
      <vt:lpstr>CAPEX_example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C. Pascale</dc:creator>
  <cp:lastModifiedBy>Andrew C. Pascale</cp:lastModifiedBy>
  <dcterms:created xsi:type="dcterms:W3CDTF">2026-03-25T23:01:35Z</dcterms:created>
  <dcterms:modified xsi:type="dcterms:W3CDTF">2026-05-01T04:39:13Z</dcterms:modified>
</cp:coreProperties>
</file>